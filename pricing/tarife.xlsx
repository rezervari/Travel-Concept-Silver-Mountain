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<sst xmlns="http://schemas.openxmlformats.org/spreadsheetml/2006/main" count="326" uniqueCount="264">
  <si>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</si>
  <si>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</si>
  <si>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</si>
  <si>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</si>
  <si>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</si>
  <si>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</si>
  <si>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</si>
  <si>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</si>
  <si>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</si>
  <si>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</si>
  <si>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</si>
  <si>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</si>
  <si>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</si>
  <si>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</si>
  <si>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</si>
  <si>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</si>
  <si>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</si>
  <si>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</si>
  <si>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</si>
  <si>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</si>
  <si>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</si>
  <si>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</si>
  <si>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</si>
  <si>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</si>
  <si>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</si>
  <si>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</si>
  <si>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</si>
  <si>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</si>
  <si>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</si>
  <si>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</si>
  <si>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</si>
  <si>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</si>
  <si>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</si>
  <si>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</si>
  <si>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</si>
  <si>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</si>
  <si>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</si>
  <si>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</si>
  <si>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</si>
  <si>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</si>
  <si>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</si>
  <si>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</si>
  <si>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</si>
  <si>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</si>
  <si>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</si>
  <si>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</si>
  <si>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</si>
  <si>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</si>
  <si>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</si>
  <si>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</si>
  <si>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</si>
  <si>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</si>
  <si>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</si>
  <si>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</si>
  <si>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</si>
  <si>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</si>
  <si>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</si>
  <si>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</si>
  <si>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</si>
  <si>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</si>
  <si>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</si>
  <si>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</si>
  <si>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</si>
  <si>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</si>
  <si>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</si>
  <si>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</si>
  <si>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</si>
  <si>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</si>
  <si>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</si>
  <si>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</si>
  <si>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</si>
  <si>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primavara-2027</t>
  </si>
  <si>
    <t xml:space="preserve">Sezon primăvară</t>
  </si>
  <si>
    <t xml:space="preserve">Adăugat 21.10.2026 (cerut de Mircea). După 30.06.2027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</si>
  <si>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</si>
  <si>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</si>
  <si>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</si>
  <si>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</si>
  <si>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</si>
  <si>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</si>
  <si>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</si>
  <si>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</si>
  <si>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</si>
  <si>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</si>
  <si>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</si>
  <si>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</si>
  <si>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</si>
  <si>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</si>
  <si>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3 rezervări Booking reale).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</si>
  <si>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</si>
  <si>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</si>
  <si>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</si>
  <si>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</si>
  <si>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</si>
  <si>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</si>
  <si>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</si>
  <si>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</si>
  <si>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</si>
  <si>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</si>
  <si>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</si>
  <si>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</si>
  <si>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</si>
  <si>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</si>
  <si>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</si>
  <si>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</si>
  <si>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</si>
  <si>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</si>
  <si>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</si>
  <si>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</si>
  <si>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</si>
  <si>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</si>
  <si>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</si>
  <si>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</si>
  <si>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</si>
  <si>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</si>
  <si>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</si>
  <si>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</si>
  <si>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</si>
  <si>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</si>
  <si>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</si>
  <si>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</si>
  <si>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</si>
  <si>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</si>
  <si>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</si>
  <si>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</si>
  <si>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</si>
  <si>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</si>
  <si>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</si>
  <si>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</si>
  <si>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</si>
  <si>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</si>
  <si>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</si>
  <si>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</si>
  <si>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</si>
  <si>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</si>
  <si>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</si>
  <si>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</si>
  <si>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</si>
  <si>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</si>
  <si>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</si>
  <si>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</si>
  <si>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</si>
  <si>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</si>
  <si>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</si>
  <si>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</si>
  <si>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</si>
  <si>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</si>
  <si>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</si>
  <si>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</si>
  <si>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</si>
  <si>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</si>
  <si>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</si>
  <si>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</si>
  <si>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</si>
  <si>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</si>
  <si>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</si>
  <si>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</si>
  <si>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</si>
  <si>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</si>
  <si>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</si>
  <si>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</si>
  <si>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</si>
  <si>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</si>
  <si>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</si>
  <si>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</si>
  <si>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</si>
  <si>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</si>
  <si>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</si>
  <si>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</si>
  <si>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</si>
  <si>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</si>
  <si>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</si>
  <si>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</si>
  <si>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</si>
  <si>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</si>
  <si>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</si>
  <si>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</si>
  <si>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</si>
  <si>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</si>
  <si>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</si>
  <si>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</si>
  <si>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</si>
  <si>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</si>
  <si>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</si>
  <si>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</si>
  <si>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</si>
  <si>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</si>
  <si>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</si>
  <si>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</si>
  <si>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</si>
  <si>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</si>
  <si>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</si>
  <si>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</si>
  <si>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</si>
  <si>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</si>
  <si>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</si>
  <si>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</si>
  <si>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</si>
  <si>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</si>
  <si>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</si>
  <si>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</si>
  <si>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</si>
  <si>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</si>
  <si>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</si>
  <si>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</si>
  <si>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</si>
  <si>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</si>
  <si>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</si>
  <si>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</si>
  <si>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</si>
  <si>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</si>
  <si>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</si>
  <si>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</si>
  <si>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</si>
  <si>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</si>
  <si>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</si>
  <si>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</si>
  <si>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</si>
  <si>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</si>
  <si>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</si>
  <si>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</si>
  <si>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</si>
  <si>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</si>
  <si>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</si>
  <si>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setate și verificate live în conturi pe 21.10.2026, ora 17:30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</si>
  <si>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</si>
  <si>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</si>
  <si>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</si>
  <si>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</si>
  <si>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</si>
  <si>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</si>
  <si>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22.10 – 30.11.2026</t>
  </si>
  <si>
    <t xml:space="preserve">Setat 21.10.2026 conform tabelului (înainte: Booking 900, Airbnb 1.480, Travelminit 1.480). Site 900. Ocupat: 28.10–03.11, 28–29.11.</t>
  </si>
  <si>
    <t xml:space="preserve">01.12 – 20.12.2026</t>
  </si>
  <si>
    <t xml:space="preserve">Setat 21.10.2026 conform tabelului (înainte 1.300 peste tot). Site 1.250.</t>
  </si>
  <si>
    <t xml:space="preserve">21.12 – 27.12.2026</t>
  </si>
  <si>
    <t xml:space="preserve"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</si>
  <si>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 xml:space="preserve">28.12.2026 – 04.01.2027</t>
  </si>
  <si>
    <t xml:space="preserve">Setat 21.10.2026 (înainte: Booking 1.800, Airbnb 2.000/min 5, Travelminit 2.000). Booking: doar „Sarbatori – Nerambursabil” 2.270, min 4 (Mobile rate inclus în calcul); Airbnb 2.040, min 4, „Fermă”, reducerea săptămânală 32% rămâne (risc acceptat); Travelminit 1.960, min 4, politica „sarbatori”. Site 1.800, min 4, fără reduceri.</t>
  </si>
  <si>
    <t xml:space="preserve">05.01 – 14.02.2027</t>
  </si>
  <si>
    <t xml:space="preserve">Setat 21.10.2026 (înainte: Booking 1.350, Airbnb 1.450, Travelminit 1.450). Min 2 peste tot; Booking planuri 2–7 nopți −10…−33% (flexibile 14 zile). Site 1.350.</t>
  </si>
  <si>
    <t xml:space="preserve">15.02 – 07.03.2027</t>
  </si>
  <si>
    <t xml:space="preserve">Setat 21.10.2026 (înainte: Booking 1.450, Airbnb 1.500 / 900 din 01.03, Travelminit 1.500). 20–21.02 ocupat (rezervare existentă, neatins). Site 1.450.</t>
  </si>
  <si>
    <t xml:space="preserve">08.03 – 30.06.2027</t>
  </si>
  <si>
    <t xml:space="preserve">Setat 21.10.2026 (înainte: site blocat, Booking/Airbnb 900, Travelminit 1.380 fără reguli). Iunie deschis pe Booking (era închis din 01.06 și bloca prin iCal Airbnb/Travelminit/site). Travelminit: min 2, politică standard. Site 900.</t>
  </si>
  <si>
    <t xml:space="preserve">Comisioane și setări observate</t>
  </si>
  <si>
    <t xml:space="preserve">Booking, rezervarea 1 – suma comisionabilă 3.633 lei, comision și costuri 596,55 lei (16,4%); total oaspete 3.969 lei (taxe locale 336 lei incluse, scăzute din baza de comision).</t>
  </si>
  <si>
    <t xml:space="preserve">Booking, rezervarea 2 – 1.362 lei comisionabil, 223,25 lei comision (16,4%); rezervarea 3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</si>
  <si>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</si>
  <si>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(verificat la 1.480 lei → câștigi 1.251 lei (taxă unică gazdă ≈15,5%)); reducerile 2–6 nopți șterse, rămân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</si>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</sst>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/>
      <c r="O11" s="13"/>
    </row>
    <row r="12" customFormat="false" ht="15" hidden="false" customHeight="false" outlineLevel="0" collapsed="false">
      <c r="A12" s="11" t="s">
        <v>71</v>
      </c>
      <c r="B12" s="11" t="s">
        <v>72</v>
      </c>
      <c r="C12" s="12" t="n">
        <v>46454</v>
      </c>
      <c r="D12" s="12" t="n">
        <v>46568</v>
      </c>
      <c r="E12" s="13" t="n">
        <v>900</v>
      </c>
      <c r="F12" s="14" t="n">
        <v>2</v>
      </c>
      <c r="G12" s="15" t="n">
        <v>0.1</v>
      </c>
      <c r="H12" s="15" t="n">
        <v>0.15</v>
      </c>
      <c r="I12" s="15" t="n">
        <v>0.2</v>
      </c>
      <c r="J12" s="15" t="n">
        <v>0.25</v>
      </c>
      <c r="K12" s="15" t="n">
        <v>0.3</v>
      </c>
      <c r="L12" s="15" t="n">
        <v>0.33</v>
      </c>
      <c r="M12" s="11" t="s">
        <v>62</v>
      </c>
      <c r="N12" s="11" t="s">
        <v>73</v>
      </c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76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77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78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79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80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81</v>
      </c>
      <c r="B10" s="10" t="s">
        <v>82</v>
      </c>
      <c r="C10" s="10" t="s">
        <v>83</v>
      </c>
      <c r="D10" s="10" t="s">
        <v>84</v>
      </c>
      <c r="E10" s="10" t="s">
        <v>85</v>
      </c>
      <c r="F10" s="10" t="s">
        <v>86</v>
      </c>
    </row>
    <row r="11" customFormat="false" ht="39.75" hidden="false" customHeight="true" outlineLevel="0" collapsed="false">
      <c r="A11" s="19" t="s">
        <v>87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88</v>
      </c>
    </row>
    <row r="12" customFormat="false" ht="39.75" hidden="false" customHeight="true" outlineLevel="0" collapsed="false">
      <c r="A12" s="19" t="s">
        <v>89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90</v>
      </c>
    </row>
    <row r="13" customFormat="false" ht="39.75" hidden="false" customHeight="true" outlineLevel="0" collapsed="false">
      <c r="A13" s="19" t="s">
        <v>91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92</v>
      </c>
    </row>
    <row r="14" customFormat="false" ht="39.75" hidden="false" customHeight="true" outlineLevel="0" collapsed="false">
      <c r="A14" s="19" t="s">
        <v>93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94</v>
      </c>
    </row>
    <row r="15" customFormat="false" ht="39.75" hidden="false" customHeight="true" outlineLevel="0" collapsed="false">
      <c r="A15" s="19" t="s">
        <v>95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96</v>
      </c>
    </row>
    <row r="16" customFormat="false" ht="39.75" hidden="false" customHeight="true" outlineLevel="0" collapsed="false">
      <c r="A16" s="19" t="s">
        <v>97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98</v>
      </c>
    </row>
    <row r="17" customFormat="false" ht="39.75" hidden="false" customHeight="true" outlineLevel="0" collapsed="false">
      <c r="A17" s="19" t="s">
        <v>99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100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101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102</v>
      </c>
      <c r="B20" s="22" t="n">
        <v>0.33</v>
      </c>
      <c r="C20" s="3" t="s">
        <v>103</v>
      </c>
      <c r="D20" s="2"/>
      <c r="E20" s="2"/>
      <c r="F20" s="2"/>
    </row>
    <row r="21" customFormat="false" ht="15" hidden="false" customHeight="false" outlineLevel="0" collapsed="false">
      <c r="A21" s="2" t="s">
        <v>104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105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106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107</v>
      </c>
      <c r="B26" s="15" t="n">
        <v>0.3</v>
      </c>
      <c r="C26" s="24" t="s">
        <v>108</v>
      </c>
      <c r="D26" s="24"/>
      <c r="E26" s="24"/>
      <c r="F26" s="24"/>
    </row>
    <row r="27" customFormat="false" ht="30" hidden="false" customHeight="true" outlineLevel="0" collapsed="false">
      <c r="A27" s="19" t="s">
        <v>109</v>
      </c>
      <c r="B27" s="15" t="n">
        <v>0.85</v>
      </c>
      <c r="C27" s="24" t="s">
        <v>110</v>
      </c>
      <c r="D27" s="24"/>
      <c r="E27" s="24"/>
      <c r="F27" s="24"/>
    </row>
    <row r="28" customFormat="false" ht="30" hidden="false" customHeight="true" outlineLevel="0" collapsed="false">
      <c r="A28" s="19" t="s">
        <v>111</v>
      </c>
      <c r="B28" s="15" t="n">
        <v>0.15</v>
      </c>
      <c r="C28" s="24" t="s">
        <v>112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113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114</v>
      </c>
      <c r="B31" s="15" t="n">
        <v>0.05</v>
      </c>
      <c r="C31" s="24" t="s">
        <v>115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118</v>
      </c>
      <c r="C4" s="10" t="s">
        <v>119</v>
      </c>
      <c r="D4" s="10" t="s">
        <v>120</v>
      </c>
      <c r="E4" s="10" t="s">
        <v>121</v>
      </c>
      <c r="F4" s="10" t="s">
        <v>122</v>
      </c>
      <c r="G4" s="10" t="s">
        <v>123</v>
      </c>
      <c r="H4" s="10" t="s">
        <v>124</v>
      </c>
      <c r="I4" s="10" t="s">
        <v>125</v>
      </c>
      <c r="J4" s="10" t="s">
        <v>126</v>
      </c>
      <c r="K4" s="10" t="s">
        <v>127</v>
      </c>
      <c r="L4" s="10" t="s">
        <v>128</v>
      </c>
      <c r="M4" s="10" t="s">
        <v>129</v>
      </c>
      <c r="N4" s="10" t="s">
        <v>130</v>
      </c>
      <c r="O4" s="10" t="s">
        <v>131</v>
      </c>
      <c r="P4" s="10" t="s">
        <v>132</v>
      </c>
      <c r="Q4" s="10" t="s">
        <v>133</v>
      </c>
      <c r="R4" s="10" t="s">
        <v>134</v>
      </c>
      <c r="S4" s="10" t="s">
        <v>135</v>
      </c>
      <c r="T4" s="10" t="s">
        <v>136</v>
      </c>
      <c r="U4" s="10" t="s">
        <v>137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1130</v>
      </c>
      <c r="M5" s="32" t="n">
        <f aca="false">IF(Sezoane!$A$6="","",IFERROR(INDEX('Date actuale'!$D$6:$D$40,MATCH(A5,'Date actuale'!$A$6:$A$40,0)),""))</f>
        <v>920</v>
      </c>
      <c r="N5" s="32" t="n">
        <f aca="false">IF(Sezoane!$A$6="","",IFERROR(INDEX('Date actuale'!$E$6:$E$40,MATCH(A5,'Date actuale'!$A$6:$A$40,0)),""))</f>
        <v>980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1580</v>
      </c>
      <c r="M6" s="32" t="n">
        <f aca="false">IF(Sezoane!$A$7="","",IFERROR(INDEX('Date actuale'!$D$6:$D$40,MATCH(A6,'Date actuale'!$A$6:$A$40,0)),""))</f>
        <v>1420</v>
      </c>
      <c r="N6" s="32" t="n">
        <f aca="false">IF(Sezoane!$A$7="","",IFERROR(INDEX('Date actuale'!$E$6:$E$40,MATCH(A6,'Date actuale'!$A$6:$A$40,0)),""))</f>
        <v>1360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1890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1630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2270</v>
      </c>
      <c r="M8" s="32" t="n">
        <f aca="false">IF(Sezoane!$A$9="","",IFERROR(INDEX('Date actuale'!$D$6:$D$40,MATCH(A8,'Date actuale'!$A$6:$A$40,0)),""))</f>
        <v>2040</v>
      </c>
      <c r="N8" s="32" t="n">
        <f aca="false">IF(Sezoane!$A$9="","",IFERROR(INDEX('Date actuale'!$E$6:$E$40,MATCH(A8,'Date actuale'!$A$6:$A$40,0)),""))</f>
        <v>1960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1700</v>
      </c>
      <c r="M9" s="32" t="n">
        <f aca="false">IF(Sezoane!$A$10="","",IFERROR(INDEX('Date actuale'!$D$6:$D$40,MATCH(A9,'Date actuale'!$A$6:$A$40,0)),""))</f>
        <v>1530</v>
      </c>
      <c r="N9" s="32" t="n">
        <f aca="false">IF(Sezoane!$A$10="","",IFERROR(INDEX('Date actuale'!$E$6:$E$40,MATCH(A9,'Date actuale'!$A$6:$A$40,0)),""))</f>
        <v>1470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1830</v>
      </c>
      <c r="M10" s="32" t="n">
        <f aca="false">IF(Sezoane!$A$11="","",IFERROR(INDEX('Date actuale'!$D$6:$D$40,MATCH(A10,'Date actuale'!$A$6:$A$40,0)),""))</f>
        <v>1640</v>
      </c>
      <c r="N10" s="32" t="n">
        <f aca="false">IF(Sezoane!$A$11="","",IFERROR(INDEX('Date actuale'!$E$6:$E$40,MATCH(A10,'Date actuale'!$A$6:$A$40,0)),""))</f>
        <v>1580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>primavara-2027</v>
      </c>
      <c r="B11" s="26" t="n">
        <f aca="false">IF(Sezoane!$A$12="","",Sezoane!C12)</f>
        <v>46454</v>
      </c>
      <c r="C11" s="26" t="n">
        <f aca="false">IF(Sezoane!$A$12="","",Sezoane!D12)</f>
        <v>46568</v>
      </c>
      <c r="D11" s="27" t="n">
        <f aca="false">IF(Sezoane!$A$12="","",Sezoane!F12)</f>
        <v>2</v>
      </c>
      <c r="E11" s="28" t="n">
        <f aca="false">IF(Sezoane!$A$12="","",Sezoane!E12)</f>
        <v>900</v>
      </c>
      <c r="F11" s="29" t="n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11" s="29" t="n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>1020</v>
      </c>
      <c r="H11" s="29" t="n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11" s="30" t="n">
        <f aca="false">IF(Sezoane!$A$12="","",(Sezoane!E12-Platforme!$B$8)*(1-(Platforme!$B$11+Platforme!$B$12-Platforme!$B$11*Platforme!$B$12)))</f>
        <v>852</v>
      </c>
      <c r="J11" s="30" t="n">
        <f aca="false">IF(Sezoane!$A$12="","",F11*(1-Platforme!$C$14))</f>
        <v>1017</v>
      </c>
      <c r="K11" s="31" t="n">
        <f aca="false">IF(Sezoane!$A$12="","",1-E11/MIN(J11,G11,H11))</f>
        <v>0.0816326530612245</v>
      </c>
      <c r="L11" s="32" t="n">
        <f aca="false">IF(Sezoane!$A$12="","",IFERROR(INDEX('Date actuale'!$C$6:$C$40,MATCH(A11,'Date actuale'!$A$6:$A$40,0)),""))</f>
        <v>1130</v>
      </c>
      <c r="M11" s="32" t="n">
        <f aca="false">IF(Sezoane!$A$12="","",IFERROR(INDEX('Date actuale'!$D$6:$D$40,MATCH(A11,'Date actuale'!$A$6:$A$40,0)),""))</f>
        <v>1020</v>
      </c>
      <c r="N11" s="32" t="n">
        <f aca="false">IF(Sezoane!$A$12="","",IFERROR(INDEX('Date actuale'!$E$6:$E$40,MATCH(A11,'Date actuale'!$A$6:$A$40,0)),""))</f>
        <v>980</v>
      </c>
      <c r="O11" s="25" t="str">
        <f aca="false">IF(Sezoane!$A$12="","",Sezoane!M12)</f>
        <v>Flexibil 14 zile</v>
      </c>
      <c r="P11" s="28" t="str">
        <f aca="false">IF(OR(Sezoane!$A$12="",N(Sezoane!O12)=0),"",Sezoane!O12)</f>
        <v/>
      </c>
      <c r="Q11" s="30" t="n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>813.9</v>
      </c>
      <c r="R11" s="31" t="n">
        <f aca="false">IF(Sezoane!$A$12="","",Q11/U11-1)</f>
        <v>0.00304577464788736</v>
      </c>
      <c r="S11" s="30" t="n">
        <f aca="false">IF(Sezoane!$A$12="","",G11*(1-Platforme!$B$28))</f>
        <v>867</v>
      </c>
      <c r="T11" s="30" t="n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>684.615</v>
      </c>
      <c r="U11" s="33" t="n">
        <f aca="false">IF(Sezoane!$A$12="","",I11/(1+Platforme!$B$31))</f>
        <v>811.428571428571</v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140</v>
      </c>
      <c r="B4" s="12" t="n">
        <v>46402</v>
      </c>
      <c r="C4" s="2"/>
      <c r="D4" s="10"/>
      <c r="E4" s="10" t="s">
        <v>82</v>
      </c>
      <c r="F4" s="10" t="s">
        <v>83</v>
      </c>
      <c r="G4" s="10" t="s">
        <v>84</v>
      </c>
      <c r="H4" s="10" t="s">
        <v>85</v>
      </c>
    </row>
    <row r="5" customFormat="false" ht="15" hidden="false" customHeight="false" outlineLevel="0" collapsed="false">
      <c r="A5" s="19" t="s">
        <v>141</v>
      </c>
      <c r="B5" s="11" t="n">
        <v>4</v>
      </c>
      <c r="C5" s="2"/>
      <c r="D5" s="5" t="s">
        <v>142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143</v>
      </c>
      <c r="B6" s="11" t="n">
        <v>4</v>
      </c>
      <c r="C6" s="2"/>
      <c r="D6" s="5" t="s">
        <v>144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145</v>
      </c>
      <c r="B7" s="11" t="n">
        <v>1</v>
      </c>
      <c r="C7" s="2"/>
      <c r="D7" s="5" t="s">
        <v>146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147</v>
      </c>
      <c r="B8" s="34" t="n">
        <f aca="false">B4+B5</f>
        <v>46406</v>
      </c>
      <c r="C8" s="2"/>
      <c r="D8" s="5" t="s">
        <v>148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149</v>
      </c>
      <c r="B9" s="35" t="str">
        <f aca="false">IFERROR(INDEX(Sezoane!$A$6:$A$40,MATCH(B4,Sezoane!$C$6:$C$40,1)),"")</f>
        <v>iarna-2027</v>
      </c>
      <c r="C9" s="2"/>
      <c r="D9" s="5" t="s">
        <v>150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151</v>
      </c>
      <c r="B10" s="36" t="n">
        <f aca="false">IFERROR(INDEX(Sezoane!$F$6:$F$40,MATCH(B4,Sezoane!$C$6:$C$40,1)),"")</f>
        <v>2</v>
      </c>
      <c r="C10" s="2"/>
      <c r="D10" s="5" t="s">
        <v>152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153</v>
      </c>
      <c r="B11" s="23" t="n">
        <f aca="false">IFERROR(IF(B5&lt;B10,0,N(INDEX(Sezoane!$G$6:$L$40,MATCH(B4,Sezoane!$C$6:$C$40,1),MIN(B5,7)-1))),0)</f>
        <v>0.2</v>
      </c>
      <c r="C11" s="2"/>
      <c r="D11" s="5" t="s">
        <v>154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155</v>
      </c>
      <c r="B12" s="23" t="n">
        <f aca="false">IF(B5&gt;=28,Platforme!B21,IF(B5&gt;=7,Platforme!B20,0))</f>
        <v>0</v>
      </c>
      <c r="C12" s="2"/>
      <c r="D12" s="5" t="s">
        <v>156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157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158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159</v>
      </c>
      <c r="B19" s="10" t="s">
        <v>160</v>
      </c>
      <c r="C19" s="10" t="s">
        <v>161</v>
      </c>
      <c r="D19" s="10" t="s">
        <v>162</v>
      </c>
      <c r="E19" s="10" t="s">
        <v>163</v>
      </c>
      <c r="F19" s="10" t="s">
        <v>84</v>
      </c>
      <c r="G19" s="10" t="s">
        <v>85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165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160</v>
      </c>
      <c r="B4" s="10" t="s">
        <v>166</v>
      </c>
      <c r="C4" s="10" t="s">
        <v>161</v>
      </c>
      <c r="D4" s="10" t="s">
        <v>120</v>
      </c>
      <c r="E4" s="10" t="s">
        <v>162</v>
      </c>
      <c r="F4" s="10" t="s">
        <v>163</v>
      </c>
      <c r="G4" s="10" t="s">
        <v>84</v>
      </c>
      <c r="H4" s="10" t="s">
        <v>85</v>
      </c>
      <c r="I4" s="10" t="s">
        <v>167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primavara-2027</v>
      </c>
      <c r="D143" s="43" t="n">
        <f aca="false">IF(AND(ISNUMBER(MATCH(A143,Sezoane!$C$6:$C$40,1)),A143&lt;=INDEX(Sezoane!$D$6:$D$40,MATCH(A143,Sezoane!$C$6:$C$40,1))),INDEX(Sezoane!$F$6:$F$40,MATCH(A143,Sezoane!$C$6:$C$40,1)),"")</f>
        <v>2</v>
      </c>
      <c r="E143" s="44" t="n">
        <f aca="false">IF(AND(ISNUMBER(MATCH(A143,Sezoane!$C$6:$C$40,1)),A143&lt;=INDEX(Sezoane!$D$6:$D$40,MATCH(A143,Sezoane!$C$6:$C$40,1))),INDEX('Prețuri de setat'!$E$5:$E$39,MATCH(A143,Sezoane!$C$6:$C$40,1)),"")</f>
        <v>900</v>
      </c>
      <c r="F143" s="44" t="n">
        <f aca="false">IF(AND(ISNUMBER(MATCH(A143,Sezoane!$C$6:$C$40,1)),A143&lt;=INDEX(Sezoane!$D$6:$D$40,MATCH(A143,Sezoane!$C$6:$C$40,1))),INDEX('Prețuri de setat'!$F$5:$F$39,MATCH(A143,Sezoane!$C$6:$C$40,1)),"")</f>
        <v>1130</v>
      </c>
      <c r="G143" s="44" t="n">
        <f aca="false">IF(AND(ISNUMBER(MATCH(A143,Sezoane!$C$6:$C$40,1)),A143&lt;=INDEX(Sezoane!$D$6:$D$40,MATCH(A143,Sezoane!$C$6:$C$40,1))),INDEX('Prețuri de setat'!$G$5:$G$39,MATCH(A143,Sezoane!$C$6:$C$40,1)),"")</f>
        <v>1020</v>
      </c>
      <c r="H143" s="44" t="n">
        <f aca="false">IF(AND(ISNUMBER(MATCH(A143,Sezoane!$C$6:$C$40,1)),A143&lt;=INDEX(Sezoane!$D$6:$D$40,MATCH(A143,Sezoane!$C$6:$C$40,1))),INDEX('Prețuri de setat'!$H$5:$H$39,MATCH(A143,Sezoane!$C$6:$C$40,1)),"")</f>
        <v>980</v>
      </c>
      <c r="I143" s="44" t="n">
        <f aca="false">IF(AND(ISNUMBER(MATCH(A143,Sezoane!$C$6:$C$40,1)),A143&lt;=INDEX(Sezoane!$D$6:$D$40,MATCH(A143,Sezoane!$C$6:$C$40,1))),INDEX('Prețuri de setat'!$I$5:$I$39,MATCH(A143,Sezoane!$C$6:$C$40,1)),"")</f>
        <v>852</v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primavara-2027</v>
      </c>
      <c r="D144" s="43" t="n">
        <f aca="false">IF(AND(ISNUMBER(MATCH(A144,Sezoane!$C$6:$C$40,1)),A144&lt;=INDEX(Sezoane!$D$6:$D$40,MATCH(A144,Sezoane!$C$6:$C$40,1))),INDEX(Sezoane!$F$6:$F$40,MATCH(A144,Sezoane!$C$6:$C$40,1)),"")</f>
        <v>2</v>
      </c>
      <c r="E144" s="44" t="n">
        <f aca="false">IF(AND(ISNUMBER(MATCH(A144,Sezoane!$C$6:$C$40,1)),A144&lt;=INDEX(Sezoane!$D$6:$D$40,MATCH(A144,Sezoane!$C$6:$C$40,1))),INDEX('Prețuri de setat'!$E$5:$E$39,MATCH(A144,Sezoane!$C$6:$C$40,1)),"")</f>
        <v>900</v>
      </c>
      <c r="F144" s="44" t="n">
        <f aca="false">IF(AND(ISNUMBER(MATCH(A144,Sezoane!$C$6:$C$40,1)),A144&lt;=INDEX(Sezoane!$D$6:$D$40,MATCH(A144,Sezoane!$C$6:$C$40,1))),INDEX('Prețuri de setat'!$F$5:$F$39,MATCH(A144,Sezoane!$C$6:$C$40,1)),"")</f>
        <v>1130</v>
      </c>
      <c r="G144" s="44" t="n">
        <f aca="false">IF(AND(ISNUMBER(MATCH(A144,Sezoane!$C$6:$C$40,1)),A144&lt;=INDEX(Sezoane!$D$6:$D$40,MATCH(A144,Sezoane!$C$6:$C$40,1))),INDEX('Prețuri de setat'!$G$5:$G$39,MATCH(A144,Sezoane!$C$6:$C$40,1)),"")</f>
        <v>1020</v>
      </c>
      <c r="H144" s="44" t="n">
        <f aca="false">IF(AND(ISNUMBER(MATCH(A144,Sezoane!$C$6:$C$40,1)),A144&lt;=INDEX(Sezoane!$D$6:$D$40,MATCH(A144,Sezoane!$C$6:$C$40,1))),INDEX('Prețuri de setat'!$H$5:$H$39,MATCH(A144,Sezoane!$C$6:$C$40,1)),"")</f>
        <v>980</v>
      </c>
      <c r="I144" s="44" t="n">
        <f aca="false">IF(AND(ISNUMBER(MATCH(A144,Sezoane!$C$6:$C$40,1)),A144&lt;=INDEX(Sezoane!$D$6:$D$40,MATCH(A144,Sezoane!$C$6:$C$40,1))),INDEX('Prețuri de setat'!$I$5:$I$39,MATCH(A144,Sezoane!$C$6:$C$40,1)),"")</f>
        <v>852</v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primavara-2027</v>
      </c>
      <c r="D145" s="43" t="n">
        <f aca="false">IF(AND(ISNUMBER(MATCH(A145,Sezoane!$C$6:$C$40,1)),A145&lt;=INDEX(Sezoane!$D$6:$D$40,MATCH(A145,Sezoane!$C$6:$C$40,1))),INDEX(Sezoane!$F$6:$F$40,MATCH(A145,Sezoane!$C$6:$C$40,1)),"")</f>
        <v>2</v>
      </c>
      <c r="E145" s="44" t="n">
        <f aca="false">IF(AND(ISNUMBER(MATCH(A145,Sezoane!$C$6:$C$40,1)),A145&lt;=INDEX(Sezoane!$D$6:$D$40,MATCH(A145,Sezoane!$C$6:$C$40,1))),INDEX('Prețuri de setat'!$E$5:$E$39,MATCH(A145,Sezoane!$C$6:$C$40,1)),"")</f>
        <v>900</v>
      </c>
      <c r="F145" s="44" t="n">
        <f aca="false">IF(AND(ISNUMBER(MATCH(A145,Sezoane!$C$6:$C$40,1)),A145&lt;=INDEX(Sezoane!$D$6:$D$40,MATCH(A145,Sezoane!$C$6:$C$40,1))),INDEX('Prețuri de setat'!$F$5:$F$39,MATCH(A145,Sezoane!$C$6:$C$40,1)),"")</f>
        <v>1130</v>
      </c>
      <c r="G145" s="44" t="n">
        <f aca="false">IF(AND(ISNUMBER(MATCH(A145,Sezoane!$C$6:$C$40,1)),A145&lt;=INDEX(Sezoane!$D$6:$D$40,MATCH(A145,Sezoane!$C$6:$C$40,1))),INDEX('Prețuri de setat'!$G$5:$G$39,MATCH(A145,Sezoane!$C$6:$C$40,1)),"")</f>
        <v>1020</v>
      </c>
      <c r="H145" s="44" t="n">
        <f aca="false">IF(AND(ISNUMBER(MATCH(A145,Sezoane!$C$6:$C$40,1)),A145&lt;=INDEX(Sezoane!$D$6:$D$40,MATCH(A145,Sezoane!$C$6:$C$40,1))),INDEX('Prețuri de setat'!$H$5:$H$39,MATCH(A145,Sezoane!$C$6:$C$40,1)),"")</f>
        <v>980</v>
      </c>
      <c r="I145" s="44" t="n">
        <f aca="false">IF(AND(ISNUMBER(MATCH(A145,Sezoane!$C$6:$C$40,1)),A145&lt;=INDEX(Sezoane!$D$6:$D$40,MATCH(A145,Sezoane!$C$6:$C$40,1))),INDEX('Prețuri de setat'!$I$5:$I$39,MATCH(A145,Sezoane!$C$6:$C$40,1)),"")</f>
        <v>852</v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primavara-2027</v>
      </c>
      <c r="D146" s="43" t="n">
        <f aca="false">IF(AND(ISNUMBER(MATCH(A146,Sezoane!$C$6:$C$40,1)),A146&lt;=INDEX(Sezoane!$D$6:$D$40,MATCH(A146,Sezoane!$C$6:$C$40,1))),INDEX(Sezoane!$F$6:$F$40,MATCH(A146,Sezoane!$C$6:$C$40,1)),"")</f>
        <v>2</v>
      </c>
      <c r="E146" s="44" t="n">
        <f aca="false">IF(AND(ISNUMBER(MATCH(A146,Sezoane!$C$6:$C$40,1)),A146&lt;=INDEX(Sezoane!$D$6:$D$40,MATCH(A146,Sezoane!$C$6:$C$40,1))),INDEX('Prețuri de setat'!$E$5:$E$39,MATCH(A146,Sezoane!$C$6:$C$40,1)),"")</f>
        <v>900</v>
      </c>
      <c r="F146" s="44" t="n">
        <f aca="false">IF(AND(ISNUMBER(MATCH(A146,Sezoane!$C$6:$C$40,1)),A146&lt;=INDEX(Sezoane!$D$6:$D$40,MATCH(A146,Sezoane!$C$6:$C$40,1))),INDEX('Prețuri de setat'!$F$5:$F$39,MATCH(A146,Sezoane!$C$6:$C$40,1)),"")</f>
        <v>1130</v>
      </c>
      <c r="G146" s="44" t="n">
        <f aca="false">IF(AND(ISNUMBER(MATCH(A146,Sezoane!$C$6:$C$40,1)),A146&lt;=INDEX(Sezoane!$D$6:$D$40,MATCH(A146,Sezoane!$C$6:$C$40,1))),INDEX('Prețuri de setat'!$G$5:$G$39,MATCH(A146,Sezoane!$C$6:$C$40,1)),"")</f>
        <v>1020</v>
      </c>
      <c r="H146" s="44" t="n">
        <f aca="false">IF(AND(ISNUMBER(MATCH(A146,Sezoane!$C$6:$C$40,1)),A146&lt;=INDEX(Sezoane!$D$6:$D$40,MATCH(A146,Sezoane!$C$6:$C$40,1))),INDEX('Prețuri de setat'!$H$5:$H$39,MATCH(A146,Sezoane!$C$6:$C$40,1)),"")</f>
        <v>980</v>
      </c>
      <c r="I146" s="44" t="n">
        <f aca="false">IF(AND(ISNUMBER(MATCH(A146,Sezoane!$C$6:$C$40,1)),A146&lt;=INDEX(Sezoane!$D$6:$D$40,MATCH(A146,Sezoane!$C$6:$C$40,1))),INDEX('Prețuri de setat'!$I$5:$I$39,MATCH(A146,Sezoane!$C$6:$C$40,1)),"")</f>
        <v>852</v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primavara-2027</v>
      </c>
      <c r="D147" s="43" t="n">
        <f aca="false">IF(AND(ISNUMBER(MATCH(A147,Sezoane!$C$6:$C$40,1)),A147&lt;=INDEX(Sezoane!$D$6:$D$40,MATCH(A147,Sezoane!$C$6:$C$40,1))),INDEX(Sezoane!$F$6:$F$40,MATCH(A147,Sezoane!$C$6:$C$40,1)),"")</f>
        <v>2</v>
      </c>
      <c r="E147" s="44" t="n">
        <f aca="false">IF(AND(ISNUMBER(MATCH(A147,Sezoane!$C$6:$C$40,1)),A147&lt;=INDEX(Sezoane!$D$6:$D$40,MATCH(A147,Sezoane!$C$6:$C$40,1))),INDEX('Prețuri de setat'!$E$5:$E$39,MATCH(A147,Sezoane!$C$6:$C$40,1)),"")</f>
        <v>900</v>
      </c>
      <c r="F147" s="44" t="n">
        <f aca="false">IF(AND(ISNUMBER(MATCH(A147,Sezoane!$C$6:$C$40,1)),A147&lt;=INDEX(Sezoane!$D$6:$D$40,MATCH(A147,Sezoane!$C$6:$C$40,1))),INDEX('Prețuri de setat'!$F$5:$F$39,MATCH(A147,Sezoane!$C$6:$C$40,1)),"")</f>
        <v>1130</v>
      </c>
      <c r="G147" s="44" t="n">
        <f aca="false">IF(AND(ISNUMBER(MATCH(A147,Sezoane!$C$6:$C$40,1)),A147&lt;=INDEX(Sezoane!$D$6:$D$40,MATCH(A147,Sezoane!$C$6:$C$40,1))),INDEX('Prețuri de setat'!$G$5:$G$39,MATCH(A147,Sezoane!$C$6:$C$40,1)),"")</f>
        <v>1020</v>
      </c>
      <c r="H147" s="44" t="n">
        <f aca="false">IF(AND(ISNUMBER(MATCH(A147,Sezoane!$C$6:$C$40,1)),A147&lt;=INDEX(Sezoane!$D$6:$D$40,MATCH(A147,Sezoane!$C$6:$C$40,1))),INDEX('Prețuri de setat'!$H$5:$H$39,MATCH(A147,Sezoane!$C$6:$C$40,1)),"")</f>
        <v>980</v>
      </c>
      <c r="I147" s="44" t="n">
        <f aca="false">IF(AND(ISNUMBER(MATCH(A147,Sezoane!$C$6:$C$40,1)),A147&lt;=INDEX(Sezoane!$D$6:$D$40,MATCH(A147,Sezoane!$C$6:$C$40,1))),INDEX('Prețuri de setat'!$I$5:$I$39,MATCH(A147,Sezoane!$C$6:$C$40,1)),"")</f>
        <v>852</v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primavara-2027</v>
      </c>
      <c r="D148" s="43" t="n">
        <f aca="false">IF(AND(ISNUMBER(MATCH(A148,Sezoane!$C$6:$C$40,1)),A148&lt;=INDEX(Sezoane!$D$6:$D$40,MATCH(A148,Sezoane!$C$6:$C$40,1))),INDEX(Sezoane!$F$6:$F$40,MATCH(A148,Sezoane!$C$6:$C$40,1)),"")</f>
        <v>2</v>
      </c>
      <c r="E148" s="44" t="n">
        <f aca="false">IF(AND(ISNUMBER(MATCH(A148,Sezoane!$C$6:$C$40,1)),A148&lt;=INDEX(Sezoane!$D$6:$D$40,MATCH(A148,Sezoane!$C$6:$C$40,1))),INDEX('Prețuri de setat'!$E$5:$E$39,MATCH(A148,Sezoane!$C$6:$C$40,1)),"")</f>
        <v>900</v>
      </c>
      <c r="F148" s="44" t="n">
        <f aca="false">IF(AND(ISNUMBER(MATCH(A148,Sezoane!$C$6:$C$40,1)),A148&lt;=INDEX(Sezoane!$D$6:$D$40,MATCH(A148,Sezoane!$C$6:$C$40,1))),INDEX('Prețuri de setat'!$F$5:$F$39,MATCH(A148,Sezoane!$C$6:$C$40,1)),"")</f>
        <v>1130</v>
      </c>
      <c r="G148" s="44" t="n">
        <f aca="false">IF(AND(ISNUMBER(MATCH(A148,Sezoane!$C$6:$C$40,1)),A148&lt;=INDEX(Sezoane!$D$6:$D$40,MATCH(A148,Sezoane!$C$6:$C$40,1))),INDEX('Prețuri de setat'!$G$5:$G$39,MATCH(A148,Sezoane!$C$6:$C$40,1)),"")</f>
        <v>1020</v>
      </c>
      <c r="H148" s="44" t="n">
        <f aca="false">IF(AND(ISNUMBER(MATCH(A148,Sezoane!$C$6:$C$40,1)),A148&lt;=INDEX(Sezoane!$D$6:$D$40,MATCH(A148,Sezoane!$C$6:$C$40,1))),INDEX('Prețuri de setat'!$H$5:$H$39,MATCH(A148,Sezoane!$C$6:$C$40,1)),"")</f>
        <v>980</v>
      </c>
      <c r="I148" s="44" t="n">
        <f aca="false">IF(AND(ISNUMBER(MATCH(A148,Sezoane!$C$6:$C$40,1)),A148&lt;=INDEX(Sezoane!$D$6:$D$40,MATCH(A148,Sezoane!$C$6:$C$40,1))),INDEX('Prețuri de setat'!$I$5:$I$39,MATCH(A148,Sezoane!$C$6:$C$40,1)),"")</f>
        <v>852</v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primavara-2027</v>
      </c>
      <c r="D149" s="43" t="n">
        <f aca="false">IF(AND(ISNUMBER(MATCH(A149,Sezoane!$C$6:$C$40,1)),A149&lt;=INDEX(Sezoane!$D$6:$D$40,MATCH(A149,Sezoane!$C$6:$C$40,1))),INDEX(Sezoane!$F$6:$F$40,MATCH(A149,Sezoane!$C$6:$C$40,1)),"")</f>
        <v>2</v>
      </c>
      <c r="E149" s="44" t="n">
        <f aca="false">IF(AND(ISNUMBER(MATCH(A149,Sezoane!$C$6:$C$40,1)),A149&lt;=INDEX(Sezoane!$D$6:$D$40,MATCH(A149,Sezoane!$C$6:$C$40,1))),INDEX('Prețuri de setat'!$E$5:$E$39,MATCH(A149,Sezoane!$C$6:$C$40,1)),"")</f>
        <v>900</v>
      </c>
      <c r="F149" s="44" t="n">
        <f aca="false">IF(AND(ISNUMBER(MATCH(A149,Sezoane!$C$6:$C$40,1)),A149&lt;=INDEX(Sezoane!$D$6:$D$40,MATCH(A149,Sezoane!$C$6:$C$40,1))),INDEX('Prețuri de setat'!$F$5:$F$39,MATCH(A149,Sezoane!$C$6:$C$40,1)),"")</f>
        <v>1130</v>
      </c>
      <c r="G149" s="44" t="n">
        <f aca="false">IF(AND(ISNUMBER(MATCH(A149,Sezoane!$C$6:$C$40,1)),A149&lt;=INDEX(Sezoane!$D$6:$D$40,MATCH(A149,Sezoane!$C$6:$C$40,1))),INDEX('Prețuri de setat'!$G$5:$G$39,MATCH(A149,Sezoane!$C$6:$C$40,1)),"")</f>
        <v>1020</v>
      </c>
      <c r="H149" s="44" t="n">
        <f aca="false">IF(AND(ISNUMBER(MATCH(A149,Sezoane!$C$6:$C$40,1)),A149&lt;=INDEX(Sezoane!$D$6:$D$40,MATCH(A149,Sezoane!$C$6:$C$40,1))),INDEX('Prețuri de setat'!$H$5:$H$39,MATCH(A149,Sezoane!$C$6:$C$40,1)),"")</f>
        <v>980</v>
      </c>
      <c r="I149" s="44" t="n">
        <f aca="false">IF(AND(ISNUMBER(MATCH(A149,Sezoane!$C$6:$C$40,1)),A149&lt;=INDEX(Sezoane!$D$6:$D$40,MATCH(A149,Sezoane!$C$6:$C$40,1))),INDEX('Prețuri de setat'!$I$5:$I$39,MATCH(A149,Sezoane!$C$6:$C$40,1)),"")</f>
        <v>852</v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primavara-2027</v>
      </c>
      <c r="D150" s="43" t="n">
        <f aca="false">IF(AND(ISNUMBER(MATCH(A150,Sezoane!$C$6:$C$40,1)),A150&lt;=INDEX(Sezoane!$D$6:$D$40,MATCH(A150,Sezoane!$C$6:$C$40,1))),INDEX(Sezoane!$F$6:$F$40,MATCH(A150,Sezoane!$C$6:$C$40,1)),"")</f>
        <v>2</v>
      </c>
      <c r="E150" s="44" t="n">
        <f aca="false">IF(AND(ISNUMBER(MATCH(A150,Sezoane!$C$6:$C$40,1)),A150&lt;=INDEX(Sezoane!$D$6:$D$40,MATCH(A150,Sezoane!$C$6:$C$40,1))),INDEX('Prețuri de setat'!$E$5:$E$39,MATCH(A150,Sezoane!$C$6:$C$40,1)),"")</f>
        <v>900</v>
      </c>
      <c r="F150" s="44" t="n">
        <f aca="false">IF(AND(ISNUMBER(MATCH(A150,Sezoane!$C$6:$C$40,1)),A150&lt;=INDEX(Sezoane!$D$6:$D$40,MATCH(A150,Sezoane!$C$6:$C$40,1))),INDEX('Prețuri de setat'!$F$5:$F$39,MATCH(A150,Sezoane!$C$6:$C$40,1)),"")</f>
        <v>1130</v>
      </c>
      <c r="G150" s="44" t="n">
        <f aca="false">IF(AND(ISNUMBER(MATCH(A150,Sezoane!$C$6:$C$40,1)),A150&lt;=INDEX(Sezoane!$D$6:$D$40,MATCH(A150,Sezoane!$C$6:$C$40,1))),INDEX('Prețuri de setat'!$G$5:$G$39,MATCH(A150,Sezoane!$C$6:$C$40,1)),"")</f>
        <v>1020</v>
      </c>
      <c r="H150" s="44" t="n">
        <f aca="false">IF(AND(ISNUMBER(MATCH(A150,Sezoane!$C$6:$C$40,1)),A150&lt;=INDEX(Sezoane!$D$6:$D$40,MATCH(A150,Sezoane!$C$6:$C$40,1))),INDEX('Prețuri de setat'!$H$5:$H$39,MATCH(A150,Sezoane!$C$6:$C$40,1)),"")</f>
        <v>980</v>
      </c>
      <c r="I150" s="44" t="n">
        <f aca="false">IF(AND(ISNUMBER(MATCH(A150,Sezoane!$C$6:$C$40,1)),A150&lt;=INDEX(Sezoane!$D$6:$D$40,MATCH(A150,Sezoane!$C$6:$C$40,1))),INDEX('Prețuri de setat'!$I$5:$I$39,MATCH(A150,Sezoane!$C$6:$C$40,1)),"")</f>
        <v>852</v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primavara-2027</v>
      </c>
      <c r="D151" s="43" t="n">
        <f aca="false">IF(AND(ISNUMBER(MATCH(A151,Sezoane!$C$6:$C$40,1)),A151&lt;=INDEX(Sezoane!$D$6:$D$40,MATCH(A151,Sezoane!$C$6:$C$40,1))),INDEX(Sezoane!$F$6:$F$40,MATCH(A151,Sezoane!$C$6:$C$40,1)),"")</f>
        <v>2</v>
      </c>
      <c r="E151" s="44" t="n">
        <f aca="false">IF(AND(ISNUMBER(MATCH(A151,Sezoane!$C$6:$C$40,1)),A151&lt;=INDEX(Sezoane!$D$6:$D$40,MATCH(A151,Sezoane!$C$6:$C$40,1))),INDEX('Prețuri de setat'!$E$5:$E$39,MATCH(A151,Sezoane!$C$6:$C$40,1)),"")</f>
        <v>900</v>
      </c>
      <c r="F151" s="44" t="n">
        <f aca="false">IF(AND(ISNUMBER(MATCH(A151,Sezoane!$C$6:$C$40,1)),A151&lt;=INDEX(Sezoane!$D$6:$D$40,MATCH(A151,Sezoane!$C$6:$C$40,1))),INDEX('Prețuri de setat'!$F$5:$F$39,MATCH(A151,Sezoane!$C$6:$C$40,1)),"")</f>
        <v>1130</v>
      </c>
      <c r="G151" s="44" t="n">
        <f aca="false">IF(AND(ISNUMBER(MATCH(A151,Sezoane!$C$6:$C$40,1)),A151&lt;=INDEX(Sezoane!$D$6:$D$40,MATCH(A151,Sezoane!$C$6:$C$40,1))),INDEX('Prețuri de setat'!$G$5:$G$39,MATCH(A151,Sezoane!$C$6:$C$40,1)),"")</f>
        <v>1020</v>
      </c>
      <c r="H151" s="44" t="n">
        <f aca="false">IF(AND(ISNUMBER(MATCH(A151,Sezoane!$C$6:$C$40,1)),A151&lt;=INDEX(Sezoane!$D$6:$D$40,MATCH(A151,Sezoane!$C$6:$C$40,1))),INDEX('Prețuri de setat'!$H$5:$H$39,MATCH(A151,Sezoane!$C$6:$C$40,1)),"")</f>
        <v>980</v>
      </c>
      <c r="I151" s="44" t="n">
        <f aca="false">IF(AND(ISNUMBER(MATCH(A151,Sezoane!$C$6:$C$40,1)),A151&lt;=INDEX(Sezoane!$D$6:$D$40,MATCH(A151,Sezoane!$C$6:$C$40,1))),INDEX('Prețuri de setat'!$I$5:$I$39,MATCH(A151,Sezoane!$C$6:$C$40,1)),"")</f>
        <v>852</v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primavara-2027</v>
      </c>
      <c r="D152" s="43" t="n">
        <f aca="false">IF(AND(ISNUMBER(MATCH(A152,Sezoane!$C$6:$C$40,1)),A152&lt;=INDEX(Sezoane!$D$6:$D$40,MATCH(A152,Sezoane!$C$6:$C$40,1))),INDEX(Sezoane!$F$6:$F$40,MATCH(A152,Sezoane!$C$6:$C$40,1)),"")</f>
        <v>2</v>
      </c>
      <c r="E152" s="44" t="n">
        <f aca="false">IF(AND(ISNUMBER(MATCH(A152,Sezoane!$C$6:$C$40,1)),A152&lt;=INDEX(Sezoane!$D$6:$D$40,MATCH(A152,Sezoane!$C$6:$C$40,1))),INDEX('Prețuri de setat'!$E$5:$E$39,MATCH(A152,Sezoane!$C$6:$C$40,1)),"")</f>
        <v>900</v>
      </c>
      <c r="F152" s="44" t="n">
        <f aca="false">IF(AND(ISNUMBER(MATCH(A152,Sezoane!$C$6:$C$40,1)),A152&lt;=INDEX(Sezoane!$D$6:$D$40,MATCH(A152,Sezoane!$C$6:$C$40,1))),INDEX('Prețuri de setat'!$F$5:$F$39,MATCH(A152,Sezoane!$C$6:$C$40,1)),"")</f>
        <v>1130</v>
      </c>
      <c r="G152" s="44" t="n">
        <f aca="false">IF(AND(ISNUMBER(MATCH(A152,Sezoane!$C$6:$C$40,1)),A152&lt;=INDEX(Sezoane!$D$6:$D$40,MATCH(A152,Sezoane!$C$6:$C$40,1))),INDEX('Prețuri de setat'!$G$5:$G$39,MATCH(A152,Sezoane!$C$6:$C$40,1)),"")</f>
        <v>1020</v>
      </c>
      <c r="H152" s="44" t="n">
        <f aca="false">IF(AND(ISNUMBER(MATCH(A152,Sezoane!$C$6:$C$40,1)),A152&lt;=INDEX(Sezoane!$D$6:$D$40,MATCH(A152,Sezoane!$C$6:$C$40,1))),INDEX('Prețuri de setat'!$H$5:$H$39,MATCH(A152,Sezoane!$C$6:$C$40,1)),"")</f>
        <v>980</v>
      </c>
      <c r="I152" s="44" t="n">
        <f aca="false">IF(AND(ISNUMBER(MATCH(A152,Sezoane!$C$6:$C$40,1)),A152&lt;=INDEX(Sezoane!$D$6:$D$40,MATCH(A152,Sezoane!$C$6:$C$40,1))),INDEX('Prețuri de setat'!$I$5:$I$39,MATCH(A152,Sezoane!$C$6:$C$40,1)),"")</f>
        <v>852</v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primavara-2027</v>
      </c>
      <c r="D153" s="43" t="n">
        <f aca="false">IF(AND(ISNUMBER(MATCH(A153,Sezoane!$C$6:$C$40,1)),A153&lt;=INDEX(Sezoane!$D$6:$D$40,MATCH(A153,Sezoane!$C$6:$C$40,1))),INDEX(Sezoane!$F$6:$F$40,MATCH(A153,Sezoane!$C$6:$C$40,1)),"")</f>
        <v>2</v>
      </c>
      <c r="E153" s="44" t="n">
        <f aca="false">IF(AND(ISNUMBER(MATCH(A153,Sezoane!$C$6:$C$40,1)),A153&lt;=INDEX(Sezoane!$D$6:$D$40,MATCH(A153,Sezoane!$C$6:$C$40,1))),INDEX('Prețuri de setat'!$E$5:$E$39,MATCH(A153,Sezoane!$C$6:$C$40,1)),"")</f>
        <v>900</v>
      </c>
      <c r="F153" s="44" t="n">
        <f aca="false">IF(AND(ISNUMBER(MATCH(A153,Sezoane!$C$6:$C$40,1)),A153&lt;=INDEX(Sezoane!$D$6:$D$40,MATCH(A153,Sezoane!$C$6:$C$40,1))),INDEX('Prețuri de setat'!$F$5:$F$39,MATCH(A153,Sezoane!$C$6:$C$40,1)),"")</f>
        <v>1130</v>
      </c>
      <c r="G153" s="44" t="n">
        <f aca="false">IF(AND(ISNUMBER(MATCH(A153,Sezoane!$C$6:$C$40,1)),A153&lt;=INDEX(Sezoane!$D$6:$D$40,MATCH(A153,Sezoane!$C$6:$C$40,1))),INDEX('Prețuri de setat'!$G$5:$G$39,MATCH(A153,Sezoane!$C$6:$C$40,1)),"")</f>
        <v>1020</v>
      </c>
      <c r="H153" s="44" t="n">
        <f aca="false">IF(AND(ISNUMBER(MATCH(A153,Sezoane!$C$6:$C$40,1)),A153&lt;=INDEX(Sezoane!$D$6:$D$40,MATCH(A153,Sezoane!$C$6:$C$40,1))),INDEX('Prețuri de setat'!$H$5:$H$39,MATCH(A153,Sezoane!$C$6:$C$40,1)),"")</f>
        <v>980</v>
      </c>
      <c r="I153" s="44" t="n">
        <f aca="false">IF(AND(ISNUMBER(MATCH(A153,Sezoane!$C$6:$C$40,1)),A153&lt;=INDEX(Sezoane!$D$6:$D$40,MATCH(A153,Sezoane!$C$6:$C$40,1))),INDEX('Prețuri de setat'!$I$5:$I$39,MATCH(A153,Sezoane!$C$6:$C$40,1)),"")</f>
        <v>852</v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primavara-2027</v>
      </c>
      <c r="D154" s="43" t="n">
        <f aca="false">IF(AND(ISNUMBER(MATCH(A154,Sezoane!$C$6:$C$40,1)),A154&lt;=INDEX(Sezoane!$D$6:$D$40,MATCH(A154,Sezoane!$C$6:$C$40,1))),INDEX(Sezoane!$F$6:$F$40,MATCH(A154,Sezoane!$C$6:$C$40,1)),"")</f>
        <v>2</v>
      </c>
      <c r="E154" s="44" t="n">
        <f aca="false">IF(AND(ISNUMBER(MATCH(A154,Sezoane!$C$6:$C$40,1)),A154&lt;=INDEX(Sezoane!$D$6:$D$40,MATCH(A154,Sezoane!$C$6:$C$40,1))),INDEX('Prețuri de setat'!$E$5:$E$39,MATCH(A154,Sezoane!$C$6:$C$40,1)),"")</f>
        <v>900</v>
      </c>
      <c r="F154" s="44" t="n">
        <f aca="false">IF(AND(ISNUMBER(MATCH(A154,Sezoane!$C$6:$C$40,1)),A154&lt;=INDEX(Sezoane!$D$6:$D$40,MATCH(A154,Sezoane!$C$6:$C$40,1))),INDEX('Prețuri de setat'!$F$5:$F$39,MATCH(A154,Sezoane!$C$6:$C$40,1)),"")</f>
        <v>1130</v>
      </c>
      <c r="G154" s="44" t="n">
        <f aca="false">IF(AND(ISNUMBER(MATCH(A154,Sezoane!$C$6:$C$40,1)),A154&lt;=INDEX(Sezoane!$D$6:$D$40,MATCH(A154,Sezoane!$C$6:$C$40,1))),INDEX('Prețuri de setat'!$G$5:$G$39,MATCH(A154,Sezoane!$C$6:$C$40,1)),"")</f>
        <v>1020</v>
      </c>
      <c r="H154" s="44" t="n">
        <f aca="false">IF(AND(ISNUMBER(MATCH(A154,Sezoane!$C$6:$C$40,1)),A154&lt;=INDEX(Sezoane!$D$6:$D$40,MATCH(A154,Sezoane!$C$6:$C$40,1))),INDEX('Prețuri de setat'!$H$5:$H$39,MATCH(A154,Sezoane!$C$6:$C$40,1)),"")</f>
        <v>980</v>
      </c>
      <c r="I154" s="44" t="n">
        <f aca="false">IF(AND(ISNUMBER(MATCH(A154,Sezoane!$C$6:$C$40,1)),A154&lt;=INDEX(Sezoane!$D$6:$D$40,MATCH(A154,Sezoane!$C$6:$C$40,1))),INDEX('Prețuri de setat'!$I$5:$I$39,MATCH(A154,Sezoane!$C$6:$C$40,1)),"")</f>
        <v>852</v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primavara-2027</v>
      </c>
      <c r="D155" s="43" t="n">
        <f aca="false">IF(AND(ISNUMBER(MATCH(A155,Sezoane!$C$6:$C$40,1)),A155&lt;=INDEX(Sezoane!$D$6:$D$40,MATCH(A155,Sezoane!$C$6:$C$40,1))),INDEX(Sezoane!$F$6:$F$40,MATCH(A155,Sezoane!$C$6:$C$40,1)),"")</f>
        <v>2</v>
      </c>
      <c r="E155" s="44" t="n">
        <f aca="false">IF(AND(ISNUMBER(MATCH(A155,Sezoane!$C$6:$C$40,1)),A155&lt;=INDEX(Sezoane!$D$6:$D$40,MATCH(A155,Sezoane!$C$6:$C$40,1))),INDEX('Prețuri de setat'!$E$5:$E$39,MATCH(A155,Sezoane!$C$6:$C$40,1)),"")</f>
        <v>900</v>
      </c>
      <c r="F155" s="44" t="n">
        <f aca="false">IF(AND(ISNUMBER(MATCH(A155,Sezoane!$C$6:$C$40,1)),A155&lt;=INDEX(Sezoane!$D$6:$D$40,MATCH(A155,Sezoane!$C$6:$C$40,1))),INDEX('Prețuri de setat'!$F$5:$F$39,MATCH(A155,Sezoane!$C$6:$C$40,1)),"")</f>
        <v>1130</v>
      </c>
      <c r="G155" s="44" t="n">
        <f aca="false">IF(AND(ISNUMBER(MATCH(A155,Sezoane!$C$6:$C$40,1)),A155&lt;=INDEX(Sezoane!$D$6:$D$40,MATCH(A155,Sezoane!$C$6:$C$40,1))),INDEX('Prețuri de setat'!$G$5:$G$39,MATCH(A155,Sezoane!$C$6:$C$40,1)),"")</f>
        <v>1020</v>
      </c>
      <c r="H155" s="44" t="n">
        <f aca="false">IF(AND(ISNUMBER(MATCH(A155,Sezoane!$C$6:$C$40,1)),A155&lt;=INDEX(Sezoane!$D$6:$D$40,MATCH(A155,Sezoane!$C$6:$C$40,1))),INDEX('Prețuri de setat'!$H$5:$H$39,MATCH(A155,Sezoane!$C$6:$C$40,1)),"")</f>
        <v>980</v>
      </c>
      <c r="I155" s="44" t="n">
        <f aca="false">IF(AND(ISNUMBER(MATCH(A155,Sezoane!$C$6:$C$40,1)),A155&lt;=INDEX(Sezoane!$D$6:$D$40,MATCH(A155,Sezoane!$C$6:$C$40,1))),INDEX('Prețuri de setat'!$I$5:$I$39,MATCH(A155,Sezoane!$C$6:$C$40,1)),"")</f>
        <v>852</v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primavara-2027</v>
      </c>
      <c r="D156" s="43" t="n">
        <f aca="false">IF(AND(ISNUMBER(MATCH(A156,Sezoane!$C$6:$C$40,1)),A156&lt;=INDEX(Sezoane!$D$6:$D$40,MATCH(A156,Sezoane!$C$6:$C$40,1))),INDEX(Sezoane!$F$6:$F$40,MATCH(A156,Sezoane!$C$6:$C$40,1)),"")</f>
        <v>2</v>
      </c>
      <c r="E156" s="44" t="n">
        <f aca="false">IF(AND(ISNUMBER(MATCH(A156,Sezoane!$C$6:$C$40,1)),A156&lt;=INDEX(Sezoane!$D$6:$D$40,MATCH(A156,Sezoane!$C$6:$C$40,1))),INDEX('Prețuri de setat'!$E$5:$E$39,MATCH(A156,Sezoane!$C$6:$C$40,1)),"")</f>
        <v>900</v>
      </c>
      <c r="F156" s="44" t="n">
        <f aca="false">IF(AND(ISNUMBER(MATCH(A156,Sezoane!$C$6:$C$40,1)),A156&lt;=INDEX(Sezoane!$D$6:$D$40,MATCH(A156,Sezoane!$C$6:$C$40,1))),INDEX('Prețuri de setat'!$F$5:$F$39,MATCH(A156,Sezoane!$C$6:$C$40,1)),"")</f>
        <v>1130</v>
      </c>
      <c r="G156" s="44" t="n">
        <f aca="false">IF(AND(ISNUMBER(MATCH(A156,Sezoane!$C$6:$C$40,1)),A156&lt;=INDEX(Sezoane!$D$6:$D$40,MATCH(A156,Sezoane!$C$6:$C$40,1))),INDEX('Prețuri de setat'!$G$5:$G$39,MATCH(A156,Sezoane!$C$6:$C$40,1)),"")</f>
        <v>1020</v>
      </c>
      <c r="H156" s="44" t="n">
        <f aca="false">IF(AND(ISNUMBER(MATCH(A156,Sezoane!$C$6:$C$40,1)),A156&lt;=INDEX(Sezoane!$D$6:$D$40,MATCH(A156,Sezoane!$C$6:$C$40,1))),INDEX('Prețuri de setat'!$H$5:$H$39,MATCH(A156,Sezoane!$C$6:$C$40,1)),"")</f>
        <v>980</v>
      </c>
      <c r="I156" s="44" t="n">
        <f aca="false">IF(AND(ISNUMBER(MATCH(A156,Sezoane!$C$6:$C$40,1)),A156&lt;=INDEX(Sezoane!$D$6:$D$40,MATCH(A156,Sezoane!$C$6:$C$40,1))),INDEX('Prețuri de setat'!$I$5:$I$39,MATCH(A156,Sezoane!$C$6:$C$40,1)),"")</f>
        <v>852</v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primavara-2027</v>
      </c>
      <c r="D157" s="43" t="n">
        <f aca="false">IF(AND(ISNUMBER(MATCH(A157,Sezoane!$C$6:$C$40,1)),A157&lt;=INDEX(Sezoane!$D$6:$D$40,MATCH(A157,Sezoane!$C$6:$C$40,1))),INDEX(Sezoane!$F$6:$F$40,MATCH(A157,Sezoane!$C$6:$C$40,1)),"")</f>
        <v>2</v>
      </c>
      <c r="E157" s="44" t="n">
        <f aca="false">IF(AND(ISNUMBER(MATCH(A157,Sezoane!$C$6:$C$40,1)),A157&lt;=INDEX(Sezoane!$D$6:$D$40,MATCH(A157,Sezoane!$C$6:$C$40,1))),INDEX('Prețuri de setat'!$E$5:$E$39,MATCH(A157,Sezoane!$C$6:$C$40,1)),"")</f>
        <v>900</v>
      </c>
      <c r="F157" s="44" t="n">
        <f aca="false">IF(AND(ISNUMBER(MATCH(A157,Sezoane!$C$6:$C$40,1)),A157&lt;=INDEX(Sezoane!$D$6:$D$40,MATCH(A157,Sezoane!$C$6:$C$40,1))),INDEX('Prețuri de setat'!$F$5:$F$39,MATCH(A157,Sezoane!$C$6:$C$40,1)),"")</f>
        <v>1130</v>
      </c>
      <c r="G157" s="44" t="n">
        <f aca="false">IF(AND(ISNUMBER(MATCH(A157,Sezoane!$C$6:$C$40,1)),A157&lt;=INDEX(Sezoane!$D$6:$D$40,MATCH(A157,Sezoane!$C$6:$C$40,1))),INDEX('Prețuri de setat'!$G$5:$G$39,MATCH(A157,Sezoane!$C$6:$C$40,1)),"")</f>
        <v>1020</v>
      </c>
      <c r="H157" s="44" t="n">
        <f aca="false">IF(AND(ISNUMBER(MATCH(A157,Sezoane!$C$6:$C$40,1)),A157&lt;=INDEX(Sezoane!$D$6:$D$40,MATCH(A157,Sezoane!$C$6:$C$40,1))),INDEX('Prețuri de setat'!$H$5:$H$39,MATCH(A157,Sezoane!$C$6:$C$40,1)),"")</f>
        <v>980</v>
      </c>
      <c r="I157" s="44" t="n">
        <f aca="false">IF(AND(ISNUMBER(MATCH(A157,Sezoane!$C$6:$C$40,1)),A157&lt;=INDEX(Sezoane!$D$6:$D$40,MATCH(A157,Sezoane!$C$6:$C$40,1))),INDEX('Prețuri de setat'!$I$5:$I$39,MATCH(A157,Sezoane!$C$6:$C$40,1)),"")</f>
        <v>852</v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primavara-2027</v>
      </c>
      <c r="D158" s="43" t="n">
        <f aca="false">IF(AND(ISNUMBER(MATCH(A158,Sezoane!$C$6:$C$40,1)),A158&lt;=INDEX(Sezoane!$D$6:$D$40,MATCH(A158,Sezoane!$C$6:$C$40,1))),INDEX(Sezoane!$F$6:$F$40,MATCH(A158,Sezoane!$C$6:$C$40,1)),"")</f>
        <v>2</v>
      </c>
      <c r="E158" s="44" t="n">
        <f aca="false">IF(AND(ISNUMBER(MATCH(A158,Sezoane!$C$6:$C$40,1)),A158&lt;=INDEX(Sezoane!$D$6:$D$40,MATCH(A158,Sezoane!$C$6:$C$40,1))),INDEX('Prețuri de setat'!$E$5:$E$39,MATCH(A158,Sezoane!$C$6:$C$40,1)),"")</f>
        <v>900</v>
      </c>
      <c r="F158" s="44" t="n">
        <f aca="false">IF(AND(ISNUMBER(MATCH(A158,Sezoane!$C$6:$C$40,1)),A158&lt;=INDEX(Sezoane!$D$6:$D$40,MATCH(A158,Sezoane!$C$6:$C$40,1))),INDEX('Prețuri de setat'!$F$5:$F$39,MATCH(A158,Sezoane!$C$6:$C$40,1)),"")</f>
        <v>1130</v>
      </c>
      <c r="G158" s="44" t="n">
        <f aca="false">IF(AND(ISNUMBER(MATCH(A158,Sezoane!$C$6:$C$40,1)),A158&lt;=INDEX(Sezoane!$D$6:$D$40,MATCH(A158,Sezoane!$C$6:$C$40,1))),INDEX('Prețuri de setat'!$G$5:$G$39,MATCH(A158,Sezoane!$C$6:$C$40,1)),"")</f>
        <v>1020</v>
      </c>
      <c r="H158" s="44" t="n">
        <f aca="false">IF(AND(ISNUMBER(MATCH(A158,Sezoane!$C$6:$C$40,1)),A158&lt;=INDEX(Sezoane!$D$6:$D$40,MATCH(A158,Sezoane!$C$6:$C$40,1))),INDEX('Prețuri de setat'!$H$5:$H$39,MATCH(A158,Sezoane!$C$6:$C$40,1)),"")</f>
        <v>980</v>
      </c>
      <c r="I158" s="44" t="n">
        <f aca="false">IF(AND(ISNUMBER(MATCH(A158,Sezoane!$C$6:$C$40,1)),A158&lt;=INDEX(Sezoane!$D$6:$D$40,MATCH(A158,Sezoane!$C$6:$C$40,1))),INDEX('Prețuri de setat'!$I$5:$I$39,MATCH(A158,Sezoane!$C$6:$C$40,1)),"")</f>
        <v>852</v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primavara-2027</v>
      </c>
      <c r="D159" s="43" t="n">
        <f aca="false">IF(AND(ISNUMBER(MATCH(A159,Sezoane!$C$6:$C$40,1)),A159&lt;=INDEX(Sezoane!$D$6:$D$40,MATCH(A159,Sezoane!$C$6:$C$40,1))),INDEX(Sezoane!$F$6:$F$40,MATCH(A159,Sezoane!$C$6:$C$40,1)),"")</f>
        <v>2</v>
      </c>
      <c r="E159" s="44" t="n">
        <f aca="false">IF(AND(ISNUMBER(MATCH(A159,Sezoane!$C$6:$C$40,1)),A159&lt;=INDEX(Sezoane!$D$6:$D$40,MATCH(A159,Sezoane!$C$6:$C$40,1))),INDEX('Prețuri de setat'!$E$5:$E$39,MATCH(A159,Sezoane!$C$6:$C$40,1)),"")</f>
        <v>900</v>
      </c>
      <c r="F159" s="44" t="n">
        <f aca="false">IF(AND(ISNUMBER(MATCH(A159,Sezoane!$C$6:$C$40,1)),A159&lt;=INDEX(Sezoane!$D$6:$D$40,MATCH(A159,Sezoane!$C$6:$C$40,1))),INDEX('Prețuri de setat'!$F$5:$F$39,MATCH(A159,Sezoane!$C$6:$C$40,1)),"")</f>
        <v>1130</v>
      </c>
      <c r="G159" s="44" t="n">
        <f aca="false">IF(AND(ISNUMBER(MATCH(A159,Sezoane!$C$6:$C$40,1)),A159&lt;=INDEX(Sezoane!$D$6:$D$40,MATCH(A159,Sezoane!$C$6:$C$40,1))),INDEX('Prețuri de setat'!$G$5:$G$39,MATCH(A159,Sezoane!$C$6:$C$40,1)),"")</f>
        <v>1020</v>
      </c>
      <c r="H159" s="44" t="n">
        <f aca="false">IF(AND(ISNUMBER(MATCH(A159,Sezoane!$C$6:$C$40,1)),A159&lt;=INDEX(Sezoane!$D$6:$D$40,MATCH(A159,Sezoane!$C$6:$C$40,1))),INDEX('Prețuri de setat'!$H$5:$H$39,MATCH(A159,Sezoane!$C$6:$C$40,1)),"")</f>
        <v>980</v>
      </c>
      <c r="I159" s="44" t="n">
        <f aca="false">IF(AND(ISNUMBER(MATCH(A159,Sezoane!$C$6:$C$40,1)),A159&lt;=INDEX(Sezoane!$D$6:$D$40,MATCH(A159,Sezoane!$C$6:$C$40,1))),INDEX('Prețuri de setat'!$I$5:$I$39,MATCH(A159,Sezoane!$C$6:$C$40,1)),"")</f>
        <v>852</v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primavara-2027</v>
      </c>
      <c r="D160" s="43" t="n">
        <f aca="false">IF(AND(ISNUMBER(MATCH(A160,Sezoane!$C$6:$C$40,1)),A160&lt;=INDEX(Sezoane!$D$6:$D$40,MATCH(A160,Sezoane!$C$6:$C$40,1))),INDEX(Sezoane!$F$6:$F$40,MATCH(A160,Sezoane!$C$6:$C$40,1)),"")</f>
        <v>2</v>
      </c>
      <c r="E160" s="44" t="n">
        <f aca="false">IF(AND(ISNUMBER(MATCH(A160,Sezoane!$C$6:$C$40,1)),A160&lt;=INDEX(Sezoane!$D$6:$D$40,MATCH(A160,Sezoane!$C$6:$C$40,1))),INDEX('Prețuri de setat'!$E$5:$E$39,MATCH(A160,Sezoane!$C$6:$C$40,1)),"")</f>
        <v>900</v>
      </c>
      <c r="F160" s="44" t="n">
        <f aca="false">IF(AND(ISNUMBER(MATCH(A160,Sezoane!$C$6:$C$40,1)),A160&lt;=INDEX(Sezoane!$D$6:$D$40,MATCH(A160,Sezoane!$C$6:$C$40,1))),INDEX('Prețuri de setat'!$F$5:$F$39,MATCH(A160,Sezoane!$C$6:$C$40,1)),"")</f>
        <v>1130</v>
      </c>
      <c r="G160" s="44" t="n">
        <f aca="false">IF(AND(ISNUMBER(MATCH(A160,Sezoane!$C$6:$C$40,1)),A160&lt;=INDEX(Sezoane!$D$6:$D$40,MATCH(A160,Sezoane!$C$6:$C$40,1))),INDEX('Prețuri de setat'!$G$5:$G$39,MATCH(A160,Sezoane!$C$6:$C$40,1)),"")</f>
        <v>1020</v>
      </c>
      <c r="H160" s="44" t="n">
        <f aca="false">IF(AND(ISNUMBER(MATCH(A160,Sezoane!$C$6:$C$40,1)),A160&lt;=INDEX(Sezoane!$D$6:$D$40,MATCH(A160,Sezoane!$C$6:$C$40,1))),INDEX('Prețuri de setat'!$H$5:$H$39,MATCH(A160,Sezoane!$C$6:$C$40,1)),"")</f>
        <v>980</v>
      </c>
      <c r="I160" s="44" t="n">
        <f aca="false">IF(AND(ISNUMBER(MATCH(A160,Sezoane!$C$6:$C$40,1)),A160&lt;=INDEX(Sezoane!$D$6:$D$40,MATCH(A160,Sezoane!$C$6:$C$40,1))),INDEX('Prețuri de setat'!$I$5:$I$39,MATCH(A160,Sezoane!$C$6:$C$40,1)),"")</f>
        <v>852</v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primavara-2027</v>
      </c>
      <c r="D161" s="43" t="n">
        <f aca="false">IF(AND(ISNUMBER(MATCH(A161,Sezoane!$C$6:$C$40,1)),A161&lt;=INDEX(Sezoane!$D$6:$D$40,MATCH(A161,Sezoane!$C$6:$C$40,1))),INDEX(Sezoane!$F$6:$F$40,MATCH(A161,Sezoane!$C$6:$C$40,1)),"")</f>
        <v>2</v>
      </c>
      <c r="E161" s="44" t="n">
        <f aca="false">IF(AND(ISNUMBER(MATCH(A161,Sezoane!$C$6:$C$40,1)),A161&lt;=INDEX(Sezoane!$D$6:$D$40,MATCH(A161,Sezoane!$C$6:$C$40,1))),INDEX('Prețuri de setat'!$E$5:$E$39,MATCH(A161,Sezoane!$C$6:$C$40,1)),"")</f>
        <v>900</v>
      </c>
      <c r="F161" s="44" t="n">
        <f aca="false">IF(AND(ISNUMBER(MATCH(A161,Sezoane!$C$6:$C$40,1)),A161&lt;=INDEX(Sezoane!$D$6:$D$40,MATCH(A161,Sezoane!$C$6:$C$40,1))),INDEX('Prețuri de setat'!$F$5:$F$39,MATCH(A161,Sezoane!$C$6:$C$40,1)),"")</f>
        <v>1130</v>
      </c>
      <c r="G161" s="44" t="n">
        <f aca="false">IF(AND(ISNUMBER(MATCH(A161,Sezoane!$C$6:$C$40,1)),A161&lt;=INDEX(Sezoane!$D$6:$D$40,MATCH(A161,Sezoane!$C$6:$C$40,1))),INDEX('Prețuri de setat'!$G$5:$G$39,MATCH(A161,Sezoane!$C$6:$C$40,1)),"")</f>
        <v>1020</v>
      </c>
      <c r="H161" s="44" t="n">
        <f aca="false">IF(AND(ISNUMBER(MATCH(A161,Sezoane!$C$6:$C$40,1)),A161&lt;=INDEX(Sezoane!$D$6:$D$40,MATCH(A161,Sezoane!$C$6:$C$40,1))),INDEX('Prețuri de setat'!$H$5:$H$39,MATCH(A161,Sezoane!$C$6:$C$40,1)),"")</f>
        <v>980</v>
      </c>
      <c r="I161" s="44" t="n">
        <f aca="false">IF(AND(ISNUMBER(MATCH(A161,Sezoane!$C$6:$C$40,1)),A161&lt;=INDEX(Sezoane!$D$6:$D$40,MATCH(A161,Sezoane!$C$6:$C$40,1))),INDEX('Prețuri de setat'!$I$5:$I$39,MATCH(A161,Sezoane!$C$6:$C$40,1)),"")</f>
        <v>852</v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primavara-2027</v>
      </c>
      <c r="D162" s="43" t="n">
        <f aca="false">IF(AND(ISNUMBER(MATCH(A162,Sezoane!$C$6:$C$40,1)),A162&lt;=INDEX(Sezoane!$D$6:$D$40,MATCH(A162,Sezoane!$C$6:$C$40,1))),INDEX(Sezoane!$F$6:$F$40,MATCH(A162,Sezoane!$C$6:$C$40,1)),"")</f>
        <v>2</v>
      </c>
      <c r="E162" s="44" t="n">
        <f aca="false">IF(AND(ISNUMBER(MATCH(A162,Sezoane!$C$6:$C$40,1)),A162&lt;=INDEX(Sezoane!$D$6:$D$40,MATCH(A162,Sezoane!$C$6:$C$40,1))),INDEX('Prețuri de setat'!$E$5:$E$39,MATCH(A162,Sezoane!$C$6:$C$40,1)),"")</f>
        <v>900</v>
      </c>
      <c r="F162" s="44" t="n">
        <f aca="false">IF(AND(ISNUMBER(MATCH(A162,Sezoane!$C$6:$C$40,1)),A162&lt;=INDEX(Sezoane!$D$6:$D$40,MATCH(A162,Sezoane!$C$6:$C$40,1))),INDEX('Prețuri de setat'!$F$5:$F$39,MATCH(A162,Sezoane!$C$6:$C$40,1)),"")</f>
        <v>1130</v>
      </c>
      <c r="G162" s="44" t="n">
        <f aca="false">IF(AND(ISNUMBER(MATCH(A162,Sezoane!$C$6:$C$40,1)),A162&lt;=INDEX(Sezoane!$D$6:$D$40,MATCH(A162,Sezoane!$C$6:$C$40,1))),INDEX('Prețuri de setat'!$G$5:$G$39,MATCH(A162,Sezoane!$C$6:$C$40,1)),"")</f>
        <v>1020</v>
      </c>
      <c r="H162" s="44" t="n">
        <f aca="false">IF(AND(ISNUMBER(MATCH(A162,Sezoane!$C$6:$C$40,1)),A162&lt;=INDEX(Sezoane!$D$6:$D$40,MATCH(A162,Sezoane!$C$6:$C$40,1))),INDEX('Prețuri de setat'!$H$5:$H$39,MATCH(A162,Sezoane!$C$6:$C$40,1)),"")</f>
        <v>980</v>
      </c>
      <c r="I162" s="44" t="n">
        <f aca="false">IF(AND(ISNUMBER(MATCH(A162,Sezoane!$C$6:$C$40,1)),A162&lt;=INDEX(Sezoane!$D$6:$D$40,MATCH(A162,Sezoane!$C$6:$C$40,1))),INDEX('Prețuri de setat'!$I$5:$I$39,MATCH(A162,Sezoane!$C$6:$C$40,1)),"")</f>
        <v>852</v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primavara-2027</v>
      </c>
      <c r="D163" s="43" t="n">
        <f aca="false">IF(AND(ISNUMBER(MATCH(A163,Sezoane!$C$6:$C$40,1)),A163&lt;=INDEX(Sezoane!$D$6:$D$40,MATCH(A163,Sezoane!$C$6:$C$40,1))),INDEX(Sezoane!$F$6:$F$40,MATCH(A163,Sezoane!$C$6:$C$40,1)),"")</f>
        <v>2</v>
      </c>
      <c r="E163" s="44" t="n">
        <f aca="false">IF(AND(ISNUMBER(MATCH(A163,Sezoane!$C$6:$C$40,1)),A163&lt;=INDEX(Sezoane!$D$6:$D$40,MATCH(A163,Sezoane!$C$6:$C$40,1))),INDEX('Prețuri de setat'!$E$5:$E$39,MATCH(A163,Sezoane!$C$6:$C$40,1)),"")</f>
        <v>900</v>
      </c>
      <c r="F163" s="44" t="n">
        <f aca="false">IF(AND(ISNUMBER(MATCH(A163,Sezoane!$C$6:$C$40,1)),A163&lt;=INDEX(Sezoane!$D$6:$D$40,MATCH(A163,Sezoane!$C$6:$C$40,1))),INDEX('Prețuri de setat'!$F$5:$F$39,MATCH(A163,Sezoane!$C$6:$C$40,1)),"")</f>
        <v>1130</v>
      </c>
      <c r="G163" s="44" t="n">
        <f aca="false">IF(AND(ISNUMBER(MATCH(A163,Sezoane!$C$6:$C$40,1)),A163&lt;=INDEX(Sezoane!$D$6:$D$40,MATCH(A163,Sezoane!$C$6:$C$40,1))),INDEX('Prețuri de setat'!$G$5:$G$39,MATCH(A163,Sezoane!$C$6:$C$40,1)),"")</f>
        <v>1020</v>
      </c>
      <c r="H163" s="44" t="n">
        <f aca="false">IF(AND(ISNUMBER(MATCH(A163,Sezoane!$C$6:$C$40,1)),A163&lt;=INDEX(Sezoane!$D$6:$D$40,MATCH(A163,Sezoane!$C$6:$C$40,1))),INDEX('Prețuri de setat'!$H$5:$H$39,MATCH(A163,Sezoane!$C$6:$C$40,1)),"")</f>
        <v>980</v>
      </c>
      <c r="I163" s="44" t="n">
        <f aca="false">IF(AND(ISNUMBER(MATCH(A163,Sezoane!$C$6:$C$40,1)),A163&lt;=INDEX(Sezoane!$D$6:$D$40,MATCH(A163,Sezoane!$C$6:$C$40,1))),INDEX('Prețuri de setat'!$I$5:$I$39,MATCH(A163,Sezoane!$C$6:$C$40,1)),"")</f>
        <v>852</v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primavara-2027</v>
      </c>
      <c r="D164" s="43" t="n">
        <f aca="false">IF(AND(ISNUMBER(MATCH(A164,Sezoane!$C$6:$C$40,1)),A164&lt;=INDEX(Sezoane!$D$6:$D$40,MATCH(A164,Sezoane!$C$6:$C$40,1))),INDEX(Sezoane!$F$6:$F$40,MATCH(A164,Sezoane!$C$6:$C$40,1)),"")</f>
        <v>2</v>
      </c>
      <c r="E164" s="44" t="n">
        <f aca="false">IF(AND(ISNUMBER(MATCH(A164,Sezoane!$C$6:$C$40,1)),A164&lt;=INDEX(Sezoane!$D$6:$D$40,MATCH(A164,Sezoane!$C$6:$C$40,1))),INDEX('Prețuri de setat'!$E$5:$E$39,MATCH(A164,Sezoane!$C$6:$C$40,1)),"")</f>
        <v>900</v>
      </c>
      <c r="F164" s="44" t="n">
        <f aca="false">IF(AND(ISNUMBER(MATCH(A164,Sezoane!$C$6:$C$40,1)),A164&lt;=INDEX(Sezoane!$D$6:$D$40,MATCH(A164,Sezoane!$C$6:$C$40,1))),INDEX('Prețuri de setat'!$F$5:$F$39,MATCH(A164,Sezoane!$C$6:$C$40,1)),"")</f>
        <v>1130</v>
      </c>
      <c r="G164" s="44" t="n">
        <f aca="false">IF(AND(ISNUMBER(MATCH(A164,Sezoane!$C$6:$C$40,1)),A164&lt;=INDEX(Sezoane!$D$6:$D$40,MATCH(A164,Sezoane!$C$6:$C$40,1))),INDEX('Prețuri de setat'!$G$5:$G$39,MATCH(A164,Sezoane!$C$6:$C$40,1)),"")</f>
        <v>1020</v>
      </c>
      <c r="H164" s="44" t="n">
        <f aca="false">IF(AND(ISNUMBER(MATCH(A164,Sezoane!$C$6:$C$40,1)),A164&lt;=INDEX(Sezoane!$D$6:$D$40,MATCH(A164,Sezoane!$C$6:$C$40,1))),INDEX('Prețuri de setat'!$H$5:$H$39,MATCH(A164,Sezoane!$C$6:$C$40,1)),"")</f>
        <v>980</v>
      </c>
      <c r="I164" s="44" t="n">
        <f aca="false">IF(AND(ISNUMBER(MATCH(A164,Sezoane!$C$6:$C$40,1)),A164&lt;=INDEX(Sezoane!$D$6:$D$40,MATCH(A164,Sezoane!$C$6:$C$40,1))),INDEX('Prețuri de setat'!$I$5:$I$39,MATCH(A164,Sezoane!$C$6:$C$40,1)),"")</f>
        <v>852</v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primavara-2027</v>
      </c>
      <c r="D165" s="43" t="n">
        <f aca="false">IF(AND(ISNUMBER(MATCH(A165,Sezoane!$C$6:$C$40,1)),A165&lt;=INDEX(Sezoane!$D$6:$D$40,MATCH(A165,Sezoane!$C$6:$C$40,1))),INDEX(Sezoane!$F$6:$F$40,MATCH(A165,Sezoane!$C$6:$C$40,1)),"")</f>
        <v>2</v>
      </c>
      <c r="E165" s="44" t="n">
        <f aca="false">IF(AND(ISNUMBER(MATCH(A165,Sezoane!$C$6:$C$40,1)),A165&lt;=INDEX(Sezoane!$D$6:$D$40,MATCH(A165,Sezoane!$C$6:$C$40,1))),INDEX('Prețuri de setat'!$E$5:$E$39,MATCH(A165,Sezoane!$C$6:$C$40,1)),"")</f>
        <v>900</v>
      </c>
      <c r="F165" s="44" t="n">
        <f aca="false">IF(AND(ISNUMBER(MATCH(A165,Sezoane!$C$6:$C$40,1)),A165&lt;=INDEX(Sezoane!$D$6:$D$40,MATCH(A165,Sezoane!$C$6:$C$40,1))),INDEX('Prețuri de setat'!$F$5:$F$39,MATCH(A165,Sezoane!$C$6:$C$40,1)),"")</f>
        <v>1130</v>
      </c>
      <c r="G165" s="44" t="n">
        <f aca="false">IF(AND(ISNUMBER(MATCH(A165,Sezoane!$C$6:$C$40,1)),A165&lt;=INDEX(Sezoane!$D$6:$D$40,MATCH(A165,Sezoane!$C$6:$C$40,1))),INDEX('Prețuri de setat'!$G$5:$G$39,MATCH(A165,Sezoane!$C$6:$C$40,1)),"")</f>
        <v>1020</v>
      </c>
      <c r="H165" s="44" t="n">
        <f aca="false">IF(AND(ISNUMBER(MATCH(A165,Sezoane!$C$6:$C$40,1)),A165&lt;=INDEX(Sezoane!$D$6:$D$40,MATCH(A165,Sezoane!$C$6:$C$40,1))),INDEX('Prețuri de setat'!$H$5:$H$39,MATCH(A165,Sezoane!$C$6:$C$40,1)),"")</f>
        <v>980</v>
      </c>
      <c r="I165" s="44" t="n">
        <f aca="false">IF(AND(ISNUMBER(MATCH(A165,Sezoane!$C$6:$C$40,1)),A165&lt;=INDEX(Sezoane!$D$6:$D$40,MATCH(A165,Sezoane!$C$6:$C$40,1))),INDEX('Prețuri de setat'!$I$5:$I$39,MATCH(A165,Sezoane!$C$6:$C$40,1)),"")</f>
        <v>852</v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primavara-2027</v>
      </c>
      <c r="D166" s="43" t="n">
        <f aca="false">IF(AND(ISNUMBER(MATCH(A166,Sezoane!$C$6:$C$40,1)),A166&lt;=INDEX(Sezoane!$D$6:$D$40,MATCH(A166,Sezoane!$C$6:$C$40,1))),INDEX(Sezoane!$F$6:$F$40,MATCH(A166,Sezoane!$C$6:$C$40,1)),"")</f>
        <v>2</v>
      </c>
      <c r="E166" s="44" t="n">
        <f aca="false">IF(AND(ISNUMBER(MATCH(A166,Sezoane!$C$6:$C$40,1)),A166&lt;=INDEX(Sezoane!$D$6:$D$40,MATCH(A166,Sezoane!$C$6:$C$40,1))),INDEX('Prețuri de setat'!$E$5:$E$39,MATCH(A166,Sezoane!$C$6:$C$40,1)),"")</f>
        <v>900</v>
      </c>
      <c r="F166" s="44" t="n">
        <f aca="false">IF(AND(ISNUMBER(MATCH(A166,Sezoane!$C$6:$C$40,1)),A166&lt;=INDEX(Sezoane!$D$6:$D$40,MATCH(A166,Sezoane!$C$6:$C$40,1))),INDEX('Prețuri de setat'!$F$5:$F$39,MATCH(A166,Sezoane!$C$6:$C$40,1)),"")</f>
        <v>1130</v>
      </c>
      <c r="G166" s="44" t="n">
        <f aca="false">IF(AND(ISNUMBER(MATCH(A166,Sezoane!$C$6:$C$40,1)),A166&lt;=INDEX(Sezoane!$D$6:$D$40,MATCH(A166,Sezoane!$C$6:$C$40,1))),INDEX('Prețuri de setat'!$G$5:$G$39,MATCH(A166,Sezoane!$C$6:$C$40,1)),"")</f>
        <v>1020</v>
      </c>
      <c r="H166" s="44" t="n">
        <f aca="false">IF(AND(ISNUMBER(MATCH(A166,Sezoane!$C$6:$C$40,1)),A166&lt;=INDEX(Sezoane!$D$6:$D$40,MATCH(A166,Sezoane!$C$6:$C$40,1))),INDEX('Prețuri de setat'!$H$5:$H$39,MATCH(A166,Sezoane!$C$6:$C$40,1)),"")</f>
        <v>980</v>
      </c>
      <c r="I166" s="44" t="n">
        <f aca="false">IF(AND(ISNUMBER(MATCH(A166,Sezoane!$C$6:$C$40,1)),A166&lt;=INDEX(Sezoane!$D$6:$D$40,MATCH(A166,Sezoane!$C$6:$C$40,1))),INDEX('Prețuri de setat'!$I$5:$I$39,MATCH(A166,Sezoane!$C$6:$C$40,1)),"")</f>
        <v>852</v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primavara-2027</v>
      </c>
      <c r="D167" s="43" t="n">
        <f aca="false">IF(AND(ISNUMBER(MATCH(A167,Sezoane!$C$6:$C$40,1)),A167&lt;=INDEX(Sezoane!$D$6:$D$40,MATCH(A167,Sezoane!$C$6:$C$40,1))),INDEX(Sezoane!$F$6:$F$40,MATCH(A167,Sezoane!$C$6:$C$40,1)),"")</f>
        <v>2</v>
      </c>
      <c r="E167" s="44" t="n">
        <f aca="false">IF(AND(ISNUMBER(MATCH(A167,Sezoane!$C$6:$C$40,1)),A167&lt;=INDEX(Sezoane!$D$6:$D$40,MATCH(A167,Sezoane!$C$6:$C$40,1))),INDEX('Prețuri de setat'!$E$5:$E$39,MATCH(A167,Sezoane!$C$6:$C$40,1)),"")</f>
        <v>900</v>
      </c>
      <c r="F167" s="44" t="n">
        <f aca="false">IF(AND(ISNUMBER(MATCH(A167,Sezoane!$C$6:$C$40,1)),A167&lt;=INDEX(Sezoane!$D$6:$D$40,MATCH(A167,Sezoane!$C$6:$C$40,1))),INDEX('Prețuri de setat'!$F$5:$F$39,MATCH(A167,Sezoane!$C$6:$C$40,1)),"")</f>
        <v>1130</v>
      </c>
      <c r="G167" s="44" t="n">
        <f aca="false">IF(AND(ISNUMBER(MATCH(A167,Sezoane!$C$6:$C$40,1)),A167&lt;=INDEX(Sezoane!$D$6:$D$40,MATCH(A167,Sezoane!$C$6:$C$40,1))),INDEX('Prețuri de setat'!$G$5:$G$39,MATCH(A167,Sezoane!$C$6:$C$40,1)),"")</f>
        <v>1020</v>
      </c>
      <c r="H167" s="44" t="n">
        <f aca="false">IF(AND(ISNUMBER(MATCH(A167,Sezoane!$C$6:$C$40,1)),A167&lt;=INDEX(Sezoane!$D$6:$D$40,MATCH(A167,Sezoane!$C$6:$C$40,1))),INDEX('Prețuri de setat'!$H$5:$H$39,MATCH(A167,Sezoane!$C$6:$C$40,1)),"")</f>
        <v>980</v>
      </c>
      <c r="I167" s="44" t="n">
        <f aca="false">IF(AND(ISNUMBER(MATCH(A167,Sezoane!$C$6:$C$40,1)),A167&lt;=INDEX(Sezoane!$D$6:$D$40,MATCH(A167,Sezoane!$C$6:$C$40,1))),INDEX('Prețuri de setat'!$I$5:$I$39,MATCH(A167,Sezoane!$C$6:$C$40,1)),"")</f>
        <v>852</v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primavara-2027</v>
      </c>
      <c r="D168" s="43" t="n">
        <f aca="false">IF(AND(ISNUMBER(MATCH(A168,Sezoane!$C$6:$C$40,1)),A168&lt;=INDEX(Sezoane!$D$6:$D$40,MATCH(A168,Sezoane!$C$6:$C$40,1))),INDEX(Sezoane!$F$6:$F$40,MATCH(A168,Sezoane!$C$6:$C$40,1)),"")</f>
        <v>2</v>
      </c>
      <c r="E168" s="44" t="n">
        <f aca="false">IF(AND(ISNUMBER(MATCH(A168,Sezoane!$C$6:$C$40,1)),A168&lt;=INDEX(Sezoane!$D$6:$D$40,MATCH(A168,Sezoane!$C$6:$C$40,1))),INDEX('Prețuri de setat'!$E$5:$E$39,MATCH(A168,Sezoane!$C$6:$C$40,1)),"")</f>
        <v>900</v>
      </c>
      <c r="F168" s="44" t="n">
        <f aca="false">IF(AND(ISNUMBER(MATCH(A168,Sezoane!$C$6:$C$40,1)),A168&lt;=INDEX(Sezoane!$D$6:$D$40,MATCH(A168,Sezoane!$C$6:$C$40,1))),INDEX('Prețuri de setat'!$F$5:$F$39,MATCH(A168,Sezoane!$C$6:$C$40,1)),"")</f>
        <v>1130</v>
      </c>
      <c r="G168" s="44" t="n">
        <f aca="false">IF(AND(ISNUMBER(MATCH(A168,Sezoane!$C$6:$C$40,1)),A168&lt;=INDEX(Sezoane!$D$6:$D$40,MATCH(A168,Sezoane!$C$6:$C$40,1))),INDEX('Prețuri de setat'!$G$5:$G$39,MATCH(A168,Sezoane!$C$6:$C$40,1)),"")</f>
        <v>1020</v>
      </c>
      <c r="H168" s="44" t="n">
        <f aca="false">IF(AND(ISNUMBER(MATCH(A168,Sezoane!$C$6:$C$40,1)),A168&lt;=INDEX(Sezoane!$D$6:$D$40,MATCH(A168,Sezoane!$C$6:$C$40,1))),INDEX('Prețuri de setat'!$H$5:$H$39,MATCH(A168,Sezoane!$C$6:$C$40,1)),"")</f>
        <v>980</v>
      </c>
      <c r="I168" s="44" t="n">
        <f aca="false">IF(AND(ISNUMBER(MATCH(A168,Sezoane!$C$6:$C$40,1)),A168&lt;=INDEX(Sezoane!$D$6:$D$40,MATCH(A168,Sezoane!$C$6:$C$40,1))),INDEX('Prețuri de setat'!$I$5:$I$39,MATCH(A168,Sezoane!$C$6:$C$40,1)),"")</f>
        <v>852</v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primavara-2027</v>
      </c>
      <c r="D169" s="43" t="n">
        <f aca="false">IF(AND(ISNUMBER(MATCH(A169,Sezoane!$C$6:$C$40,1)),A169&lt;=INDEX(Sezoane!$D$6:$D$40,MATCH(A169,Sezoane!$C$6:$C$40,1))),INDEX(Sezoane!$F$6:$F$40,MATCH(A169,Sezoane!$C$6:$C$40,1)),"")</f>
        <v>2</v>
      </c>
      <c r="E169" s="44" t="n">
        <f aca="false">IF(AND(ISNUMBER(MATCH(A169,Sezoane!$C$6:$C$40,1)),A169&lt;=INDEX(Sezoane!$D$6:$D$40,MATCH(A169,Sezoane!$C$6:$C$40,1))),INDEX('Prețuri de setat'!$E$5:$E$39,MATCH(A169,Sezoane!$C$6:$C$40,1)),"")</f>
        <v>900</v>
      </c>
      <c r="F169" s="44" t="n">
        <f aca="false">IF(AND(ISNUMBER(MATCH(A169,Sezoane!$C$6:$C$40,1)),A169&lt;=INDEX(Sezoane!$D$6:$D$40,MATCH(A169,Sezoane!$C$6:$C$40,1))),INDEX('Prețuri de setat'!$F$5:$F$39,MATCH(A169,Sezoane!$C$6:$C$40,1)),"")</f>
        <v>1130</v>
      </c>
      <c r="G169" s="44" t="n">
        <f aca="false">IF(AND(ISNUMBER(MATCH(A169,Sezoane!$C$6:$C$40,1)),A169&lt;=INDEX(Sezoane!$D$6:$D$40,MATCH(A169,Sezoane!$C$6:$C$40,1))),INDEX('Prețuri de setat'!$G$5:$G$39,MATCH(A169,Sezoane!$C$6:$C$40,1)),"")</f>
        <v>1020</v>
      </c>
      <c r="H169" s="44" t="n">
        <f aca="false">IF(AND(ISNUMBER(MATCH(A169,Sezoane!$C$6:$C$40,1)),A169&lt;=INDEX(Sezoane!$D$6:$D$40,MATCH(A169,Sezoane!$C$6:$C$40,1))),INDEX('Prețuri de setat'!$H$5:$H$39,MATCH(A169,Sezoane!$C$6:$C$40,1)),"")</f>
        <v>980</v>
      </c>
      <c r="I169" s="44" t="n">
        <f aca="false">IF(AND(ISNUMBER(MATCH(A169,Sezoane!$C$6:$C$40,1)),A169&lt;=INDEX(Sezoane!$D$6:$D$40,MATCH(A169,Sezoane!$C$6:$C$40,1))),INDEX('Prețuri de setat'!$I$5:$I$39,MATCH(A169,Sezoane!$C$6:$C$40,1)),"")</f>
        <v>852</v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primavara-2027</v>
      </c>
      <c r="D170" s="43" t="n">
        <f aca="false">IF(AND(ISNUMBER(MATCH(A170,Sezoane!$C$6:$C$40,1)),A170&lt;=INDEX(Sezoane!$D$6:$D$40,MATCH(A170,Sezoane!$C$6:$C$40,1))),INDEX(Sezoane!$F$6:$F$40,MATCH(A170,Sezoane!$C$6:$C$40,1)),"")</f>
        <v>2</v>
      </c>
      <c r="E170" s="44" t="n">
        <f aca="false">IF(AND(ISNUMBER(MATCH(A170,Sezoane!$C$6:$C$40,1)),A170&lt;=INDEX(Sezoane!$D$6:$D$40,MATCH(A170,Sezoane!$C$6:$C$40,1))),INDEX('Prețuri de setat'!$E$5:$E$39,MATCH(A170,Sezoane!$C$6:$C$40,1)),"")</f>
        <v>900</v>
      </c>
      <c r="F170" s="44" t="n">
        <f aca="false">IF(AND(ISNUMBER(MATCH(A170,Sezoane!$C$6:$C$40,1)),A170&lt;=INDEX(Sezoane!$D$6:$D$40,MATCH(A170,Sezoane!$C$6:$C$40,1))),INDEX('Prețuri de setat'!$F$5:$F$39,MATCH(A170,Sezoane!$C$6:$C$40,1)),"")</f>
        <v>1130</v>
      </c>
      <c r="G170" s="44" t="n">
        <f aca="false">IF(AND(ISNUMBER(MATCH(A170,Sezoane!$C$6:$C$40,1)),A170&lt;=INDEX(Sezoane!$D$6:$D$40,MATCH(A170,Sezoane!$C$6:$C$40,1))),INDEX('Prețuri de setat'!$G$5:$G$39,MATCH(A170,Sezoane!$C$6:$C$40,1)),"")</f>
        <v>1020</v>
      </c>
      <c r="H170" s="44" t="n">
        <f aca="false">IF(AND(ISNUMBER(MATCH(A170,Sezoane!$C$6:$C$40,1)),A170&lt;=INDEX(Sezoane!$D$6:$D$40,MATCH(A170,Sezoane!$C$6:$C$40,1))),INDEX('Prețuri de setat'!$H$5:$H$39,MATCH(A170,Sezoane!$C$6:$C$40,1)),"")</f>
        <v>980</v>
      </c>
      <c r="I170" s="44" t="n">
        <f aca="false">IF(AND(ISNUMBER(MATCH(A170,Sezoane!$C$6:$C$40,1)),A170&lt;=INDEX(Sezoane!$D$6:$D$40,MATCH(A170,Sezoane!$C$6:$C$40,1))),INDEX('Prețuri de setat'!$I$5:$I$39,MATCH(A170,Sezoane!$C$6:$C$40,1)),"")</f>
        <v>852</v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primavara-2027</v>
      </c>
      <c r="D171" s="43" t="n">
        <f aca="false">IF(AND(ISNUMBER(MATCH(A171,Sezoane!$C$6:$C$40,1)),A171&lt;=INDEX(Sezoane!$D$6:$D$40,MATCH(A171,Sezoane!$C$6:$C$40,1))),INDEX(Sezoane!$F$6:$F$40,MATCH(A171,Sezoane!$C$6:$C$40,1)),"")</f>
        <v>2</v>
      </c>
      <c r="E171" s="44" t="n">
        <f aca="false">IF(AND(ISNUMBER(MATCH(A171,Sezoane!$C$6:$C$40,1)),A171&lt;=INDEX(Sezoane!$D$6:$D$40,MATCH(A171,Sezoane!$C$6:$C$40,1))),INDEX('Prețuri de setat'!$E$5:$E$39,MATCH(A171,Sezoane!$C$6:$C$40,1)),"")</f>
        <v>900</v>
      </c>
      <c r="F171" s="44" t="n">
        <f aca="false">IF(AND(ISNUMBER(MATCH(A171,Sezoane!$C$6:$C$40,1)),A171&lt;=INDEX(Sezoane!$D$6:$D$40,MATCH(A171,Sezoane!$C$6:$C$40,1))),INDEX('Prețuri de setat'!$F$5:$F$39,MATCH(A171,Sezoane!$C$6:$C$40,1)),"")</f>
        <v>1130</v>
      </c>
      <c r="G171" s="44" t="n">
        <f aca="false">IF(AND(ISNUMBER(MATCH(A171,Sezoane!$C$6:$C$40,1)),A171&lt;=INDEX(Sezoane!$D$6:$D$40,MATCH(A171,Sezoane!$C$6:$C$40,1))),INDEX('Prețuri de setat'!$G$5:$G$39,MATCH(A171,Sezoane!$C$6:$C$40,1)),"")</f>
        <v>1020</v>
      </c>
      <c r="H171" s="44" t="n">
        <f aca="false">IF(AND(ISNUMBER(MATCH(A171,Sezoane!$C$6:$C$40,1)),A171&lt;=INDEX(Sezoane!$D$6:$D$40,MATCH(A171,Sezoane!$C$6:$C$40,1))),INDEX('Prețuri de setat'!$H$5:$H$39,MATCH(A171,Sezoane!$C$6:$C$40,1)),"")</f>
        <v>980</v>
      </c>
      <c r="I171" s="44" t="n">
        <f aca="false">IF(AND(ISNUMBER(MATCH(A171,Sezoane!$C$6:$C$40,1)),A171&lt;=INDEX(Sezoane!$D$6:$D$40,MATCH(A171,Sezoane!$C$6:$C$40,1))),INDEX('Prețuri de setat'!$I$5:$I$39,MATCH(A171,Sezoane!$C$6:$C$40,1)),"")</f>
        <v>852</v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primavara-2027</v>
      </c>
      <c r="D172" s="43" t="n">
        <f aca="false">IF(AND(ISNUMBER(MATCH(A172,Sezoane!$C$6:$C$40,1)),A172&lt;=INDEX(Sezoane!$D$6:$D$40,MATCH(A172,Sezoane!$C$6:$C$40,1))),INDEX(Sezoane!$F$6:$F$40,MATCH(A172,Sezoane!$C$6:$C$40,1)),"")</f>
        <v>2</v>
      </c>
      <c r="E172" s="44" t="n">
        <f aca="false">IF(AND(ISNUMBER(MATCH(A172,Sezoane!$C$6:$C$40,1)),A172&lt;=INDEX(Sezoane!$D$6:$D$40,MATCH(A172,Sezoane!$C$6:$C$40,1))),INDEX('Prețuri de setat'!$E$5:$E$39,MATCH(A172,Sezoane!$C$6:$C$40,1)),"")</f>
        <v>900</v>
      </c>
      <c r="F172" s="44" t="n">
        <f aca="false">IF(AND(ISNUMBER(MATCH(A172,Sezoane!$C$6:$C$40,1)),A172&lt;=INDEX(Sezoane!$D$6:$D$40,MATCH(A172,Sezoane!$C$6:$C$40,1))),INDEX('Prețuri de setat'!$F$5:$F$39,MATCH(A172,Sezoane!$C$6:$C$40,1)),"")</f>
        <v>1130</v>
      </c>
      <c r="G172" s="44" t="n">
        <f aca="false">IF(AND(ISNUMBER(MATCH(A172,Sezoane!$C$6:$C$40,1)),A172&lt;=INDEX(Sezoane!$D$6:$D$40,MATCH(A172,Sezoane!$C$6:$C$40,1))),INDEX('Prețuri de setat'!$G$5:$G$39,MATCH(A172,Sezoane!$C$6:$C$40,1)),"")</f>
        <v>1020</v>
      </c>
      <c r="H172" s="44" t="n">
        <f aca="false">IF(AND(ISNUMBER(MATCH(A172,Sezoane!$C$6:$C$40,1)),A172&lt;=INDEX(Sezoane!$D$6:$D$40,MATCH(A172,Sezoane!$C$6:$C$40,1))),INDEX('Prețuri de setat'!$H$5:$H$39,MATCH(A172,Sezoane!$C$6:$C$40,1)),"")</f>
        <v>980</v>
      </c>
      <c r="I172" s="44" t="n">
        <f aca="false">IF(AND(ISNUMBER(MATCH(A172,Sezoane!$C$6:$C$40,1)),A172&lt;=INDEX(Sezoane!$D$6:$D$40,MATCH(A172,Sezoane!$C$6:$C$40,1))),INDEX('Prețuri de setat'!$I$5:$I$39,MATCH(A172,Sezoane!$C$6:$C$40,1)),"")</f>
        <v>852</v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primavara-2027</v>
      </c>
      <c r="D173" s="43" t="n">
        <f aca="false">IF(AND(ISNUMBER(MATCH(A173,Sezoane!$C$6:$C$40,1)),A173&lt;=INDEX(Sezoane!$D$6:$D$40,MATCH(A173,Sezoane!$C$6:$C$40,1))),INDEX(Sezoane!$F$6:$F$40,MATCH(A173,Sezoane!$C$6:$C$40,1)),"")</f>
        <v>2</v>
      </c>
      <c r="E173" s="44" t="n">
        <f aca="false">IF(AND(ISNUMBER(MATCH(A173,Sezoane!$C$6:$C$40,1)),A173&lt;=INDEX(Sezoane!$D$6:$D$40,MATCH(A173,Sezoane!$C$6:$C$40,1))),INDEX('Prețuri de setat'!$E$5:$E$39,MATCH(A173,Sezoane!$C$6:$C$40,1)),"")</f>
        <v>900</v>
      </c>
      <c r="F173" s="44" t="n">
        <f aca="false">IF(AND(ISNUMBER(MATCH(A173,Sezoane!$C$6:$C$40,1)),A173&lt;=INDEX(Sezoane!$D$6:$D$40,MATCH(A173,Sezoane!$C$6:$C$40,1))),INDEX('Prețuri de setat'!$F$5:$F$39,MATCH(A173,Sezoane!$C$6:$C$40,1)),"")</f>
        <v>1130</v>
      </c>
      <c r="G173" s="44" t="n">
        <f aca="false">IF(AND(ISNUMBER(MATCH(A173,Sezoane!$C$6:$C$40,1)),A173&lt;=INDEX(Sezoane!$D$6:$D$40,MATCH(A173,Sezoane!$C$6:$C$40,1))),INDEX('Prețuri de setat'!$G$5:$G$39,MATCH(A173,Sezoane!$C$6:$C$40,1)),"")</f>
        <v>1020</v>
      </c>
      <c r="H173" s="44" t="n">
        <f aca="false">IF(AND(ISNUMBER(MATCH(A173,Sezoane!$C$6:$C$40,1)),A173&lt;=INDEX(Sezoane!$D$6:$D$40,MATCH(A173,Sezoane!$C$6:$C$40,1))),INDEX('Prețuri de setat'!$H$5:$H$39,MATCH(A173,Sezoane!$C$6:$C$40,1)),"")</f>
        <v>980</v>
      </c>
      <c r="I173" s="44" t="n">
        <f aca="false">IF(AND(ISNUMBER(MATCH(A173,Sezoane!$C$6:$C$40,1)),A173&lt;=INDEX(Sezoane!$D$6:$D$40,MATCH(A173,Sezoane!$C$6:$C$40,1))),INDEX('Prețuri de setat'!$I$5:$I$39,MATCH(A173,Sezoane!$C$6:$C$40,1)),"")</f>
        <v>852</v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primavara-2027</v>
      </c>
      <c r="D174" s="43" t="n">
        <f aca="false">IF(AND(ISNUMBER(MATCH(A174,Sezoane!$C$6:$C$40,1)),A174&lt;=INDEX(Sezoane!$D$6:$D$40,MATCH(A174,Sezoane!$C$6:$C$40,1))),INDEX(Sezoane!$F$6:$F$40,MATCH(A174,Sezoane!$C$6:$C$40,1)),"")</f>
        <v>2</v>
      </c>
      <c r="E174" s="44" t="n">
        <f aca="false">IF(AND(ISNUMBER(MATCH(A174,Sezoane!$C$6:$C$40,1)),A174&lt;=INDEX(Sezoane!$D$6:$D$40,MATCH(A174,Sezoane!$C$6:$C$40,1))),INDEX('Prețuri de setat'!$E$5:$E$39,MATCH(A174,Sezoane!$C$6:$C$40,1)),"")</f>
        <v>900</v>
      </c>
      <c r="F174" s="44" t="n">
        <f aca="false">IF(AND(ISNUMBER(MATCH(A174,Sezoane!$C$6:$C$40,1)),A174&lt;=INDEX(Sezoane!$D$6:$D$40,MATCH(A174,Sezoane!$C$6:$C$40,1))),INDEX('Prețuri de setat'!$F$5:$F$39,MATCH(A174,Sezoane!$C$6:$C$40,1)),"")</f>
        <v>1130</v>
      </c>
      <c r="G174" s="44" t="n">
        <f aca="false">IF(AND(ISNUMBER(MATCH(A174,Sezoane!$C$6:$C$40,1)),A174&lt;=INDEX(Sezoane!$D$6:$D$40,MATCH(A174,Sezoane!$C$6:$C$40,1))),INDEX('Prețuri de setat'!$G$5:$G$39,MATCH(A174,Sezoane!$C$6:$C$40,1)),"")</f>
        <v>1020</v>
      </c>
      <c r="H174" s="44" t="n">
        <f aca="false">IF(AND(ISNUMBER(MATCH(A174,Sezoane!$C$6:$C$40,1)),A174&lt;=INDEX(Sezoane!$D$6:$D$40,MATCH(A174,Sezoane!$C$6:$C$40,1))),INDEX('Prețuri de setat'!$H$5:$H$39,MATCH(A174,Sezoane!$C$6:$C$40,1)),"")</f>
        <v>980</v>
      </c>
      <c r="I174" s="44" t="n">
        <f aca="false">IF(AND(ISNUMBER(MATCH(A174,Sezoane!$C$6:$C$40,1)),A174&lt;=INDEX(Sezoane!$D$6:$D$40,MATCH(A174,Sezoane!$C$6:$C$40,1))),INDEX('Prețuri de setat'!$I$5:$I$39,MATCH(A174,Sezoane!$C$6:$C$40,1)),"")</f>
        <v>852</v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primavara-2027</v>
      </c>
      <c r="D175" s="43" t="n">
        <f aca="false">IF(AND(ISNUMBER(MATCH(A175,Sezoane!$C$6:$C$40,1)),A175&lt;=INDEX(Sezoane!$D$6:$D$40,MATCH(A175,Sezoane!$C$6:$C$40,1))),INDEX(Sezoane!$F$6:$F$40,MATCH(A175,Sezoane!$C$6:$C$40,1)),"")</f>
        <v>2</v>
      </c>
      <c r="E175" s="44" t="n">
        <f aca="false">IF(AND(ISNUMBER(MATCH(A175,Sezoane!$C$6:$C$40,1)),A175&lt;=INDEX(Sezoane!$D$6:$D$40,MATCH(A175,Sezoane!$C$6:$C$40,1))),INDEX('Prețuri de setat'!$E$5:$E$39,MATCH(A175,Sezoane!$C$6:$C$40,1)),"")</f>
        <v>900</v>
      </c>
      <c r="F175" s="44" t="n">
        <f aca="false">IF(AND(ISNUMBER(MATCH(A175,Sezoane!$C$6:$C$40,1)),A175&lt;=INDEX(Sezoane!$D$6:$D$40,MATCH(A175,Sezoane!$C$6:$C$40,1))),INDEX('Prețuri de setat'!$F$5:$F$39,MATCH(A175,Sezoane!$C$6:$C$40,1)),"")</f>
        <v>1130</v>
      </c>
      <c r="G175" s="44" t="n">
        <f aca="false">IF(AND(ISNUMBER(MATCH(A175,Sezoane!$C$6:$C$40,1)),A175&lt;=INDEX(Sezoane!$D$6:$D$40,MATCH(A175,Sezoane!$C$6:$C$40,1))),INDEX('Prețuri de setat'!$G$5:$G$39,MATCH(A175,Sezoane!$C$6:$C$40,1)),"")</f>
        <v>1020</v>
      </c>
      <c r="H175" s="44" t="n">
        <f aca="false">IF(AND(ISNUMBER(MATCH(A175,Sezoane!$C$6:$C$40,1)),A175&lt;=INDEX(Sezoane!$D$6:$D$40,MATCH(A175,Sezoane!$C$6:$C$40,1))),INDEX('Prețuri de setat'!$H$5:$H$39,MATCH(A175,Sezoane!$C$6:$C$40,1)),"")</f>
        <v>980</v>
      </c>
      <c r="I175" s="44" t="n">
        <f aca="false">IF(AND(ISNUMBER(MATCH(A175,Sezoane!$C$6:$C$40,1)),A175&lt;=INDEX(Sezoane!$D$6:$D$40,MATCH(A175,Sezoane!$C$6:$C$40,1))),INDEX('Prețuri de setat'!$I$5:$I$39,MATCH(A175,Sezoane!$C$6:$C$40,1)),"")</f>
        <v>852</v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primavara-2027</v>
      </c>
      <c r="D176" s="43" t="n">
        <f aca="false">IF(AND(ISNUMBER(MATCH(A176,Sezoane!$C$6:$C$40,1)),A176&lt;=INDEX(Sezoane!$D$6:$D$40,MATCH(A176,Sezoane!$C$6:$C$40,1))),INDEX(Sezoane!$F$6:$F$40,MATCH(A176,Sezoane!$C$6:$C$40,1)),"")</f>
        <v>2</v>
      </c>
      <c r="E176" s="44" t="n">
        <f aca="false">IF(AND(ISNUMBER(MATCH(A176,Sezoane!$C$6:$C$40,1)),A176&lt;=INDEX(Sezoane!$D$6:$D$40,MATCH(A176,Sezoane!$C$6:$C$40,1))),INDEX('Prețuri de setat'!$E$5:$E$39,MATCH(A176,Sezoane!$C$6:$C$40,1)),"")</f>
        <v>900</v>
      </c>
      <c r="F176" s="44" t="n">
        <f aca="false">IF(AND(ISNUMBER(MATCH(A176,Sezoane!$C$6:$C$40,1)),A176&lt;=INDEX(Sezoane!$D$6:$D$40,MATCH(A176,Sezoane!$C$6:$C$40,1))),INDEX('Prețuri de setat'!$F$5:$F$39,MATCH(A176,Sezoane!$C$6:$C$40,1)),"")</f>
        <v>1130</v>
      </c>
      <c r="G176" s="44" t="n">
        <f aca="false">IF(AND(ISNUMBER(MATCH(A176,Sezoane!$C$6:$C$40,1)),A176&lt;=INDEX(Sezoane!$D$6:$D$40,MATCH(A176,Sezoane!$C$6:$C$40,1))),INDEX('Prețuri de setat'!$G$5:$G$39,MATCH(A176,Sezoane!$C$6:$C$40,1)),"")</f>
        <v>1020</v>
      </c>
      <c r="H176" s="44" t="n">
        <f aca="false">IF(AND(ISNUMBER(MATCH(A176,Sezoane!$C$6:$C$40,1)),A176&lt;=INDEX(Sezoane!$D$6:$D$40,MATCH(A176,Sezoane!$C$6:$C$40,1))),INDEX('Prețuri de setat'!$H$5:$H$39,MATCH(A176,Sezoane!$C$6:$C$40,1)),"")</f>
        <v>980</v>
      </c>
      <c r="I176" s="44" t="n">
        <f aca="false">IF(AND(ISNUMBER(MATCH(A176,Sezoane!$C$6:$C$40,1)),A176&lt;=INDEX(Sezoane!$D$6:$D$40,MATCH(A176,Sezoane!$C$6:$C$40,1))),INDEX('Prețuri de setat'!$I$5:$I$39,MATCH(A176,Sezoane!$C$6:$C$40,1)),"")</f>
        <v>852</v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primavara-2027</v>
      </c>
      <c r="D177" s="43" t="n">
        <f aca="false">IF(AND(ISNUMBER(MATCH(A177,Sezoane!$C$6:$C$40,1)),A177&lt;=INDEX(Sezoane!$D$6:$D$40,MATCH(A177,Sezoane!$C$6:$C$40,1))),INDEX(Sezoane!$F$6:$F$40,MATCH(A177,Sezoane!$C$6:$C$40,1)),"")</f>
        <v>2</v>
      </c>
      <c r="E177" s="44" t="n">
        <f aca="false">IF(AND(ISNUMBER(MATCH(A177,Sezoane!$C$6:$C$40,1)),A177&lt;=INDEX(Sezoane!$D$6:$D$40,MATCH(A177,Sezoane!$C$6:$C$40,1))),INDEX('Prețuri de setat'!$E$5:$E$39,MATCH(A177,Sezoane!$C$6:$C$40,1)),"")</f>
        <v>900</v>
      </c>
      <c r="F177" s="44" t="n">
        <f aca="false">IF(AND(ISNUMBER(MATCH(A177,Sezoane!$C$6:$C$40,1)),A177&lt;=INDEX(Sezoane!$D$6:$D$40,MATCH(A177,Sezoane!$C$6:$C$40,1))),INDEX('Prețuri de setat'!$F$5:$F$39,MATCH(A177,Sezoane!$C$6:$C$40,1)),"")</f>
        <v>1130</v>
      </c>
      <c r="G177" s="44" t="n">
        <f aca="false">IF(AND(ISNUMBER(MATCH(A177,Sezoane!$C$6:$C$40,1)),A177&lt;=INDEX(Sezoane!$D$6:$D$40,MATCH(A177,Sezoane!$C$6:$C$40,1))),INDEX('Prețuri de setat'!$G$5:$G$39,MATCH(A177,Sezoane!$C$6:$C$40,1)),"")</f>
        <v>1020</v>
      </c>
      <c r="H177" s="44" t="n">
        <f aca="false">IF(AND(ISNUMBER(MATCH(A177,Sezoane!$C$6:$C$40,1)),A177&lt;=INDEX(Sezoane!$D$6:$D$40,MATCH(A177,Sezoane!$C$6:$C$40,1))),INDEX('Prețuri de setat'!$H$5:$H$39,MATCH(A177,Sezoane!$C$6:$C$40,1)),"")</f>
        <v>980</v>
      </c>
      <c r="I177" s="44" t="n">
        <f aca="false">IF(AND(ISNUMBER(MATCH(A177,Sezoane!$C$6:$C$40,1)),A177&lt;=INDEX(Sezoane!$D$6:$D$40,MATCH(A177,Sezoane!$C$6:$C$40,1))),INDEX('Prețuri de setat'!$I$5:$I$39,MATCH(A177,Sezoane!$C$6:$C$40,1)),"")</f>
        <v>852</v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primavara-2027</v>
      </c>
      <c r="D178" s="43" t="n">
        <f aca="false">IF(AND(ISNUMBER(MATCH(A178,Sezoane!$C$6:$C$40,1)),A178&lt;=INDEX(Sezoane!$D$6:$D$40,MATCH(A178,Sezoane!$C$6:$C$40,1))),INDEX(Sezoane!$F$6:$F$40,MATCH(A178,Sezoane!$C$6:$C$40,1)),"")</f>
        <v>2</v>
      </c>
      <c r="E178" s="44" t="n">
        <f aca="false">IF(AND(ISNUMBER(MATCH(A178,Sezoane!$C$6:$C$40,1)),A178&lt;=INDEX(Sezoane!$D$6:$D$40,MATCH(A178,Sezoane!$C$6:$C$40,1))),INDEX('Prețuri de setat'!$E$5:$E$39,MATCH(A178,Sezoane!$C$6:$C$40,1)),"")</f>
        <v>900</v>
      </c>
      <c r="F178" s="44" t="n">
        <f aca="false">IF(AND(ISNUMBER(MATCH(A178,Sezoane!$C$6:$C$40,1)),A178&lt;=INDEX(Sezoane!$D$6:$D$40,MATCH(A178,Sezoane!$C$6:$C$40,1))),INDEX('Prețuri de setat'!$F$5:$F$39,MATCH(A178,Sezoane!$C$6:$C$40,1)),"")</f>
        <v>1130</v>
      </c>
      <c r="G178" s="44" t="n">
        <f aca="false">IF(AND(ISNUMBER(MATCH(A178,Sezoane!$C$6:$C$40,1)),A178&lt;=INDEX(Sezoane!$D$6:$D$40,MATCH(A178,Sezoane!$C$6:$C$40,1))),INDEX('Prețuri de setat'!$G$5:$G$39,MATCH(A178,Sezoane!$C$6:$C$40,1)),"")</f>
        <v>1020</v>
      </c>
      <c r="H178" s="44" t="n">
        <f aca="false">IF(AND(ISNUMBER(MATCH(A178,Sezoane!$C$6:$C$40,1)),A178&lt;=INDEX(Sezoane!$D$6:$D$40,MATCH(A178,Sezoane!$C$6:$C$40,1))),INDEX('Prețuri de setat'!$H$5:$H$39,MATCH(A178,Sezoane!$C$6:$C$40,1)),"")</f>
        <v>980</v>
      </c>
      <c r="I178" s="44" t="n">
        <f aca="false">IF(AND(ISNUMBER(MATCH(A178,Sezoane!$C$6:$C$40,1)),A178&lt;=INDEX(Sezoane!$D$6:$D$40,MATCH(A178,Sezoane!$C$6:$C$40,1))),INDEX('Prețuri de setat'!$I$5:$I$39,MATCH(A178,Sezoane!$C$6:$C$40,1)),"")</f>
        <v>852</v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primavara-2027</v>
      </c>
      <c r="D179" s="43" t="n">
        <f aca="false">IF(AND(ISNUMBER(MATCH(A179,Sezoane!$C$6:$C$40,1)),A179&lt;=INDEX(Sezoane!$D$6:$D$40,MATCH(A179,Sezoane!$C$6:$C$40,1))),INDEX(Sezoane!$F$6:$F$40,MATCH(A179,Sezoane!$C$6:$C$40,1)),"")</f>
        <v>2</v>
      </c>
      <c r="E179" s="44" t="n">
        <f aca="false">IF(AND(ISNUMBER(MATCH(A179,Sezoane!$C$6:$C$40,1)),A179&lt;=INDEX(Sezoane!$D$6:$D$40,MATCH(A179,Sezoane!$C$6:$C$40,1))),INDEX('Prețuri de setat'!$E$5:$E$39,MATCH(A179,Sezoane!$C$6:$C$40,1)),"")</f>
        <v>900</v>
      </c>
      <c r="F179" s="44" t="n">
        <f aca="false">IF(AND(ISNUMBER(MATCH(A179,Sezoane!$C$6:$C$40,1)),A179&lt;=INDEX(Sezoane!$D$6:$D$40,MATCH(A179,Sezoane!$C$6:$C$40,1))),INDEX('Prețuri de setat'!$F$5:$F$39,MATCH(A179,Sezoane!$C$6:$C$40,1)),"")</f>
        <v>1130</v>
      </c>
      <c r="G179" s="44" t="n">
        <f aca="false">IF(AND(ISNUMBER(MATCH(A179,Sezoane!$C$6:$C$40,1)),A179&lt;=INDEX(Sezoane!$D$6:$D$40,MATCH(A179,Sezoane!$C$6:$C$40,1))),INDEX('Prețuri de setat'!$G$5:$G$39,MATCH(A179,Sezoane!$C$6:$C$40,1)),"")</f>
        <v>1020</v>
      </c>
      <c r="H179" s="44" t="n">
        <f aca="false">IF(AND(ISNUMBER(MATCH(A179,Sezoane!$C$6:$C$40,1)),A179&lt;=INDEX(Sezoane!$D$6:$D$40,MATCH(A179,Sezoane!$C$6:$C$40,1))),INDEX('Prețuri de setat'!$H$5:$H$39,MATCH(A179,Sezoane!$C$6:$C$40,1)),"")</f>
        <v>980</v>
      </c>
      <c r="I179" s="44" t="n">
        <f aca="false">IF(AND(ISNUMBER(MATCH(A179,Sezoane!$C$6:$C$40,1)),A179&lt;=INDEX(Sezoane!$D$6:$D$40,MATCH(A179,Sezoane!$C$6:$C$40,1))),INDEX('Prețuri de setat'!$I$5:$I$39,MATCH(A179,Sezoane!$C$6:$C$40,1)),"")</f>
        <v>852</v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primavara-2027</v>
      </c>
      <c r="D180" s="43" t="n">
        <f aca="false">IF(AND(ISNUMBER(MATCH(A180,Sezoane!$C$6:$C$40,1)),A180&lt;=INDEX(Sezoane!$D$6:$D$40,MATCH(A180,Sezoane!$C$6:$C$40,1))),INDEX(Sezoane!$F$6:$F$40,MATCH(A180,Sezoane!$C$6:$C$40,1)),"")</f>
        <v>2</v>
      </c>
      <c r="E180" s="44" t="n">
        <f aca="false">IF(AND(ISNUMBER(MATCH(A180,Sezoane!$C$6:$C$40,1)),A180&lt;=INDEX(Sezoane!$D$6:$D$40,MATCH(A180,Sezoane!$C$6:$C$40,1))),INDEX('Prețuri de setat'!$E$5:$E$39,MATCH(A180,Sezoane!$C$6:$C$40,1)),"")</f>
        <v>900</v>
      </c>
      <c r="F180" s="44" t="n">
        <f aca="false">IF(AND(ISNUMBER(MATCH(A180,Sezoane!$C$6:$C$40,1)),A180&lt;=INDEX(Sezoane!$D$6:$D$40,MATCH(A180,Sezoane!$C$6:$C$40,1))),INDEX('Prețuri de setat'!$F$5:$F$39,MATCH(A180,Sezoane!$C$6:$C$40,1)),"")</f>
        <v>1130</v>
      </c>
      <c r="G180" s="44" t="n">
        <f aca="false">IF(AND(ISNUMBER(MATCH(A180,Sezoane!$C$6:$C$40,1)),A180&lt;=INDEX(Sezoane!$D$6:$D$40,MATCH(A180,Sezoane!$C$6:$C$40,1))),INDEX('Prețuri de setat'!$G$5:$G$39,MATCH(A180,Sezoane!$C$6:$C$40,1)),"")</f>
        <v>1020</v>
      </c>
      <c r="H180" s="44" t="n">
        <f aca="false">IF(AND(ISNUMBER(MATCH(A180,Sezoane!$C$6:$C$40,1)),A180&lt;=INDEX(Sezoane!$D$6:$D$40,MATCH(A180,Sezoane!$C$6:$C$40,1))),INDEX('Prețuri de setat'!$H$5:$H$39,MATCH(A180,Sezoane!$C$6:$C$40,1)),"")</f>
        <v>980</v>
      </c>
      <c r="I180" s="44" t="n">
        <f aca="false">IF(AND(ISNUMBER(MATCH(A180,Sezoane!$C$6:$C$40,1)),A180&lt;=INDEX(Sezoane!$D$6:$D$40,MATCH(A180,Sezoane!$C$6:$C$40,1))),INDEX('Prețuri de setat'!$I$5:$I$39,MATCH(A180,Sezoane!$C$6:$C$40,1)),"")</f>
        <v>852</v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primavara-2027</v>
      </c>
      <c r="D181" s="43" t="n">
        <f aca="false">IF(AND(ISNUMBER(MATCH(A181,Sezoane!$C$6:$C$40,1)),A181&lt;=INDEX(Sezoane!$D$6:$D$40,MATCH(A181,Sezoane!$C$6:$C$40,1))),INDEX(Sezoane!$F$6:$F$40,MATCH(A181,Sezoane!$C$6:$C$40,1)),"")</f>
        <v>2</v>
      </c>
      <c r="E181" s="44" t="n">
        <f aca="false">IF(AND(ISNUMBER(MATCH(A181,Sezoane!$C$6:$C$40,1)),A181&lt;=INDEX(Sezoane!$D$6:$D$40,MATCH(A181,Sezoane!$C$6:$C$40,1))),INDEX('Prețuri de setat'!$E$5:$E$39,MATCH(A181,Sezoane!$C$6:$C$40,1)),"")</f>
        <v>900</v>
      </c>
      <c r="F181" s="44" t="n">
        <f aca="false">IF(AND(ISNUMBER(MATCH(A181,Sezoane!$C$6:$C$40,1)),A181&lt;=INDEX(Sezoane!$D$6:$D$40,MATCH(A181,Sezoane!$C$6:$C$40,1))),INDEX('Prețuri de setat'!$F$5:$F$39,MATCH(A181,Sezoane!$C$6:$C$40,1)),"")</f>
        <v>1130</v>
      </c>
      <c r="G181" s="44" t="n">
        <f aca="false">IF(AND(ISNUMBER(MATCH(A181,Sezoane!$C$6:$C$40,1)),A181&lt;=INDEX(Sezoane!$D$6:$D$40,MATCH(A181,Sezoane!$C$6:$C$40,1))),INDEX('Prețuri de setat'!$G$5:$G$39,MATCH(A181,Sezoane!$C$6:$C$40,1)),"")</f>
        <v>1020</v>
      </c>
      <c r="H181" s="44" t="n">
        <f aca="false">IF(AND(ISNUMBER(MATCH(A181,Sezoane!$C$6:$C$40,1)),A181&lt;=INDEX(Sezoane!$D$6:$D$40,MATCH(A181,Sezoane!$C$6:$C$40,1))),INDEX('Prețuri de setat'!$H$5:$H$39,MATCH(A181,Sezoane!$C$6:$C$40,1)),"")</f>
        <v>980</v>
      </c>
      <c r="I181" s="44" t="n">
        <f aca="false">IF(AND(ISNUMBER(MATCH(A181,Sezoane!$C$6:$C$40,1)),A181&lt;=INDEX(Sezoane!$D$6:$D$40,MATCH(A181,Sezoane!$C$6:$C$40,1))),INDEX('Prețuri de setat'!$I$5:$I$39,MATCH(A181,Sezoane!$C$6:$C$40,1)),"")</f>
        <v>852</v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primavara-2027</v>
      </c>
      <c r="D182" s="43" t="n">
        <f aca="false">IF(AND(ISNUMBER(MATCH(A182,Sezoane!$C$6:$C$40,1)),A182&lt;=INDEX(Sezoane!$D$6:$D$40,MATCH(A182,Sezoane!$C$6:$C$40,1))),INDEX(Sezoane!$F$6:$F$40,MATCH(A182,Sezoane!$C$6:$C$40,1)),"")</f>
        <v>2</v>
      </c>
      <c r="E182" s="44" t="n">
        <f aca="false">IF(AND(ISNUMBER(MATCH(A182,Sezoane!$C$6:$C$40,1)),A182&lt;=INDEX(Sezoane!$D$6:$D$40,MATCH(A182,Sezoane!$C$6:$C$40,1))),INDEX('Prețuri de setat'!$E$5:$E$39,MATCH(A182,Sezoane!$C$6:$C$40,1)),"")</f>
        <v>900</v>
      </c>
      <c r="F182" s="44" t="n">
        <f aca="false">IF(AND(ISNUMBER(MATCH(A182,Sezoane!$C$6:$C$40,1)),A182&lt;=INDEX(Sezoane!$D$6:$D$40,MATCH(A182,Sezoane!$C$6:$C$40,1))),INDEX('Prețuri de setat'!$F$5:$F$39,MATCH(A182,Sezoane!$C$6:$C$40,1)),"")</f>
        <v>1130</v>
      </c>
      <c r="G182" s="44" t="n">
        <f aca="false">IF(AND(ISNUMBER(MATCH(A182,Sezoane!$C$6:$C$40,1)),A182&lt;=INDEX(Sezoane!$D$6:$D$40,MATCH(A182,Sezoane!$C$6:$C$40,1))),INDEX('Prețuri de setat'!$G$5:$G$39,MATCH(A182,Sezoane!$C$6:$C$40,1)),"")</f>
        <v>1020</v>
      </c>
      <c r="H182" s="44" t="n">
        <f aca="false">IF(AND(ISNUMBER(MATCH(A182,Sezoane!$C$6:$C$40,1)),A182&lt;=INDEX(Sezoane!$D$6:$D$40,MATCH(A182,Sezoane!$C$6:$C$40,1))),INDEX('Prețuri de setat'!$H$5:$H$39,MATCH(A182,Sezoane!$C$6:$C$40,1)),"")</f>
        <v>980</v>
      </c>
      <c r="I182" s="44" t="n">
        <f aca="false">IF(AND(ISNUMBER(MATCH(A182,Sezoane!$C$6:$C$40,1)),A182&lt;=INDEX(Sezoane!$D$6:$D$40,MATCH(A182,Sezoane!$C$6:$C$40,1))),INDEX('Prețuri de setat'!$I$5:$I$39,MATCH(A182,Sezoane!$C$6:$C$40,1)),"")</f>
        <v>852</v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primavara-2027</v>
      </c>
      <c r="D183" s="43" t="n">
        <f aca="false">IF(AND(ISNUMBER(MATCH(A183,Sezoane!$C$6:$C$40,1)),A183&lt;=INDEX(Sezoane!$D$6:$D$40,MATCH(A183,Sezoane!$C$6:$C$40,1))),INDEX(Sezoane!$F$6:$F$40,MATCH(A183,Sezoane!$C$6:$C$40,1)),"")</f>
        <v>2</v>
      </c>
      <c r="E183" s="44" t="n">
        <f aca="false">IF(AND(ISNUMBER(MATCH(A183,Sezoane!$C$6:$C$40,1)),A183&lt;=INDEX(Sezoane!$D$6:$D$40,MATCH(A183,Sezoane!$C$6:$C$40,1))),INDEX('Prețuri de setat'!$E$5:$E$39,MATCH(A183,Sezoane!$C$6:$C$40,1)),"")</f>
        <v>900</v>
      </c>
      <c r="F183" s="44" t="n">
        <f aca="false">IF(AND(ISNUMBER(MATCH(A183,Sezoane!$C$6:$C$40,1)),A183&lt;=INDEX(Sezoane!$D$6:$D$40,MATCH(A183,Sezoane!$C$6:$C$40,1))),INDEX('Prețuri de setat'!$F$5:$F$39,MATCH(A183,Sezoane!$C$6:$C$40,1)),"")</f>
        <v>1130</v>
      </c>
      <c r="G183" s="44" t="n">
        <f aca="false">IF(AND(ISNUMBER(MATCH(A183,Sezoane!$C$6:$C$40,1)),A183&lt;=INDEX(Sezoane!$D$6:$D$40,MATCH(A183,Sezoane!$C$6:$C$40,1))),INDEX('Prețuri de setat'!$G$5:$G$39,MATCH(A183,Sezoane!$C$6:$C$40,1)),"")</f>
        <v>1020</v>
      </c>
      <c r="H183" s="44" t="n">
        <f aca="false">IF(AND(ISNUMBER(MATCH(A183,Sezoane!$C$6:$C$40,1)),A183&lt;=INDEX(Sezoane!$D$6:$D$40,MATCH(A183,Sezoane!$C$6:$C$40,1))),INDEX('Prețuri de setat'!$H$5:$H$39,MATCH(A183,Sezoane!$C$6:$C$40,1)),"")</f>
        <v>980</v>
      </c>
      <c r="I183" s="44" t="n">
        <f aca="false">IF(AND(ISNUMBER(MATCH(A183,Sezoane!$C$6:$C$40,1)),A183&lt;=INDEX(Sezoane!$D$6:$D$40,MATCH(A183,Sezoane!$C$6:$C$40,1))),INDEX('Prețuri de setat'!$I$5:$I$39,MATCH(A183,Sezoane!$C$6:$C$40,1)),"")</f>
        <v>852</v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primavara-2027</v>
      </c>
      <c r="D184" s="43" t="n">
        <f aca="false">IF(AND(ISNUMBER(MATCH(A184,Sezoane!$C$6:$C$40,1)),A184&lt;=INDEX(Sezoane!$D$6:$D$40,MATCH(A184,Sezoane!$C$6:$C$40,1))),INDEX(Sezoane!$F$6:$F$40,MATCH(A184,Sezoane!$C$6:$C$40,1)),"")</f>
        <v>2</v>
      </c>
      <c r="E184" s="44" t="n">
        <f aca="false">IF(AND(ISNUMBER(MATCH(A184,Sezoane!$C$6:$C$40,1)),A184&lt;=INDEX(Sezoane!$D$6:$D$40,MATCH(A184,Sezoane!$C$6:$C$40,1))),INDEX('Prețuri de setat'!$E$5:$E$39,MATCH(A184,Sezoane!$C$6:$C$40,1)),"")</f>
        <v>900</v>
      </c>
      <c r="F184" s="44" t="n">
        <f aca="false">IF(AND(ISNUMBER(MATCH(A184,Sezoane!$C$6:$C$40,1)),A184&lt;=INDEX(Sezoane!$D$6:$D$40,MATCH(A184,Sezoane!$C$6:$C$40,1))),INDEX('Prețuri de setat'!$F$5:$F$39,MATCH(A184,Sezoane!$C$6:$C$40,1)),"")</f>
        <v>1130</v>
      </c>
      <c r="G184" s="44" t="n">
        <f aca="false">IF(AND(ISNUMBER(MATCH(A184,Sezoane!$C$6:$C$40,1)),A184&lt;=INDEX(Sezoane!$D$6:$D$40,MATCH(A184,Sezoane!$C$6:$C$40,1))),INDEX('Prețuri de setat'!$G$5:$G$39,MATCH(A184,Sezoane!$C$6:$C$40,1)),"")</f>
        <v>1020</v>
      </c>
      <c r="H184" s="44" t="n">
        <f aca="false">IF(AND(ISNUMBER(MATCH(A184,Sezoane!$C$6:$C$40,1)),A184&lt;=INDEX(Sezoane!$D$6:$D$40,MATCH(A184,Sezoane!$C$6:$C$40,1))),INDEX('Prețuri de setat'!$H$5:$H$39,MATCH(A184,Sezoane!$C$6:$C$40,1)),"")</f>
        <v>980</v>
      </c>
      <c r="I184" s="44" t="n">
        <f aca="false">IF(AND(ISNUMBER(MATCH(A184,Sezoane!$C$6:$C$40,1)),A184&lt;=INDEX(Sezoane!$D$6:$D$40,MATCH(A184,Sezoane!$C$6:$C$40,1))),INDEX('Prețuri de setat'!$I$5:$I$39,MATCH(A184,Sezoane!$C$6:$C$40,1)),"")</f>
        <v>852</v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primavara-2027</v>
      </c>
      <c r="D185" s="43" t="n">
        <f aca="false">IF(AND(ISNUMBER(MATCH(A185,Sezoane!$C$6:$C$40,1)),A185&lt;=INDEX(Sezoane!$D$6:$D$40,MATCH(A185,Sezoane!$C$6:$C$40,1))),INDEX(Sezoane!$F$6:$F$40,MATCH(A185,Sezoane!$C$6:$C$40,1)),"")</f>
        <v>2</v>
      </c>
      <c r="E185" s="44" t="n">
        <f aca="false">IF(AND(ISNUMBER(MATCH(A185,Sezoane!$C$6:$C$40,1)),A185&lt;=INDEX(Sezoane!$D$6:$D$40,MATCH(A185,Sezoane!$C$6:$C$40,1))),INDEX('Prețuri de setat'!$E$5:$E$39,MATCH(A185,Sezoane!$C$6:$C$40,1)),"")</f>
        <v>900</v>
      </c>
      <c r="F185" s="44" t="n">
        <f aca="false">IF(AND(ISNUMBER(MATCH(A185,Sezoane!$C$6:$C$40,1)),A185&lt;=INDEX(Sezoane!$D$6:$D$40,MATCH(A185,Sezoane!$C$6:$C$40,1))),INDEX('Prețuri de setat'!$F$5:$F$39,MATCH(A185,Sezoane!$C$6:$C$40,1)),"")</f>
        <v>1130</v>
      </c>
      <c r="G185" s="44" t="n">
        <f aca="false">IF(AND(ISNUMBER(MATCH(A185,Sezoane!$C$6:$C$40,1)),A185&lt;=INDEX(Sezoane!$D$6:$D$40,MATCH(A185,Sezoane!$C$6:$C$40,1))),INDEX('Prețuri de setat'!$G$5:$G$39,MATCH(A185,Sezoane!$C$6:$C$40,1)),"")</f>
        <v>1020</v>
      </c>
      <c r="H185" s="44" t="n">
        <f aca="false">IF(AND(ISNUMBER(MATCH(A185,Sezoane!$C$6:$C$40,1)),A185&lt;=INDEX(Sezoane!$D$6:$D$40,MATCH(A185,Sezoane!$C$6:$C$40,1))),INDEX('Prețuri de setat'!$H$5:$H$39,MATCH(A185,Sezoane!$C$6:$C$40,1)),"")</f>
        <v>980</v>
      </c>
      <c r="I185" s="44" t="n">
        <f aca="false">IF(AND(ISNUMBER(MATCH(A185,Sezoane!$C$6:$C$40,1)),A185&lt;=INDEX(Sezoane!$D$6:$D$40,MATCH(A185,Sezoane!$C$6:$C$40,1))),INDEX('Prețuri de setat'!$I$5:$I$39,MATCH(A185,Sezoane!$C$6:$C$40,1)),"")</f>
        <v>852</v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primavara-2027</v>
      </c>
      <c r="D186" s="43" t="n">
        <f aca="false">IF(AND(ISNUMBER(MATCH(A186,Sezoane!$C$6:$C$40,1)),A186&lt;=INDEX(Sezoane!$D$6:$D$40,MATCH(A186,Sezoane!$C$6:$C$40,1))),INDEX(Sezoane!$F$6:$F$40,MATCH(A186,Sezoane!$C$6:$C$40,1)),"")</f>
        <v>2</v>
      </c>
      <c r="E186" s="44" t="n">
        <f aca="false">IF(AND(ISNUMBER(MATCH(A186,Sezoane!$C$6:$C$40,1)),A186&lt;=INDEX(Sezoane!$D$6:$D$40,MATCH(A186,Sezoane!$C$6:$C$40,1))),INDEX('Prețuri de setat'!$E$5:$E$39,MATCH(A186,Sezoane!$C$6:$C$40,1)),"")</f>
        <v>900</v>
      </c>
      <c r="F186" s="44" t="n">
        <f aca="false">IF(AND(ISNUMBER(MATCH(A186,Sezoane!$C$6:$C$40,1)),A186&lt;=INDEX(Sezoane!$D$6:$D$40,MATCH(A186,Sezoane!$C$6:$C$40,1))),INDEX('Prețuri de setat'!$F$5:$F$39,MATCH(A186,Sezoane!$C$6:$C$40,1)),"")</f>
        <v>1130</v>
      </c>
      <c r="G186" s="44" t="n">
        <f aca="false">IF(AND(ISNUMBER(MATCH(A186,Sezoane!$C$6:$C$40,1)),A186&lt;=INDEX(Sezoane!$D$6:$D$40,MATCH(A186,Sezoane!$C$6:$C$40,1))),INDEX('Prețuri de setat'!$G$5:$G$39,MATCH(A186,Sezoane!$C$6:$C$40,1)),"")</f>
        <v>1020</v>
      </c>
      <c r="H186" s="44" t="n">
        <f aca="false">IF(AND(ISNUMBER(MATCH(A186,Sezoane!$C$6:$C$40,1)),A186&lt;=INDEX(Sezoane!$D$6:$D$40,MATCH(A186,Sezoane!$C$6:$C$40,1))),INDEX('Prețuri de setat'!$H$5:$H$39,MATCH(A186,Sezoane!$C$6:$C$40,1)),"")</f>
        <v>980</v>
      </c>
      <c r="I186" s="44" t="n">
        <f aca="false">IF(AND(ISNUMBER(MATCH(A186,Sezoane!$C$6:$C$40,1)),A186&lt;=INDEX(Sezoane!$D$6:$D$40,MATCH(A186,Sezoane!$C$6:$C$40,1))),INDEX('Prețuri de setat'!$I$5:$I$39,MATCH(A186,Sezoane!$C$6:$C$40,1)),"")</f>
        <v>852</v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primavara-2027</v>
      </c>
      <c r="D187" s="43" t="n">
        <f aca="false">IF(AND(ISNUMBER(MATCH(A187,Sezoane!$C$6:$C$40,1)),A187&lt;=INDEX(Sezoane!$D$6:$D$40,MATCH(A187,Sezoane!$C$6:$C$40,1))),INDEX(Sezoane!$F$6:$F$40,MATCH(A187,Sezoane!$C$6:$C$40,1)),"")</f>
        <v>2</v>
      </c>
      <c r="E187" s="44" t="n">
        <f aca="false">IF(AND(ISNUMBER(MATCH(A187,Sezoane!$C$6:$C$40,1)),A187&lt;=INDEX(Sezoane!$D$6:$D$40,MATCH(A187,Sezoane!$C$6:$C$40,1))),INDEX('Prețuri de setat'!$E$5:$E$39,MATCH(A187,Sezoane!$C$6:$C$40,1)),"")</f>
        <v>900</v>
      </c>
      <c r="F187" s="44" t="n">
        <f aca="false">IF(AND(ISNUMBER(MATCH(A187,Sezoane!$C$6:$C$40,1)),A187&lt;=INDEX(Sezoane!$D$6:$D$40,MATCH(A187,Sezoane!$C$6:$C$40,1))),INDEX('Prețuri de setat'!$F$5:$F$39,MATCH(A187,Sezoane!$C$6:$C$40,1)),"")</f>
        <v>1130</v>
      </c>
      <c r="G187" s="44" t="n">
        <f aca="false">IF(AND(ISNUMBER(MATCH(A187,Sezoane!$C$6:$C$40,1)),A187&lt;=INDEX(Sezoane!$D$6:$D$40,MATCH(A187,Sezoane!$C$6:$C$40,1))),INDEX('Prețuri de setat'!$G$5:$G$39,MATCH(A187,Sezoane!$C$6:$C$40,1)),"")</f>
        <v>1020</v>
      </c>
      <c r="H187" s="44" t="n">
        <f aca="false">IF(AND(ISNUMBER(MATCH(A187,Sezoane!$C$6:$C$40,1)),A187&lt;=INDEX(Sezoane!$D$6:$D$40,MATCH(A187,Sezoane!$C$6:$C$40,1))),INDEX('Prețuri de setat'!$H$5:$H$39,MATCH(A187,Sezoane!$C$6:$C$40,1)),"")</f>
        <v>980</v>
      </c>
      <c r="I187" s="44" t="n">
        <f aca="false">IF(AND(ISNUMBER(MATCH(A187,Sezoane!$C$6:$C$40,1)),A187&lt;=INDEX(Sezoane!$D$6:$D$40,MATCH(A187,Sezoane!$C$6:$C$40,1))),INDEX('Prețuri de setat'!$I$5:$I$39,MATCH(A187,Sezoane!$C$6:$C$40,1)),"")</f>
        <v>852</v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primavara-2027</v>
      </c>
      <c r="D188" s="43" t="n">
        <f aca="false">IF(AND(ISNUMBER(MATCH(A188,Sezoane!$C$6:$C$40,1)),A188&lt;=INDEX(Sezoane!$D$6:$D$40,MATCH(A188,Sezoane!$C$6:$C$40,1))),INDEX(Sezoane!$F$6:$F$40,MATCH(A188,Sezoane!$C$6:$C$40,1)),"")</f>
        <v>2</v>
      </c>
      <c r="E188" s="44" t="n">
        <f aca="false">IF(AND(ISNUMBER(MATCH(A188,Sezoane!$C$6:$C$40,1)),A188&lt;=INDEX(Sezoane!$D$6:$D$40,MATCH(A188,Sezoane!$C$6:$C$40,1))),INDEX('Prețuri de setat'!$E$5:$E$39,MATCH(A188,Sezoane!$C$6:$C$40,1)),"")</f>
        <v>900</v>
      </c>
      <c r="F188" s="44" t="n">
        <f aca="false">IF(AND(ISNUMBER(MATCH(A188,Sezoane!$C$6:$C$40,1)),A188&lt;=INDEX(Sezoane!$D$6:$D$40,MATCH(A188,Sezoane!$C$6:$C$40,1))),INDEX('Prețuri de setat'!$F$5:$F$39,MATCH(A188,Sezoane!$C$6:$C$40,1)),"")</f>
        <v>1130</v>
      </c>
      <c r="G188" s="44" t="n">
        <f aca="false">IF(AND(ISNUMBER(MATCH(A188,Sezoane!$C$6:$C$40,1)),A188&lt;=INDEX(Sezoane!$D$6:$D$40,MATCH(A188,Sezoane!$C$6:$C$40,1))),INDEX('Prețuri de setat'!$G$5:$G$39,MATCH(A188,Sezoane!$C$6:$C$40,1)),"")</f>
        <v>1020</v>
      </c>
      <c r="H188" s="44" t="n">
        <f aca="false">IF(AND(ISNUMBER(MATCH(A188,Sezoane!$C$6:$C$40,1)),A188&lt;=INDEX(Sezoane!$D$6:$D$40,MATCH(A188,Sezoane!$C$6:$C$40,1))),INDEX('Prețuri de setat'!$H$5:$H$39,MATCH(A188,Sezoane!$C$6:$C$40,1)),"")</f>
        <v>980</v>
      </c>
      <c r="I188" s="44" t="n">
        <f aca="false">IF(AND(ISNUMBER(MATCH(A188,Sezoane!$C$6:$C$40,1)),A188&lt;=INDEX(Sezoane!$D$6:$D$40,MATCH(A188,Sezoane!$C$6:$C$40,1))),INDEX('Prețuri de setat'!$I$5:$I$39,MATCH(A188,Sezoane!$C$6:$C$40,1)),"")</f>
        <v>852</v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primavara-2027</v>
      </c>
      <c r="D189" s="43" t="n">
        <f aca="false">IF(AND(ISNUMBER(MATCH(A189,Sezoane!$C$6:$C$40,1)),A189&lt;=INDEX(Sezoane!$D$6:$D$40,MATCH(A189,Sezoane!$C$6:$C$40,1))),INDEX(Sezoane!$F$6:$F$40,MATCH(A189,Sezoane!$C$6:$C$40,1)),"")</f>
        <v>2</v>
      </c>
      <c r="E189" s="44" t="n">
        <f aca="false">IF(AND(ISNUMBER(MATCH(A189,Sezoane!$C$6:$C$40,1)),A189&lt;=INDEX(Sezoane!$D$6:$D$40,MATCH(A189,Sezoane!$C$6:$C$40,1))),INDEX('Prețuri de setat'!$E$5:$E$39,MATCH(A189,Sezoane!$C$6:$C$40,1)),"")</f>
        <v>900</v>
      </c>
      <c r="F189" s="44" t="n">
        <f aca="false">IF(AND(ISNUMBER(MATCH(A189,Sezoane!$C$6:$C$40,1)),A189&lt;=INDEX(Sezoane!$D$6:$D$40,MATCH(A189,Sezoane!$C$6:$C$40,1))),INDEX('Prețuri de setat'!$F$5:$F$39,MATCH(A189,Sezoane!$C$6:$C$40,1)),"")</f>
        <v>1130</v>
      </c>
      <c r="G189" s="44" t="n">
        <f aca="false">IF(AND(ISNUMBER(MATCH(A189,Sezoane!$C$6:$C$40,1)),A189&lt;=INDEX(Sezoane!$D$6:$D$40,MATCH(A189,Sezoane!$C$6:$C$40,1))),INDEX('Prețuri de setat'!$G$5:$G$39,MATCH(A189,Sezoane!$C$6:$C$40,1)),"")</f>
        <v>1020</v>
      </c>
      <c r="H189" s="44" t="n">
        <f aca="false">IF(AND(ISNUMBER(MATCH(A189,Sezoane!$C$6:$C$40,1)),A189&lt;=INDEX(Sezoane!$D$6:$D$40,MATCH(A189,Sezoane!$C$6:$C$40,1))),INDEX('Prețuri de setat'!$H$5:$H$39,MATCH(A189,Sezoane!$C$6:$C$40,1)),"")</f>
        <v>980</v>
      </c>
      <c r="I189" s="44" t="n">
        <f aca="false">IF(AND(ISNUMBER(MATCH(A189,Sezoane!$C$6:$C$40,1)),A189&lt;=INDEX(Sezoane!$D$6:$D$40,MATCH(A189,Sezoane!$C$6:$C$40,1))),INDEX('Prețuri de setat'!$I$5:$I$39,MATCH(A189,Sezoane!$C$6:$C$40,1)),"")</f>
        <v>852</v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primavara-2027</v>
      </c>
      <c r="D190" s="43" t="n">
        <f aca="false">IF(AND(ISNUMBER(MATCH(A190,Sezoane!$C$6:$C$40,1)),A190&lt;=INDEX(Sezoane!$D$6:$D$40,MATCH(A190,Sezoane!$C$6:$C$40,1))),INDEX(Sezoane!$F$6:$F$40,MATCH(A190,Sezoane!$C$6:$C$40,1)),"")</f>
        <v>2</v>
      </c>
      <c r="E190" s="44" t="n">
        <f aca="false">IF(AND(ISNUMBER(MATCH(A190,Sezoane!$C$6:$C$40,1)),A190&lt;=INDEX(Sezoane!$D$6:$D$40,MATCH(A190,Sezoane!$C$6:$C$40,1))),INDEX('Prețuri de setat'!$E$5:$E$39,MATCH(A190,Sezoane!$C$6:$C$40,1)),"")</f>
        <v>900</v>
      </c>
      <c r="F190" s="44" t="n">
        <f aca="false">IF(AND(ISNUMBER(MATCH(A190,Sezoane!$C$6:$C$40,1)),A190&lt;=INDEX(Sezoane!$D$6:$D$40,MATCH(A190,Sezoane!$C$6:$C$40,1))),INDEX('Prețuri de setat'!$F$5:$F$39,MATCH(A190,Sezoane!$C$6:$C$40,1)),"")</f>
        <v>1130</v>
      </c>
      <c r="G190" s="44" t="n">
        <f aca="false">IF(AND(ISNUMBER(MATCH(A190,Sezoane!$C$6:$C$40,1)),A190&lt;=INDEX(Sezoane!$D$6:$D$40,MATCH(A190,Sezoane!$C$6:$C$40,1))),INDEX('Prețuri de setat'!$G$5:$G$39,MATCH(A190,Sezoane!$C$6:$C$40,1)),"")</f>
        <v>1020</v>
      </c>
      <c r="H190" s="44" t="n">
        <f aca="false">IF(AND(ISNUMBER(MATCH(A190,Sezoane!$C$6:$C$40,1)),A190&lt;=INDEX(Sezoane!$D$6:$D$40,MATCH(A190,Sezoane!$C$6:$C$40,1))),INDEX('Prețuri de setat'!$H$5:$H$39,MATCH(A190,Sezoane!$C$6:$C$40,1)),"")</f>
        <v>980</v>
      </c>
      <c r="I190" s="44" t="n">
        <f aca="false">IF(AND(ISNUMBER(MATCH(A190,Sezoane!$C$6:$C$40,1)),A190&lt;=INDEX(Sezoane!$D$6:$D$40,MATCH(A190,Sezoane!$C$6:$C$40,1))),INDEX('Prețuri de setat'!$I$5:$I$39,MATCH(A190,Sezoane!$C$6:$C$40,1)),"")</f>
        <v>852</v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primavara-2027</v>
      </c>
      <c r="D191" s="43" t="n">
        <f aca="false">IF(AND(ISNUMBER(MATCH(A191,Sezoane!$C$6:$C$40,1)),A191&lt;=INDEX(Sezoane!$D$6:$D$40,MATCH(A191,Sezoane!$C$6:$C$40,1))),INDEX(Sezoane!$F$6:$F$40,MATCH(A191,Sezoane!$C$6:$C$40,1)),"")</f>
        <v>2</v>
      </c>
      <c r="E191" s="44" t="n">
        <f aca="false">IF(AND(ISNUMBER(MATCH(A191,Sezoane!$C$6:$C$40,1)),A191&lt;=INDEX(Sezoane!$D$6:$D$40,MATCH(A191,Sezoane!$C$6:$C$40,1))),INDEX('Prețuri de setat'!$E$5:$E$39,MATCH(A191,Sezoane!$C$6:$C$40,1)),"")</f>
        <v>900</v>
      </c>
      <c r="F191" s="44" t="n">
        <f aca="false">IF(AND(ISNUMBER(MATCH(A191,Sezoane!$C$6:$C$40,1)),A191&lt;=INDEX(Sezoane!$D$6:$D$40,MATCH(A191,Sezoane!$C$6:$C$40,1))),INDEX('Prețuri de setat'!$F$5:$F$39,MATCH(A191,Sezoane!$C$6:$C$40,1)),"")</f>
        <v>1130</v>
      </c>
      <c r="G191" s="44" t="n">
        <f aca="false">IF(AND(ISNUMBER(MATCH(A191,Sezoane!$C$6:$C$40,1)),A191&lt;=INDEX(Sezoane!$D$6:$D$40,MATCH(A191,Sezoane!$C$6:$C$40,1))),INDEX('Prețuri de setat'!$G$5:$G$39,MATCH(A191,Sezoane!$C$6:$C$40,1)),"")</f>
        <v>1020</v>
      </c>
      <c r="H191" s="44" t="n">
        <f aca="false">IF(AND(ISNUMBER(MATCH(A191,Sezoane!$C$6:$C$40,1)),A191&lt;=INDEX(Sezoane!$D$6:$D$40,MATCH(A191,Sezoane!$C$6:$C$40,1))),INDEX('Prețuri de setat'!$H$5:$H$39,MATCH(A191,Sezoane!$C$6:$C$40,1)),"")</f>
        <v>980</v>
      </c>
      <c r="I191" s="44" t="n">
        <f aca="false">IF(AND(ISNUMBER(MATCH(A191,Sezoane!$C$6:$C$40,1)),A191&lt;=INDEX(Sezoane!$D$6:$D$40,MATCH(A191,Sezoane!$C$6:$C$40,1))),INDEX('Prețuri de setat'!$I$5:$I$39,MATCH(A191,Sezoane!$C$6:$C$40,1)),"")</f>
        <v>852</v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primavara-2027</v>
      </c>
      <c r="D192" s="43" t="n">
        <f aca="false">IF(AND(ISNUMBER(MATCH(A192,Sezoane!$C$6:$C$40,1)),A192&lt;=INDEX(Sezoane!$D$6:$D$40,MATCH(A192,Sezoane!$C$6:$C$40,1))),INDEX(Sezoane!$F$6:$F$40,MATCH(A192,Sezoane!$C$6:$C$40,1)),"")</f>
        <v>2</v>
      </c>
      <c r="E192" s="44" t="n">
        <f aca="false">IF(AND(ISNUMBER(MATCH(A192,Sezoane!$C$6:$C$40,1)),A192&lt;=INDEX(Sezoane!$D$6:$D$40,MATCH(A192,Sezoane!$C$6:$C$40,1))),INDEX('Prețuri de setat'!$E$5:$E$39,MATCH(A192,Sezoane!$C$6:$C$40,1)),"")</f>
        <v>900</v>
      </c>
      <c r="F192" s="44" t="n">
        <f aca="false">IF(AND(ISNUMBER(MATCH(A192,Sezoane!$C$6:$C$40,1)),A192&lt;=INDEX(Sezoane!$D$6:$D$40,MATCH(A192,Sezoane!$C$6:$C$40,1))),INDEX('Prețuri de setat'!$F$5:$F$39,MATCH(A192,Sezoane!$C$6:$C$40,1)),"")</f>
        <v>1130</v>
      </c>
      <c r="G192" s="44" t="n">
        <f aca="false">IF(AND(ISNUMBER(MATCH(A192,Sezoane!$C$6:$C$40,1)),A192&lt;=INDEX(Sezoane!$D$6:$D$40,MATCH(A192,Sezoane!$C$6:$C$40,1))),INDEX('Prețuri de setat'!$G$5:$G$39,MATCH(A192,Sezoane!$C$6:$C$40,1)),"")</f>
        <v>1020</v>
      </c>
      <c r="H192" s="44" t="n">
        <f aca="false">IF(AND(ISNUMBER(MATCH(A192,Sezoane!$C$6:$C$40,1)),A192&lt;=INDEX(Sezoane!$D$6:$D$40,MATCH(A192,Sezoane!$C$6:$C$40,1))),INDEX('Prețuri de setat'!$H$5:$H$39,MATCH(A192,Sezoane!$C$6:$C$40,1)),"")</f>
        <v>980</v>
      </c>
      <c r="I192" s="44" t="n">
        <f aca="false">IF(AND(ISNUMBER(MATCH(A192,Sezoane!$C$6:$C$40,1)),A192&lt;=INDEX(Sezoane!$D$6:$D$40,MATCH(A192,Sezoane!$C$6:$C$40,1))),INDEX('Prețuri de setat'!$I$5:$I$39,MATCH(A192,Sezoane!$C$6:$C$40,1)),"")</f>
        <v>852</v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primavara-2027</v>
      </c>
      <c r="D193" s="43" t="n">
        <f aca="false">IF(AND(ISNUMBER(MATCH(A193,Sezoane!$C$6:$C$40,1)),A193&lt;=INDEX(Sezoane!$D$6:$D$40,MATCH(A193,Sezoane!$C$6:$C$40,1))),INDEX(Sezoane!$F$6:$F$40,MATCH(A193,Sezoane!$C$6:$C$40,1)),"")</f>
        <v>2</v>
      </c>
      <c r="E193" s="44" t="n">
        <f aca="false">IF(AND(ISNUMBER(MATCH(A193,Sezoane!$C$6:$C$40,1)),A193&lt;=INDEX(Sezoane!$D$6:$D$40,MATCH(A193,Sezoane!$C$6:$C$40,1))),INDEX('Prețuri de setat'!$E$5:$E$39,MATCH(A193,Sezoane!$C$6:$C$40,1)),"")</f>
        <v>900</v>
      </c>
      <c r="F193" s="44" t="n">
        <f aca="false">IF(AND(ISNUMBER(MATCH(A193,Sezoane!$C$6:$C$40,1)),A193&lt;=INDEX(Sezoane!$D$6:$D$40,MATCH(A193,Sezoane!$C$6:$C$40,1))),INDEX('Prețuri de setat'!$F$5:$F$39,MATCH(A193,Sezoane!$C$6:$C$40,1)),"")</f>
        <v>1130</v>
      </c>
      <c r="G193" s="44" t="n">
        <f aca="false">IF(AND(ISNUMBER(MATCH(A193,Sezoane!$C$6:$C$40,1)),A193&lt;=INDEX(Sezoane!$D$6:$D$40,MATCH(A193,Sezoane!$C$6:$C$40,1))),INDEX('Prețuri de setat'!$G$5:$G$39,MATCH(A193,Sezoane!$C$6:$C$40,1)),"")</f>
        <v>1020</v>
      </c>
      <c r="H193" s="44" t="n">
        <f aca="false">IF(AND(ISNUMBER(MATCH(A193,Sezoane!$C$6:$C$40,1)),A193&lt;=INDEX(Sezoane!$D$6:$D$40,MATCH(A193,Sezoane!$C$6:$C$40,1))),INDEX('Prețuri de setat'!$H$5:$H$39,MATCH(A193,Sezoane!$C$6:$C$40,1)),"")</f>
        <v>980</v>
      </c>
      <c r="I193" s="44" t="n">
        <f aca="false">IF(AND(ISNUMBER(MATCH(A193,Sezoane!$C$6:$C$40,1)),A193&lt;=INDEX(Sezoane!$D$6:$D$40,MATCH(A193,Sezoane!$C$6:$C$40,1))),INDEX('Prețuri de setat'!$I$5:$I$39,MATCH(A193,Sezoane!$C$6:$C$40,1)),"")</f>
        <v>852</v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primavara-2027</v>
      </c>
      <c r="D194" s="43" t="n">
        <f aca="false">IF(AND(ISNUMBER(MATCH(A194,Sezoane!$C$6:$C$40,1)),A194&lt;=INDEX(Sezoane!$D$6:$D$40,MATCH(A194,Sezoane!$C$6:$C$40,1))),INDEX(Sezoane!$F$6:$F$40,MATCH(A194,Sezoane!$C$6:$C$40,1)),"")</f>
        <v>2</v>
      </c>
      <c r="E194" s="44" t="n">
        <f aca="false">IF(AND(ISNUMBER(MATCH(A194,Sezoane!$C$6:$C$40,1)),A194&lt;=INDEX(Sezoane!$D$6:$D$40,MATCH(A194,Sezoane!$C$6:$C$40,1))),INDEX('Prețuri de setat'!$E$5:$E$39,MATCH(A194,Sezoane!$C$6:$C$40,1)),"")</f>
        <v>900</v>
      </c>
      <c r="F194" s="44" t="n">
        <f aca="false">IF(AND(ISNUMBER(MATCH(A194,Sezoane!$C$6:$C$40,1)),A194&lt;=INDEX(Sezoane!$D$6:$D$40,MATCH(A194,Sezoane!$C$6:$C$40,1))),INDEX('Prețuri de setat'!$F$5:$F$39,MATCH(A194,Sezoane!$C$6:$C$40,1)),"")</f>
        <v>1130</v>
      </c>
      <c r="G194" s="44" t="n">
        <f aca="false">IF(AND(ISNUMBER(MATCH(A194,Sezoane!$C$6:$C$40,1)),A194&lt;=INDEX(Sezoane!$D$6:$D$40,MATCH(A194,Sezoane!$C$6:$C$40,1))),INDEX('Prețuri de setat'!$G$5:$G$39,MATCH(A194,Sezoane!$C$6:$C$40,1)),"")</f>
        <v>1020</v>
      </c>
      <c r="H194" s="44" t="n">
        <f aca="false">IF(AND(ISNUMBER(MATCH(A194,Sezoane!$C$6:$C$40,1)),A194&lt;=INDEX(Sezoane!$D$6:$D$40,MATCH(A194,Sezoane!$C$6:$C$40,1))),INDEX('Prețuri de setat'!$H$5:$H$39,MATCH(A194,Sezoane!$C$6:$C$40,1)),"")</f>
        <v>980</v>
      </c>
      <c r="I194" s="44" t="n">
        <f aca="false">IF(AND(ISNUMBER(MATCH(A194,Sezoane!$C$6:$C$40,1)),A194&lt;=INDEX(Sezoane!$D$6:$D$40,MATCH(A194,Sezoane!$C$6:$C$40,1))),INDEX('Prețuri de setat'!$I$5:$I$39,MATCH(A194,Sezoane!$C$6:$C$40,1)),"")</f>
        <v>852</v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primavara-2027</v>
      </c>
      <c r="D195" s="43" t="n">
        <f aca="false">IF(AND(ISNUMBER(MATCH(A195,Sezoane!$C$6:$C$40,1)),A195&lt;=INDEX(Sezoane!$D$6:$D$40,MATCH(A195,Sezoane!$C$6:$C$40,1))),INDEX(Sezoane!$F$6:$F$40,MATCH(A195,Sezoane!$C$6:$C$40,1)),"")</f>
        <v>2</v>
      </c>
      <c r="E195" s="44" t="n">
        <f aca="false">IF(AND(ISNUMBER(MATCH(A195,Sezoane!$C$6:$C$40,1)),A195&lt;=INDEX(Sezoane!$D$6:$D$40,MATCH(A195,Sezoane!$C$6:$C$40,1))),INDEX('Prețuri de setat'!$E$5:$E$39,MATCH(A195,Sezoane!$C$6:$C$40,1)),"")</f>
        <v>900</v>
      </c>
      <c r="F195" s="44" t="n">
        <f aca="false">IF(AND(ISNUMBER(MATCH(A195,Sezoane!$C$6:$C$40,1)),A195&lt;=INDEX(Sezoane!$D$6:$D$40,MATCH(A195,Sezoane!$C$6:$C$40,1))),INDEX('Prețuri de setat'!$F$5:$F$39,MATCH(A195,Sezoane!$C$6:$C$40,1)),"")</f>
        <v>1130</v>
      </c>
      <c r="G195" s="44" t="n">
        <f aca="false">IF(AND(ISNUMBER(MATCH(A195,Sezoane!$C$6:$C$40,1)),A195&lt;=INDEX(Sezoane!$D$6:$D$40,MATCH(A195,Sezoane!$C$6:$C$40,1))),INDEX('Prețuri de setat'!$G$5:$G$39,MATCH(A195,Sezoane!$C$6:$C$40,1)),"")</f>
        <v>1020</v>
      </c>
      <c r="H195" s="44" t="n">
        <f aca="false">IF(AND(ISNUMBER(MATCH(A195,Sezoane!$C$6:$C$40,1)),A195&lt;=INDEX(Sezoane!$D$6:$D$40,MATCH(A195,Sezoane!$C$6:$C$40,1))),INDEX('Prețuri de setat'!$H$5:$H$39,MATCH(A195,Sezoane!$C$6:$C$40,1)),"")</f>
        <v>980</v>
      </c>
      <c r="I195" s="44" t="n">
        <f aca="false">IF(AND(ISNUMBER(MATCH(A195,Sezoane!$C$6:$C$40,1)),A195&lt;=INDEX(Sezoane!$D$6:$D$40,MATCH(A195,Sezoane!$C$6:$C$40,1))),INDEX('Prețuri de setat'!$I$5:$I$39,MATCH(A195,Sezoane!$C$6:$C$40,1)),"")</f>
        <v>852</v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primavara-2027</v>
      </c>
      <c r="D196" s="43" t="n">
        <f aca="false">IF(AND(ISNUMBER(MATCH(A196,Sezoane!$C$6:$C$40,1)),A196&lt;=INDEX(Sezoane!$D$6:$D$40,MATCH(A196,Sezoane!$C$6:$C$40,1))),INDEX(Sezoane!$F$6:$F$40,MATCH(A196,Sezoane!$C$6:$C$40,1)),"")</f>
        <v>2</v>
      </c>
      <c r="E196" s="44" t="n">
        <f aca="false">IF(AND(ISNUMBER(MATCH(A196,Sezoane!$C$6:$C$40,1)),A196&lt;=INDEX(Sezoane!$D$6:$D$40,MATCH(A196,Sezoane!$C$6:$C$40,1))),INDEX('Prețuri de setat'!$E$5:$E$39,MATCH(A196,Sezoane!$C$6:$C$40,1)),"")</f>
        <v>900</v>
      </c>
      <c r="F196" s="44" t="n">
        <f aca="false">IF(AND(ISNUMBER(MATCH(A196,Sezoane!$C$6:$C$40,1)),A196&lt;=INDEX(Sezoane!$D$6:$D$40,MATCH(A196,Sezoane!$C$6:$C$40,1))),INDEX('Prețuri de setat'!$F$5:$F$39,MATCH(A196,Sezoane!$C$6:$C$40,1)),"")</f>
        <v>1130</v>
      </c>
      <c r="G196" s="44" t="n">
        <f aca="false">IF(AND(ISNUMBER(MATCH(A196,Sezoane!$C$6:$C$40,1)),A196&lt;=INDEX(Sezoane!$D$6:$D$40,MATCH(A196,Sezoane!$C$6:$C$40,1))),INDEX('Prețuri de setat'!$G$5:$G$39,MATCH(A196,Sezoane!$C$6:$C$40,1)),"")</f>
        <v>1020</v>
      </c>
      <c r="H196" s="44" t="n">
        <f aca="false">IF(AND(ISNUMBER(MATCH(A196,Sezoane!$C$6:$C$40,1)),A196&lt;=INDEX(Sezoane!$D$6:$D$40,MATCH(A196,Sezoane!$C$6:$C$40,1))),INDEX('Prețuri de setat'!$H$5:$H$39,MATCH(A196,Sezoane!$C$6:$C$40,1)),"")</f>
        <v>980</v>
      </c>
      <c r="I196" s="44" t="n">
        <f aca="false">IF(AND(ISNUMBER(MATCH(A196,Sezoane!$C$6:$C$40,1)),A196&lt;=INDEX(Sezoane!$D$6:$D$40,MATCH(A196,Sezoane!$C$6:$C$40,1))),INDEX('Prețuri de setat'!$I$5:$I$39,MATCH(A196,Sezoane!$C$6:$C$40,1)),"")</f>
        <v>852</v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primavara-2027</v>
      </c>
      <c r="D197" s="43" t="n">
        <f aca="false">IF(AND(ISNUMBER(MATCH(A197,Sezoane!$C$6:$C$40,1)),A197&lt;=INDEX(Sezoane!$D$6:$D$40,MATCH(A197,Sezoane!$C$6:$C$40,1))),INDEX(Sezoane!$F$6:$F$40,MATCH(A197,Sezoane!$C$6:$C$40,1)),"")</f>
        <v>2</v>
      </c>
      <c r="E197" s="44" t="n">
        <f aca="false">IF(AND(ISNUMBER(MATCH(A197,Sezoane!$C$6:$C$40,1)),A197&lt;=INDEX(Sezoane!$D$6:$D$40,MATCH(A197,Sezoane!$C$6:$C$40,1))),INDEX('Prețuri de setat'!$E$5:$E$39,MATCH(A197,Sezoane!$C$6:$C$40,1)),"")</f>
        <v>900</v>
      </c>
      <c r="F197" s="44" t="n">
        <f aca="false">IF(AND(ISNUMBER(MATCH(A197,Sezoane!$C$6:$C$40,1)),A197&lt;=INDEX(Sezoane!$D$6:$D$40,MATCH(A197,Sezoane!$C$6:$C$40,1))),INDEX('Prețuri de setat'!$F$5:$F$39,MATCH(A197,Sezoane!$C$6:$C$40,1)),"")</f>
        <v>1130</v>
      </c>
      <c r="G197" s="44" t="n">
        <f aca="false">IF(AND(ISNUMBER(MATCH(A197,Sezoane!$C$6:$C$40,1)),A197&lt;=INDEX(Sezoane!$D$6:$D$40,MATCH(A197,Sezoane!$C$6:$C$40,1))),INDEX('Prețuri de setat'!$G$5:$G$39,MATCH(A197,Sezoane!$C$6:$C$40,1)),"")</f>
        <v>1020</v>
      </c>
      <c r="H197" s="44" t="n">
        <f aca="false">IF(AND(ISNUMBER(MATCH(A197,Sezoane!$C$6:$C$40,1)),A197&lt;=INDEX(Sezoane!$D$6:$D$40,MATCH(A197,Sezoane!$C$6:$C$40,1))),INDEX('Prețuri de setat'!$H$5:$H$39,MATCH(A197,Sezoane!$C$6:$C$40,1)),"")</f>
        <v>980</v>
      </c>
      <c r="I197" s="44" t="n">
        <f aca="false">IF(AND(ISNUMBER(MATCH(A197,Sezoane!$C$6:$C$40,1)),A197&lt;=INDEX(Sezoane!$D$6:$D$40,MATCH(A197,Sezoane!$C$6:$C$40,1))),INDEX('Prețuri de setat'!$I$5:$I$39,MATCH(A197,Sezoane!$C$6:$C$40,1)),"")</f>
        <v>852</v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primavara-2027</v>
      </c>
      <c r="D198" s="43" t="n">
        <f aca="false">IF(AND(ISNUMBER(MATCH(A198,Sezoane!$C$6:$C$40,1)),A198&lt;=INDEX(Sezoane!$D$6:$D$40,MATCH(A198,Sezoane!$C$6:$C$40,1))),INDEX(Sezoane!$F$6:$F$40,MATCH(A198,Sezoane!$C$6:$C$40,1)),"")</f>
        <v>2</v>
      </c>
      <c r="E198" s="44" t="n">
        <f aca="false">IF(AND(ISNUMBER(MATCH(A198,Sezoane!$C$6:$C$40,1)),A198&lt;=INDEX(Sezoane!$D$6:$D$40,MATCH(A198,Sezoane!$C$6:$C$40,1))),INDEX('Prețuri de setat'!$E$5:$E$39,MATCH(A198,Sezoane!$C$6:$C$40,1)),"")</f>
        <v>900</v>
      </c>
      <c r="F198" s="44" t="n">
        <f aca="false">IF(AND(ISNUMBER(MATCH(A198,Sezoane!$C$6:$C$40,1)),A198&lt;=INDEX(Sezoane!$D$6:$D$40,MATCH(A198,Sezoane!$C$6:$C$40,1))),INDEX('Prețuri de setat'!$F$5:$F$39,MATCH(A198,Sezoane!$C$6:$C$40,1)),"")</f>
        <v>1130</v>
      </c>
      <c r="G198" s="44" t="n">
        <f aca="false">IF(AND(ISNUMBER(MATCH(A198,Sezoane!$C$6:$C$40,1)),A198&lt;=INDEX(Sezoane!$D$6:$D$40,MATCH(A198,Sezoane!$C$6:$C$40,1))),INDEX('Prețuri de setat'!$G$5:$G$39,MATCH(A198,Sezoane!$C$6:$C$40,1)),"")</f>
        <v>1020</v>
      </c>
      <c r="H198" s="44" t="n">
        <f aca="false">IF(AND(ISNUMBER(MATCH(A198,Sezoane!$C$6:$C$40,1)),A198&lt;=INDEX(Sezoane!$D$6:$D$40,MATCH(A198,Sezoane!$C$6:$C$40,1))),INDEX('Prețuri de setat'!$H$5:$H$39,MATCH(A198,Sezoane!$C$6:$C$40,1)),"")</f>
        <v>980</v>
      </c>
      <c r="I198" s="44" t="n">
        <f aca="false">IF(AND(ISNUMBER(MATCH(A198,Sezoane!$C$6:$C$40,1)),A198&lt;=INDEX(Sezoane!$D$6:$D$40,MATCH(A198,Sezoane!$C$6:$C$40,1))),INDEX('Prețuri de setat'!$I$5:$I$39,MATCH(A198,Sezoane!$C$6:$C$40,1)),"")</f>
        <v>852</v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primavara-2027</v>
      </c>
      <c r="D199" s="43" t="n">
        <f aca="false">IF(AND(ISNUMBER(MATCH(A199,Sezoane!$C$6:$C$40,1)),A199&lt;=INDEX(Sezoane!$D$6:$D$40,MATCH(A199,Sezoane!$C$6:$C$40,1))),INDEX(Sezoane!$F$6:$F$40,MATCH(A199,Sezoane!$C$6:$C$40,1)),"")</f>
        <v>2</v>
      </c>
      <c r="E199" s="44" t="n">
        <f aca="false">IF(AND(ISNUMBER(MATCH(A199,Sezoane!$C$6:$C$40,1)),A199&lt;=INDEX(Sezoane!$D$6:$D$40,MATCH(A199,Sezoane!$C$6:$C$40,1))),INDEX('Prețuri de setat'!$E$5:$E$39,MATCH(A199,Sezoane!$C$6:$C$40,1)),"")</f>
        <v>900</v>
      </c>
      <c r="F199" s="44" t="n">
        <f aca="false">IF(AND(ISNUMBER(MATCH(A199,Sezoane!$C$6:$C$40,1)),A199&lt;=INDEX(Sezoane!$D$6:$D$40,MATCH(A199,Sezoane!$C$6:$C$40,1))),INDEX('Prețuri de setat'!$F$5:$F$39,MATCH(A199,Sezoane!$C$6:$C$40,1)),"")</f>
        <v>1130</v>
      </c>
      <c r="G199" s="44" t="n">
        <f aca="false">IF(AND(ISNUMBER(MATCH(A199,Sezoane!$C$6:$C$40,1)),A199&lt;=INDEX(Sezoane!$D$6:$D$40,MATCH(A199,Sezoane!$C$6:$C$40,1))),INDEX('Prețuri de setat'!$G$5:$G$39,MATCH(A199,Sezoane!$C$6:$C$40,1)),"")</f>
        <v>1020</v>
      </c>
      <c r="H199" s="44" t="n">
        <f aca="false">IF(AND(ISNUMBER(MATCH(A199,Sezoane!$C$6:$C$40,1)),A199&lt;=INDEX(Sezoane!$D$6:$D$40,MATCH(A199,Sezoane!$C$6:$C$40,1))),INDEX('Prețuri de setat'!$H$5:$H$39,MATCH(A199,Sezoane!$C$6:$C$40,1)),"")</f>
        <v>980</v>
      </c>
      <c r="I199" s="44" t="n">
        <f aca="false">IF(AND(ISNUMBER(MATCH(A199,Sezoane!$C$6:$C$40,1)),A199&lt;=INDEX(Sezoane!$D$6:$D$40,MATCH(A199,Sezoane!$C$6:$C$40,1))),INDEX('Prețuri de setat'!$I$5:$I$39,MATCH(A199,Sezoane!$C$6:$C$40,1)),"")</f>
        <v>852</v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primavara-2027</v>
      </c>
      <c r="D200" s="43" t="n">
        <f aca="false">IF(AND(ISNUMBER(MATCH(A200,Sezoane!$C$6:$C$40,1)),A200&lt;=INDEX(Sezoane!$D$6:$D$40,MATCH(A200,Sezoane!$C$6:$C$40,1))),INDEX(Sezoane!$F$6:$F$40,MATCH(A200,Sezoane!$C$6:$C$40,1)),"")</f>
        <v>2</v>
      </c>
      <c r="E200" s="44" t="n">
        <f aca="false">IF(AND(ISNUMBER(MATCH(A200,Sezoane!$C$6:$C$40,1)),A200&lt;=INDEX(Sezoane!$D$6:$D$40,MATCH(A200,Sezoane!$C$6:$C$40,1))),INDEX('Prețuri de setat'!$E$5:$E$39,MATCH(A200,Sezoane!$C$6:$C$40,1)),"")</f>
        <v>900</v>
      </c>
      <c r="F200" s="44" t="n">
        <f aca="false">IF(AND(ISNUMBER(MATCH(A200,Sezoane!$C$6:$C$40,1)),A200&lt;=INDEX(Sezoane!$D$6:$D$40,MATCH(A200,Sezoane!$C$6:$C$40,1))),INDEX('Prețuri de setat'!$F$5:$F$39,MATCH(A200,Sezoane!$C$6:$C$40,1)),"")</f>
        <v>1130</v>
      </c>
      <c r="G200" s="44" t="n">
        <f aca="false">IF(AND(ISNUMBER(MATCH(A200,Sezoane!$C$6:$C$40,1)),A200&lt;=INDEX(Sezoane!$D$6:$D$40,MATCH(A200,Sezoane!$C$6:$C$40,1))),INDEX('Prețuri de setat'!$G$5:$G$39,MATCH(A200,Sezoane!$C$6:$C$40,1)),"")</f>
        <v>1020</v>
      </c>
      <c r="H200" s="44" t="n">
        <f aca="false">IF(AND(ISNUMBER(MATCH(A200,Sezoane!$C$6:$C$40,1)),A200&lt;=INDEX(Sezoane!$D$6:$D$40,MATCH(A200,Sezoane!$C$6:$C$40,1))),INDEX('Prețuri de setat'!$H$5:$H$39,MATCH(A200,Sezoane!$C$6:$C$40,1)),"")</f>
        <v>980</v>
      </c>
      <c r="I200" s="44" t="n">
        <f aca="false">IF(AND(ISNUMBER(MATCH(A200,Sezoane!$C$6:$C$40,1)),A200&lt;=INDEX(Sezoane!$D$6:$D$40,MATCH(A200,Sezoane!$C$6:$C$40,1))),INDEX('Prețuri de setat'!$I$5:$I$39,MATCH(A200,Sezoane!$C$6:$C$40,1)),"")</f>
        <v>852</v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primavara-2027</v>
      </c>
      <c r="D201" s="43" t="n">
        <f aca="false">IF(AND(ISNUMBER(MATCH(A201,Sezoane!$C$6:$C$40,1)),A201&lt;=INDEX(Sezoane!$D$6:$D$40,MATCH(A201,Sezoane!$C$6:$C$40,1))),INDEX(Sezoane!$F$6:$F$40,MATCH(A201,Sezoane!$C$6:$C$40,1)),"")</f>
        <v>2</v>
      </c>
      <c r="E201" s="44" t="n">
        <f aca="false">IF(AND(ISNUMBER(MATCH(A201,Sezoane!$C$6:$C$40,1)),A201&lt;=INDEX(Sezoane!$D$6:$D$40,MATCH(A201,Sezoane!$C$6:$C$40,1))),INDEX('Prețuri de setat'!$E$5:$E$39,MATCH(A201,Sezoane!$C$6:$C$40,1)),"")</f>
        <v>900</v>
      </c>
      <c r="F201" s="44" t="n">
        <f aca="false">IF(AND(ISNUMBER(MATCH(A201,Sezoane!$C$6:$C$40,1)),A201&lt;=INDEX(Sezoane!$D$6:$D$40,MATCH(A201,Sezoane!$C$6:$C$40,1))),INDEX('Prețuri de setat'!$F$5:$F$39,MATCH(A201,Sezoane!$C$6:$C$40,1)),"")</f>
        <v>1130</v>
      </c>
      <c r="G201" s="44" t="n">
        <f aca="false">IF(AND(ISNUMBER(MATCH(A201,Sezoane!$C$6:$C$40,1)),A201&lt;=INDEX(Sezoane!$D$6:$D$40,MATCH(A201,Sezoane!$C$6:$C$40,1))),INDEX('Prețuri de setat'!$G$5:$G$39,MATCH(A201,Sezoane!$C$6:$C$40,1)),"")</f>
        <v>1020</v>
      </c>
      <c r="H201" s="44" t="n">
        <f aca="false">IF(AND(ISNUMBER(MATCH(A201,Sezoane!$C$6:$C$40,1)),A201&lt;=INDEX(Sezoane!$D$6:$D$40,MATCH(A201,Sezoane!$C$6:$C$40,1))),INDEX('Prețuri de setat'!$H$5:$H$39,MATCH(A201,Sezoane!$C$6:$C$40,1)),"")</f>
        <v>980</v>
      </c>
      <c r="I201" s="44" t="n">
        <f aca="false">IF(AND(ISNUMBER(MATCH(A201,Sezoane!$C$6:$C$40,1)),A201&lt;=INDEX(Sezoane!$D$6:$D$40,MATCH(A201,Sezoane!$C$6:$C$40,1))),INDEX('Prețuri de setat'!$I$5:$I$39,MATCH(A201,Sezoane!$C$6:$C$40,1)),"")</f>
        <v>852</v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primavara-2027</v>
      </c>
      <c r="D202" s="43" t="n">
        <f aca="false">IF(AND(ISNUMBER(MATCH(A202,Sezoane!$C$6:$C$40,1)),A202&lt;=INDEX(Sezoane!$D$6:$D$40,MATCH(A202,Sezoane!$C$6:$C$40,1))),INDEX(Sezoane!$F$6:$F$40,MATCH(A202,Sezoane!$C$6:$C$40,1)),"")</f>
        <v>2</v>
      </c>
      <c r="E202" s="44" t="n">
        <f aca="false">IF(AND(ISNUMBER(MATCH(A202,Sezoane!$C$6:$C$40,1)),A202&lt;=INDEX(Sezoane!$D$6:$D$40,MATCH(A202,Sezoane!$C$6:$C$40,1))),INDEX('Prețuri de setat'!$E$5:$E$39,MATCH(A202,Sezoane!$C$6:$C$40,1)),"")</f>
        <v>900</v>
      </c>
      <c r="F202" s="44" t="n">
        <f aca="false">IF(AND(ISNUMBER(MATCH(A202,Sezoane!$C$6:$C$40,1)),A202&lt;=INDEX(Sezoane!$D$6:$D$40,MATCH(A202,Sezoane!$C$6:$C$40,1))),INDEX('Prețuri de setat'!$F$5:$F$39,MATCH(A202,Sezoane!$C$6:$C$40,1)),"")</f>
        <v>1130</v>
      </c>
      <c r="G202" s="44" t="n">
        <f aca="false">IF(AND(ISNUMBER(MATCH(A202,Sezoane!$C$6:$C$40,1)),A202&lt;=INDEX(Sezoane!$D$6:$D$40,MATCH(A202,Sezoane!$C$6:$C$40,1))),INDEX('Prețuri de setat'!$G$5:$G$39,MATCH(A202,Sezoane!$C$6:$C$40,1)),"")</f>
        <v>1020</v>
      </c>
      <c r="H202" s="44" t="n">
        <f aca="false">IF(AND(ISNUMBER(MATCH(A202,Sezoane!$C$6:$C$40,1)),A202&lt;=INDEX(Sezoane!$D$6:$D$40,MATCH(A202,Sezoane!$C$6:$C$40,1))),INDEX('Prețuri de setat'!$H$5:$H$39,MATCH(A202,Sezoane!$C$6:$C$40,1)),"")</f>
        <v>980</v>
      </c>
      <c r="I202" s="44" t="n">
        <f aca="false">IF(AND(ISNUMBER(MATCH(A202,Sezoane!$C$6:$C$40,1)),A202&lt;=INDEX(Sezoane!$D$6:$D$40,MATCH(A202,Sezoane!$C$6:$C$40,1))),INDEX('Prețuri de setat'!$I$5:$I$39,MATCH(A202,Sezoane!$C$6:$C$40,1)),"")</f>
        <v>852</v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primavara-2027</v>
      </c>
      <c r="D203" s="43" t="n">
        <f aca="false">IF(AND(ISNUMBER(MATCH(A203,Sezoane!$C$6:$C$40,1)),A203&lt;=INDEX(Sezoane!$D$6:$D$40,MATCH(A203,Sezoane!$C$6:$C$40,1))),INDEX(Sezoane!$F$6:$F$40,MATCH(A203,Sezoane!$C$6:$C$40,1)),"")</f>
        <v>2</v>
      </c>
      <c r="E203" s="44" t="n">
        <f aca="false">IF(AND(ISNUMBER(MATCH(A203,Sezoane!$C$6:$C$40,1)),A203&lt;=INDEX(Sezoane!$D$6:$D$40,MATCH(A203,Sezoane!$C$6:$C$40,1))),INDEX('Prețuri de setat'!$E$5:$E$39,MATCH(A203,Sezoane!$C$6:$C$40,1)),"")</f>
        <v>900</v>
      </c>
      <c r="F203" s="44" t="n">
        <f aca="false">IF(AND(ISNUMBER(MATCH(A203,Sezoane!$C$6:$C$40,1)),A203&lt;=INDEX(Sezoane!$D$6:$D$40,MATCH(A203,Sezoane!$C$6:$C$40,1))),INDEX('Prețuri de setat'!$F$5:$F$39,MATCH(A203,Sezoane!$C$6:$C$40,1)),"")</f>
        <v>1130</v>
      </c>
      <c r="G203" s="44" t="n">
        <f aca="false">IF(AND(ISNUMBER(MATCH(A203,Sezoane!$C$6:$C$40,1)),A203&lt;=INDEX(Sezoane!$D$6:$D$40,MATCH(A203,Sezoane!$C$6:$C$40,1))),INDEX('Prețuri de setat'!$G$5:$G$39,MATCH(A203,Sezoane!$C$6:$C$40,1)),"")</f>
        <v>1020</v>
      </c>
      <c r="H203" s="44" t="n">
        <f aca="false">IF(AND(ISNUMBER(MATCH(A203,Sezoane!$C$6:$C$40,1)),A203&lt;=INDEX(Sezoane!$D$6:$D$40,MATCH(A203,Sezoane!$C$6:$C$40,1))),INDEX('Prețuri de setat'!$H$5:$H$39,MATCH(A203,Sezoane!$C$6:$C$40,1)),"")</f>
        <v>980</v>
      </c>
      <c r="I203" s="44" t="n">
        <f aca="false">IF(AND(ISNUMBER(MATCH(A203,Sezoane!$C$6:$C$40,1)),A203&lt;=INDEX(Sezoane!$D$6:$D$40,MATCH(A203,Sezoane!$C$6:$C$40,1))),INDEX('Prețuri de setat'!$I$5:$I$39,MATCH(A203,Sezoane!$C$6:$C$40,1)),"")</f>
        <v>852</v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primavara-2027</v>
      </c>
      <c r="D204" s="43" t="n">
        <f aca="false">IF(AND(ISNUMBER(MATCH(A204,Sezoane!$C$6:$C$40,1)),A204&lt;=INDEX(Sezoane!$D$6:$D$40,MATCH(A204,Sezoane!$C$6:$C$40,1))),INDEX(Sezoane!$F$6:$F$40,MATCH(A204,Sezoane!$C$6:$C$40,1)),"")</f>
        <v>2</v>
      </c>
      <c r="E204" s="44" t="n">
        <f aca="false">IF(AND(ISNUMBER(MATCH(A204,Sezoane!$C$6:$C$40,1)),A204&lt;=INDEX(Sezoane!$D$6:$D$40,MATCH(A204,Sezoane!$C$6:$C$40,1))),INDEX('Prețuri de setat'!$E$5:$E$39,MATCH(A204,Sezoane!$C$6:$C$40,1)),"")</f>
        <v>900</v>
      </c>
      <c r="F204" s="44" t="n">
        <f aca="false">IF(AND(ISNUMBER(MATCH(A204,Sezoane!$C$6:$C$40,1)),A204&lt;=INDEX(Sezoane!$D$6:$D$40,MATCH(A204,Sezoane!$C$6:$C$40,1))),INDEX('Prețuri de setat'!$F$5:$F$39,MATCH(A204,Sezoane!$C$6:$C$40,1)),"")</f>
        <v>1130</v>
      </c>
      <c r="G204" s="44" t="n">
        <f aca="false">IF(AND(ISNUMBER(MATCH(A204,Sezoane!$C$6:$C$40,1)),A204&lt;=INDEX(Sezoane!$D$6:$D$40,MATCH(A204,Sezoane!$C$6:$C$40,1))),INDEX('Prețuri de setat'!$G$5:$G$39,MATCH(A204,Sezoane!$C$6:$C$40,1)),"")</f>
        <v>1020</v>
      </c>
      <c r="H204" s="44" t="n">
        <f aca="false">IF(AND(ISNUMBER(MATCH(A204,Sezoane!$C$6:$C$40,1)),A204&lt;=INDEX(Sezoane!$D$6:$D$40,MATCH(A204,Sezoane!$C$6:$C$40,1))),INDEX('Prețuri de setat'!$H$5:$H$39,MATCH(A204,Sezoane!$C$6:$C$40,1)),"")</f>
        <v>980</v>
      </c>
      <c r="I204" s="44" t="n">
        <f aca="false">IF(AND(ISNUMBER(MATCH(A204,Sezoane!$C$6:$C$40,1)),A204&lt;=INDEX(Sezoane!$D$6:$D$40,MATCH(A204,Sezoane!$C$6:$C$40,1))),INDEX('Prețuri de setat'!$I$5:$I$39,MATCH(A204,Sezoane!$C$6:$C$40,1)),"")</f>
        <v>852</v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primavara-2027</v>
      </c>
      <c r="D205" s="43" t="n">
        <f aca="false">IF(AND(ISNUMBER(MATCH(A205,Sezoane!$C$6:$C$40,1)),A205&lt;=INDEX(Sezoane!$D$6:$D$40,MATCH(A205,Sezoane!$C$6:$C$40,1))),INDEX(Sezoane!$F$6:$F$40,MATCH(A205,Sezoane!$C$6:$C$40,1)),"")</f>
        <v>2</v>
      </c>
      <c r="E205" s="44" t="n">
        <f aca="false">IF(AND(ISNUMBER(MATCH(A205,Sezoane!$C$6:$C$40,1)),A205&lt;=INDEX(Sezoane!$D$6:$D$40,MATCH(A205,Sezoane!$C$6:$C$40,1))),INDEX('Prețuri de setat'!$E$5:$E$39,MATCH(A205,Sezoane!$C$6:$C$40,1)),"")</f>
        <v>900</v>
      </c>
      <c r="F205" s="44" t="n">
        <f aca="false">IF(AND(ISNUMBER(MATCH(A205,Sezoane!$C$6:$C$40,1)),A205&lt;=INDEX(Sezoane!$D$6:$D$40,MATCH(A205,Sezoane!$C$6:$C$40,1))),INDEX('Prețuri de setat'!$F$5:$F$39,MATCH(A205,Sezoane!$C$6:$C$40,1)),"")</f>
        <v>1130</v>
      </c>
      <c r="G205" s="44" t="n">
        <f aca="false">IF(AND(ISNUMBER(MATCH(A205,Sezoane!$C$6:$C$40,1)),A205&lt;=INDEX(Sezoane!$D$6:$D$40,MATCH(A205,Sezoane!$C$6:$C$40,1))),INDEX('Prețuri de setat'!$G$5:$G$39,MATCH(A205,Sezoane!$C$6:$C$40,1)),"")</f>
        <v>1020</v>
      </c>
      <c r="H205" s="44" t="n">
        <f aca="false">IF(AND(ISNUMBER(MATCH(A205,Sezoane!$C$6:$C$40,1)),A205&lt;=INDEX(Sezoane!$D$6:$D$40,MATCH(A205,Sezoane!$C$6:$C$40,1))),INDEX('Prețuri de setat'!$H$5:$H$39,MATCH(A205,Sezoane!$C$6:$C$40,1)),"")</f>
        <v>980</v>
      </c>
      <c r="I205" s="44" t="n">
        <f aca="false">IF(AND(ISNUMBER(MATCH(A205,Sezoane!$C$6:$C$40,1)),A205&lt;=INDEX(Sezoane!$D$6:$D$40,MATCH(A205,Sezoane!$C$6:$C$40,1))),INDEX('Prețuri de setat'!$I$5:$I$39,MATCH(A205,Sezoane!$C$6:$C$40,1)),"")</f>
        <v>852</v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primavara-2027</v>
      </c>
      <c r="D206" s="43" t="n">
        <f aca="false">IF(AND(ISNUMBER(MATCH(A206,Sezoane!$C$6:$C$40,1)),A206&lt;=INDEX(Sezoane!$D$6:$D$40,MATCH(A206,Sezoane!$C$6:$C$40,1))),INDEX(Sezoane!$F$6:$F$40,MATCH(A206,Sezoane!$C$6:$C$40,1)),"")</f>
        <v>2</v>
      </c>
      <c r="E206" s="44" t="n">
        <f aca="false">IF(AND(ISNUMBER(MATCH(A206,Sezoane!$C$6:$C$40,1)),A206&lt;=INDEX(Sezoane!$D$6:$D$40,MATCH(A206,Sezoane!$C$6:$C$40,1))),INDEX('Prețuri de setat'!$E$5:$E$39,MATCH(A206,Sezoane!$C$6:$C$40,1)),"")</f>
        <v>900</v>
      </c>
      <c r="F206" s="44" t="n">
        <f aca="false">IF(AND(ISNUMBER(MATCH(A206,Sezoane!$C$6:$C$40,1)),A206&lt;=INDEX(Sezoane!$D$6:$D$40,MATCH(A206,Sezoane!$C$6:$C$40,1))),INDEX('Prețuri de setat'!$F$5:$F$39,MATCH(A206,Sezoane!$C$6:$C$40,1)),"")</f>
        <v>1130</v>
      </c>
      <c r="G206" s="44" t="n">
        <f aca="false">IF(AND(ISNUMBER(MATCH(A206,Sezoane!$C$6:$C$40,1)),A206&lt;=INDEX(Sezoane!$D$6:$D$40,MATCH(A206,Sezoane!$C$6:$C$40,1))),INDEX('Prețuri de setat'!$G$5:$G$39,MATCH(A206,Sezoane!$C$6:$C$40,1)),"")</f>
        <v>1020</v>
      </c>
      <c r="H206" s="44" t="n">
        <f aca="false">IF(AND(ISNUMBER(MATCH(A206,Sezoane!$C$6:$C$40,1)),A206&lt;=INDEX(Sezoane!$D$6:$D$40,MATCH(A206,Sezoane!$C$6:$C$40,1))),INDEX('Prețuri de setat'!$H$5:$H$39,MATCH(A206,Sezoane!$C$6:$C$40,1)),"")</f>
        <v>980</v>
      </c>
      <c r="I206" s="44" t="n">
        <f aca="false">IF(AND(ISNUMBER(MATCH(A206,Sezoane!$C$6:$C$40,1)),A206&lt;=INDEX(Sezoane!$D$6:$D$40,MATCH(A206,Sezoane!$C$6:$C$40,1))),INDEX('Prețuri de setat'!$I$5:$I$39,MATCH(A206,Sezoane!$C$6:$C$40,1)),"")</f>
        <v>852</v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primavara-2027</v>
      </c>
      <c r="D207" s="43" t="n">
        <f aca="false">IF(AND(ISNUMBER(MATCH(A207,Sezoane!$C$6:$C$40,1)),A207&lt;=INDEX(Sezoane!$D$6:$D$40,MATCH(A207,Sezoane!$C$6:$C$40,1))),INDEX(Sezoane!$F$6:$F$40,MATCH(A207,Sezoane!$C$6:$C$40,1)),"")</f>
        <v>2</v>
      </c>
      <c r="E207" s="44" t="n">
        <f aca="false">IF(AND(ISNUMBER(MATCH(A207,Sezoane!$C$6:$C$40,1)),A207&lt;=INDEX(Sezoane!$D$6:$D$40,MATCH(A207,Sezoane!$C$6:$C$40,1))),INDEX('Prețuri de setat'!$E$5:$E$39,MATCH(A207,Sezoane!$C$6:$C$40,1)),"")</f>
        <v>900</v>
      </c>
      <c r="F207" s="44" t="n">
        <f aca="false">IF(AND(ISNUMBER(MATCH(A207,Sezoane!$C$6:$C$40,1)),A207&lt;=INDEX(Sezoane!$D$6:$D$40,MATCH(A207,Sezoane!$C$6:$C$40,1))),INDEX('Prețuri de setat'!$F$5:$F$39,MATCH(A207,Sezoane!$C$6:$C$40,1)),"")</f>
        <v>1130</v>
      </c>
      <c r="G207" s="44" t="n">
        <f aca="false">IF(AND(ISNUMBER(MATCH(A207,Sezoane!$C$6:$C$40,1)),A207&lt;=INDEX(Sezoane!$D$6:$D$40,MATCH(A207,Sezoane!$C$6:$C$40,1))),INDEX('Prețuri de setat'!$G$5:$G$39,MATCH(A207,Sezoane!$C$6:$C$40,1)),"")</f>
        <v>1020</v>
      </c>
      <c r="H207" s="44" t="n">
        <f aca="false">IF(AND(ISNUMBER(MATCH(A207,Sezoane!$C$6:$C$40,1)),A207&lt;=INDEX(Sezoane!$D$6:$D$40,MATCH(A207,Sezoane!$C$6:$C$40,1))),INDEX('Prețuri de setat'!$H$5:$H$39,MATCH(A207,Sezoane!$C$6:$C$40,1)),"")</f>
        <v>980</v>
      </c>
      <c r="I207" s="44" t="n">
        <f aca="false">IF(AND(ISNUMBER(MATCH(A207,Sezoane!$C$6:$C$40,1)),A207&lt;=INDEX(Sezoane!$D$6:$D$40,MATCH(A207,Sezoane!$C$6:$C$40,1))),INDEX('Prețuri de setat'!$I$5:$I$39,MATCH(A207,Sezoane!$C$6:$C$40,1)),"")</f>
        <v>852</v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primavara-2027</v>
      </c>
      <c r="D208" s="43" t="n">
        <f aca="false">IF(AND(ISNUMBER(MATCH(A208,Sezoane!$C$6:$C$40,1)),A208&lt;=INDEX(Sezoane!$D$6:$D$40,MATCH(A208,Sezoane!$C$6:$C$40,1))),INDEX(Sezoane!$F$6:$F$40,MATCH(A208,Sezoane!$C$6:$C$40,1)),"")</f>
        <v>2</v>
      </c>
      <c r="E208" s="44" t="n">
        <f aca="false">IF(AND(ISNUMBER(MATCH(A208,Sezoane!$C$6:$C$40,1)),A208&lt;=INDEX(Sezoane!$D$6:$D$40,MATCH(A208,Sezoane!$C$6:$C$40,1))),INDEX('Prețuri de setat'!$E$5:$E$39,MATCH(A208,Sezoane!$C$6:$C$40,1)),"")</f>
        <v>900</v>
      </c>
      <c r="F208" s="44" t="n">
        <f aca="false">IF(AND(ISNUMBER(MATCH(A208,Sezoane!$C$6:$C$40,1)),A208&lt;=INDEX(Sezoane!$D$6:$D$40,MATCH(A208,Sezoane!$C$6:$C$40,1))),INDEX('Prețuri de setat'!$F$5:$F$39,MATCH(A208,Sezoane!$C$6:$C$40,1)),"")</f>
        <v>1130</v>
      </c>
      <c r="G208" s="44" t="n">
        <f aca="false">IF(AND(ISNUMBER(MATCH(A208,Sezoane!$C$6:$C$40,1)),A208&lt;=INDEX(Sezoane!$D$6:$D$40,MATCH(A208,Sezoane!$C$6:$C$40,1))),INDEX('Prețuri de setat'!$G$5:$G$39,MATCH(A208,Sezoane!$C$6:$C$40,1)),"")</f>
        <v>1020</v>
      </c>
      <c r="H208" s="44" t="n">
        <f aca="false">IF(AND(ISNUMBER(MATCH(A208,Sezoane!$C$6:$C$40,1)),A208&lt;=INDEX(Sezoane!$D$6:$D$40,MATCH(A208,Sezoane!$C$6:$C$40,1))),INDEX('Prețuri de setat'!$H$5:$H$39,MATCH(A208,Sezoane!$C$6:$C$40,1)),"")</f>
        <v>980</v>
      </c>
      <c r="I208" s="44" t="n">
        <f aca="false">IF(AND(ISNUMBER(MATCH(A208,Sezoane!$C$6:$C$40,1)),A208&lt;=INDEX(Sezoane!$D$6:$D$40,MATCH(A208,Sezoane!$C$6:$C$40,1))),INDEX('Prețuri de setat'!$I$5:$I$39,MATCH(A208,Sezoane!$C$6:$C$40,1)),"")</f>
        <v>852</v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primavara-2027</v>
      </c>
      <c r="D209" s="43" t="n">
        <f aca="false">IF(AND(ISNUMBER(MATCH(A209,Sezoane!$C$6:$C$40,1)),A209&lt;=INDEX(Sezoane!$D$6:$D$40,MATCH(A209,Sezoane!$C$6:$C$40,1))),INDEX(Sezoane!$F$6:$F$40,MATCH(A209,Sezoane!$C$6:$C$40,1)),"")</f>
        <v>2</v>
      </c>
      <c r="E209" s="44" t="n">
        <f aca="false">IF(AND(ISNUMBER(MATCH(A209,Sezoane!$C$6:$C$40,1)),A209&lt;=INDEX(Sezoane!$D$6:$D$40,MATCH(A209,Sezoane!$C$6:$C$40,1))),INDEX('Prețuri de setat'!$E$5:$E$39,MATCH(A209,Sezoane!$C$6:$C$40,1)),"")</f>
        <v>900</v>
      </c>
      <c r="F209" s="44" t="n">
        <f aca="false">IF(AND(ISNUMBER(MATCH(A209,Sezoane!$C$6:$C$40,1)),A209&lt;=INDEX(Sezoane!$D$6:$D$40,MATCH(A209,Sezoane!$C$6:$C$40,1))),INDEX('Prețuri de setat'!$F$5:$F$39,MATCH(A209,Sezoane!$C$6:$C$40,1)),"")</f>
        <v>1130</v>
      </c>
      <c r="G209" s="44" t="n">
        <f aca="false">IF(AND(ISNUMBER(MATCH(A209,Sezoane!$C$6:$C$40,1)),A209&lt;=INDEX(Sezoane!$D$6:$D$40,MATCH(A209,Sezoane!$C$6:$C$40,1))),INDEX('Prețuri de setat'!$G$5:$G$39,MATCH(A209,Sezoane!$C$6:$C$40,1)),"")</f>
        <v>1020</v>
      </c>
      <c r="H209" s="44" t="n">
        <f aca="false">IF(AND(ISNUMBER(MATCH(A209,Sezoane!$C$6:$C$40,1)),A209&lt;=INDEX(Sezoane!$D$6:$D$40,MATCH(A209,Sezoane!$C$6:$C$40,1))),INDEX('Prețuri de setat'!$H$5:$H$39,MATCH(A209,Sezoane!$C$6:$C$40,1)),"")</f>
        <v>980</v>
      </c>
      <c r="I209" s="44" t="n">
        <f aca="false">IF(AND(ISNUMBER(MATCH(A209,Sezoane!$C$6:$C$40,1)),A209&lt;=INDEX(Sezoane!$D$6:$D$40,MATCH(A209,Sezoane!$C$6:$C$40,1))),INDEX('Prețuri de setat'!$I$5:$I$39,MATCH(A209,Sezoane!$C$6:$C$40,1)),"")</f>
        <v>852</v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primavara-2027</v>
      </c>
      <c r="D210" s="43" t="n">
        <f aca="false">IF(AND(ISNUMBER(MATCH(A210,Sezoane!$C$6:$C$40,1)),A210&lt;=INDEX(Sezoane!$D$6:$D$40,MATCH(A210,Sezoane!$C$6:$C$40,1))),INDEX(Sezoane!$F$6:$F$40,MATCH(A210,Sezoane!$C$6:$C$40,1)),"")</f>
        <v>2</v>
      </c>
      <c r="E210" s="44" t="n">
        <f aca="false">IF(AND(ISNUMBER(MATCH(A210,Sezoane!$C$6:$C$40,1)),A210&lt;=INDEX(Sezoane!$D$6:$D$40,MATCH(A210,Sezoane!$C$6:$C$40,1))),INDEX('Prețuri de setat'!$E$5:$E$39,MATCH(A210,Sezoane!$C$6:$C$40,1)),"")</f>
        <v>900</v>
      </c>
      <c r="F210" s="44" t="n">
        <f aca="false">IF(AND(ISNUMBER(MATCH(A210,Sezoane!$C$6:$C$40,1)),A210&lt;=INDEX(Sezoane!$D$6:$D$40,MATCH(A210,Sezoane!$C$6:$C$40,1))),INDEX('Prețuri de setat'!$F$5:$F$39,MATCH(A210,Sezoane!$C$6:$C$40,1)),"")</f>
        <v>1130</v>
      </c>
      <c r="G210" s="44" t="n">
        <f aca="false">IF(AND(ISNUMBER(MATCH(A210,Sezoane!$C$6:$C$40,1)),A210&lt;=INDEX(Sezoane!$D$6:$D$40,MATCH(A210,Sezoane!$C$6:$C$40,1))),INDEX('Prețuri de setat'!$G$5:$G$39,MATCH(A210,Sezoane!$C$6:$C$40,1)),"")</f>
        <v>1020</v>
      </c>
      <c r="H210" s="44" t="n">
        <f aca="false">IF(AND(ISNUMBER(MATCH(A210,Sezoane!$C$6:$C$40,1)),A210&lt;=INDEX(Sezoane!$D$6:$D$40,MATCH(A210,Sezoane!$C$6:$C$40,1))),INDEX('Prețuri de setat'!$H$5:$H$39,MATCH(A210,Sezoane!$C$6:$C$40,1)),"")</f>
        <v>980</v>
      </c>
      <c r="I210" s="44" t="n">
        <f aca="false">IF(AND(ISNUMBER(MATCH(A210,Sezoane!$C$6:$C$40,1)),A210&lt;=INDEX(Sezoane!$D$6:$D$40,MATCH(A210,Sezoane!$C$6:$C$40,1))),INDEX('Prețuri de setat'!$I$5:$I$39,MATCH(A210,Sezoane!$C$6:$C$40,1)),"")</f>
        <v>852</v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primavara-2027</v>
      </c>
      <c r="D211" s="43" t="n">
        <f aca="false">IF(AND(ISNUMBER(MATCH(A211,Sezoane!$C$6:$C$40,1)),A211&lt;=INDEX(Sezoane!$D$6:$D$40,MATCH(A211,Sezoane!$C$6:$C$40,1))),INDEX(Sezoane!$F$6:$F$40,MATCH(A211,Sezoane!$C$6:$C$40,1)),"")</f>
        <v>2</v>
      </c>
      <c r="E211" s="44" t="n">
        <f aca="false">IF(AND(ISNUMBER(MATCH(A211,Sezoane!$C$6:$C$40,1)),A211&lt;=INDEX(Sezoane!$D$6:$D$40,MATCH(A211,Sezoane!$C$6:$C$40,1))),INDEX('Prețuri de setat'!$E$5:$E$39,MATCH(A211,Sezoane!$C$6:$C$40,1)),"")</f>
        <v>900</v>
      </c>
      <c r="F211" s="44" t="n">
        <f aca="false">IF(AND(ISNUMBER(MATCH(A211,Sezoane!$C$6:$C$40,1)),A211&lt;=INDEX(Sezoane!$D$6:$D$40,MATCH(A211,Sezoane!$C$6:$C$40,1))),INDEX('Prețuri de setat'!$F$5:$F$39,MATCH(A211,Sezoane!$C$6:$C$40,1)),"")</f>
        <v>1130</v>
      </c>
      <c r="G211" s="44" t="n">
        <f aca="false">IF(AND(ISNUMBER(MATCH(A211,Sezoane!$C$6:$C$40,1)),A211&lt;=INDEX(Sezoane!$D$6:$D$40,MATCH(A211,Sezoane!$C$6:$C$40,1))),INDEX('Prețuri de setat'!$G$5:$G$39,MATCH(A211,Sezoane!$C$6:$C$40,1)),"")</f>
        <v>1020</v>
      </c>
      <c r="H211" s="44" t="n">
        <f aca="false">IF(AND(ISNUMBER(MATCH(A211,Sezoane!$C$6:$C$40,1)),A211&lt;=INDEX(Sezoane!$D$6:$D$40,MATCH(A211,Sezoane!$C$6:$C$40,1))),INDEX('Prețuri de setat'!$H$5:$H$39,MATCH(A211,Sezoane!$C$6:$C$40,1)),"")</f>
        <v>980</v>
      </c>
      <c r="I211" s="44" t="n">
        <f aca="false">IF(AND(ISNUMBER(MATCH(A211,Sezoane!$C$6:$C$40,1)),A211&lt;=INDEX(Sezoane!$D$6:$D$40,MATCH(A211,Sezoane!$C$6:$C$40,1))),INDEX('Prețuri de setat'!$I$5:$I$39,MATCH(A211,Sezoane!$C$6:$C$40,1)),"")</f>
        <v>852</v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primavara-2027</v>
      </c>
      <c r="D212" s="43" t="n">
        <f aca="false">IF(AND(ISNUMBER(MATCH(A212,Sezoane!$C$6:$C$40,1)),A212&lt;=INDEX(Sezoane!$D$6:$D$40,MATCH(A212,Sezoane!$C$6:$C$40,1))),INDEX(Sezoane!$F$6:$F$40,MATCH(A212,Sezoane!$C$6:$C$40,1)),"")</f>
        <v>2</v>
      </c>
      <c r="E212" s="44" t="n">
        <f aca="false">IF(AND(ISNUMBER(MATCH(A212,Sezoane!$C$6:$C$40,1)),A212&lt;=INDEX(Sezoane!$D$6:$D$40,MATCH(A212,Sezoane!$C$6:$C$40,1))),INDEX('Prețuri de setat'!$E$5:$E$39,MATCH(A212,Sezoane!$C$6:$C$40,1)),"")</f>
        <v>900</v>
      </c>
      <c r="F212" s="44" t="n">
        <f aca="false">IF(AND(ISNUMBER(MATCH(A212,Sezoane!$C$6:$C$40,1)),A212&lt;=INDEX(Sezoane!$D$6:$D$40,MATCH(A212,Sezoane!$C$6:$C$40,1))),INDEX('Prețuri de setat'!$F$5:$F$39,MATCH(A212,Sezoane!$C$6:$C$40,1)),"")</f>
        <v>1130</v>
      </c>
      <c r="G212" s="44" t="n">
        <f aca="false">IF(AND(ISNUMBER(MATCH(A212,Sezoane!$C$6:$C$40,1)),A212&lt;=INDEX(Sezoane!$D$6:$D$40,MATCH(A212,Sezoane!$C$6:$C$40,1))),INDEX('Prețuri de setat'!$G$5:$G$39,MATCH(A212,Sezoane!$C$6:$C$40,1)),"")</f>
        <v>1020</v>
      </c>
      <c r="H212" s="44" t="n">
        <f aca="false">IF(AND(ISNUMBER(MATCH(A212,Sezoane!$C$6:$C$40,1)),A212&lt;=INDEX(Sezoane!$D$6:$D$40,MATCH(A212,Sezoane!$C$6:$C$40,1))),INDEX('Prețuri de setat'!$H$5:$H$39,MATCH(A212,Sezoane!$C$6:$C$40,1)),"")</f>
        <v>980</v>
      </c>
      <c r="I212" s="44" t="n">
        <f aca="false">IF(AND(ISNUMBER(MATCH(A212,Sezoane!$C$6:$C$40,1)),A212&lt;=INDEX(Sezoane!$D$6:$D$40,MATCH(A212,Sezoane!$C$6:$C$40,1))),INDEX('Prețuri de setat'!$I$5:$I$39,MATCH(A212,Sezoane!$C$6:$C$40,1)),"")</f>
        <v>852</v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primavara-2027</v>
      </c>
      <c r="D213" s="43" t="n">
        <f aca="false">IF(AND(ISNUMBER(MATCH(A213,Sezoane!$C$6:$C$40,1)),A213&lt;=INDEX(Sezoane!$D$6:$D$40,MATCH(A213,Sezoane!$C$6:$C$40,1))),INDEX(Sezoane!$F$6:$F$40,MATCH(A213,Sezoane!$C$6:$C$40,1)),"")</f>
        <v>2</v>
      </c>
      <c r="E213" s="44" t="n">
        <f aca="false">IF(AND(ISNUMBER(MATCH(A213,Sezoane!$C$6:$C$40,1)),A213&lt;=INDEX(Sezoane!$D$6:$D$40,MATCH(A213,Sezoane!$C$6:$C$40,1))),INDEX('Prețuri de setat'!$E$5:$E$39,MATCH(A213,Sezoane!$C$6:$C$40,1)),"")</f>
        <v>900</v>
      </c>
      <c r="F213" s="44" t="n">
        <f aca="false">IF(AND(ISNUMBER(MATCH(A213,Sezoane!$C$6:$C$40,1)),A213&lt;=INDEX(Sezoane!$D$6:$D$40,MATCH(A213,Sezoane!$C$6:$C$40,1))),INDEX('Prețuri de setat'!$F$5:$F$39,MATCH(A213,Sezoane!$C$6:$C$40,1)),"")</f>
        <v>1130</v>
      </c>
      <c r="G213" s="44" t="n">
        <f aca="false">IF(AND(ISNUMBER(MATCH(A213,Sezoane!$C$6:$C$40,1)),A213&lt;=INDEX(Sezoane!$D$6:$D$40,MATCH(A213,Sezoane!$C$6:$C$40,1))),INDEX('Prețuri de setat'!$G$5:$G$39,MATCH(A213,Sezoane!$C$6:$C$40,1)),"")</f>
        <v>1020</v>
      </c>
      <c r="H213" s="44" t="n">
        <f aca="false">IF(AND(ISNUMBER(MATCH(A213,Sezoane!$C$6:$C$40,1)),A213&lt;=INDEX(Sezoane!$D$6:$D$40,MATCH(A213,Sezoane!$C$6:$C$40,1))),INDEX('Prețuri de setat'!$H$5:$H$39,MATCH(A213,Sezoane!$C$6:$C$40,1)),"")</f>
        <v>980</v>
      </c>
      <c r="I213" s="44" t="n">
        <f aca="false">IF(AND(ISNUMBER(MATCH(A213,Sezoane!$C$6:$C$40,1)),A213&lt;=INDEX(Sezoane!$D$6:$D$40,MATCH(A213,Sezoane!$C$6:$C$40,1))),INDEX('Prețuri de setat'!$I$5:$I$39,MATCH(A213,Sezoane!$C$6:$C$40,1)),"")</f>
        <v>852</v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primavara-2027</v>
      </c>
      <c r="D214" s="43" t="n">
        <f aca="false">IF(AND(ISNUMBER(MATCH(A214,Sezoane!$C$6:$C$40,1)),A214&lt;=INDEX(Sezoane!$D$6:$D$40,MATCH(A214,Sezoane!$C$6:$C$40,1))),INDEX(Sezoane!$F$6:$F$40,MATCH(A214,Sezoane!$C$6:$C$40,1)),"")</f>
        <v>2</v>
      </c>
      <c r="E214" s="44" t="n">
        <f aca="false">IF(AND(ISNUMBER(MATCH(A214,Sezoane!$C$6:$C$40,1)),A214&lt;=INDEX(Sezoane!$D$6:$D$40,MATCH(A214,Sezoane!$C$6:$C$40,1))),INDEX('Prețuri de setat'!$E$5:$E$39,MATCH(A214,Sezoane!$C$6:$C$40,1)),"")</f>
        <v>900</v>
      </c>
      <c r="F214" s="44" t="n">
        <f aca="false">IF(AND(ISNUMBER(MATCH(A214,Sezoane!$C$6:$C$40,1)),A214&lt;=INDEX(Sezoane!$D$6:$D$40,MATCH(A214,Sezoane!$C$6:$C$40,1))),INDEX('Prețuri de setat'!$F$5:$F$39,MATCH(A214,Sezoane!$C$6:$C$40,1)),"")</f>
        <v>1130</v>
      </c>
      <c r="G214" s="44" t="n">
        <f aca="false">IF(AND(ISNUMBER(MATCH(A214,Sezoane!$C$6:$C$40,1)),A214&lt;=INDEX(Sezoane!$D$6:$D$40,MATCH(A214,Sezoane!$C$6:$C$40,1))),INDEX('Prețuri de setat'!$G$5:$G$39,MATCH(A214,Sezoane!$C$6:$C$40,1)),"")</f>
        <v>1020</v>
      </c>
      <c r="H214" s="44" t="n">
        <f aca="false">IF(AND(ISNUMBER(MATCH(A214,Sezoane!$C$6:$C$40,1)),A214&lt;=INDEX(Sezoane!$D$6:$D$40,MATCH(A214,Sezoane!$C$6:$C$40,1))),INDEX('Prețuri de setat'!$H$5:$H$39,MATCH(A214,Sezoane!$C$6:$C$40,1)),"")</f>
        <v>980</v>
      </c>
      <c r="I214" s="44" t="n">
        <f aca="false">IF(AND(ISNUMBER(MATCH(A214,Sezoane!$C$6:$C$40,1)),A214&lt;=INDEX(Sezoane!$D$6:$D$40,MATCH(A214,Sezoane!$C$6:$C$40,1))),INDEX('Prețuri de setat'!$I$5:$I$39,MATCH(A214,Sezoane!$C$6:$C$40,1)),"")</f>
        <v>852</v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primavara-2027</v>
      </c>
      <c r="D215" s="43" t="n">
        <f aca="false">IF(AND(ISNUMBER(MATCH(A215,Sezoane!$C$6:$C$40,1)),A215&lt;=INDEX(Sezoane!$D$6:$D$40,MATCH(A215,Sezoane!$C$6:$C$40,1))),INDEX(Sezoane!$F$6:$F$40,MATCH(A215,Sezoane!$C$6:$C$40,1)),"")</f>
        <v>2</v>
      </c>
      <c r="E215" s="44" t="n">
        <f aca="false">IF(AND(ISNUMBER(MATCH(A215,Sezoane!$C$6:$C$40,1)),A215&lt;=INDEX(Sezoane!$D$6:$D$40,MATCH(A215,Sezoane!$C$6:$C$40,1))),INDEX('Prețuri de setat'!$E$5:$E$39,MATCH(A215,Sezoane!$C$6:$C$40,1)),"")</f>
        <v>900</v>
      </c>
      <c r="F215" s="44" t="n">
        <f aca="false">IF(AND(ISNUMBER(MATCH(A215,Sezoane!$C$6:$C$40,1)),A215&lt;=INDEX(Sezoane!$D$6:$D$40,MATCH(A215,Sezoane!$C$6:$C$40,1))),INDEX('Prețuri de setat'!$F$5:$F$39,MATCH(A215,Sezoane!$C$6:$C$40,1)),"")</f>
        <v>1130</v>
      </c>
      <c r="G215" s="44" t="n">
        <f aca="false">IF(AND(ISNUMBER(MATCH(A215,Sezoane!$C$6:$C$40,1)),A215&lt;=INDEX(Sezoane!$D$6:$D$40,MATCH(A215,Sezoane!$C$6:$C$40,1))),INDEX('Prețuri de setat'!$G$5:$G$39,MATCH(A215,Sezoane!$C$6:$C$40,1)),"")</f>
        <v>1020</v>
      </c>
      <c r="H215" s="44" t="n">
        <f aca="false">IF(AND(ISNUMBER(MATCH(A215,Sezoane!$C$6:$C$40,1)),A215&lt;=INDEX(Sezoane!$D$6:$D$40,MATCH(A215,Sezoane!$C$6:$C$40,1))),INDEX('Prețuri de setat'!$H$5:$H$39,MATCH(A215,Sezoane!$C$6:$C$40,1)),"")</f>
        <v>980</v>
      </c>
      <c r="I215" s="44" t="n">
        <f aca="false">IF(AND(ISNUMBER(MATCH(A215,Sezoane!$C$6:$C$40,1)),A215&lt;=INDEX(Sezoane!$D$6:$D$40,MATCH(A215,Sezoane!$C$6:$C$40,1))),INDEX('Prețuri de setat'!$I$5:$I$39,MATCH(A215,Sezoane!$C$6:$C$40,1)),"")</f>
        <v>852</v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primavara-2027</v>
      </c>
      <c r="D216" s="43" t="n">
        <f aca="false">IF(AND(ISNUMBER(MATCH(A216,Sezoane!$C$6:$C$40,1)),A216&lt;=INDEX(Sezoane!$D$6:$D$40,MATCH(A216,Sezoane!$C$6:$C$40,1))),INDEX(Sezoane!$F$6:$F$40,MATCH(A216,Sezoane!$C$6:$C$40,1)),"")</f>
        <v>2</v>
      </c>
      <c r="E216" s="44" t="n">
        <f aca="false">IF(AND(ISNUMBER(MATCH(A216,Sezoane!$C$6:$C$40,1)),A216&lt;=INDEX(Sezoane!$D$6:$D$40,MATCH(A216,Sezoane!$C$6:$C$40,1))),INDEX('Prețuri de setat'!$E$5:$E$39,MATCH(A216,Sezoane!$C$6:$C$40,1)),"")</f>
        <v>900</v>
      </c>
      <c r="F216" s="44" t="n">
        <f aca="false">IF(AND(ISNUMBER(MATCH(A216,Sezoane!$C$6:$C$40,1)),A216&lt;=INDEX(Sezoane!$D$6:$D$40,MATCH(A216,Sezoane!$C$6:$C$40,1))),INDEX('Prețuri de setat'!$F$5:$F$39,MATCH(A216,Sezoane!$C$6:$C$40,1)),"")</f>
        <v>1130</v>
      </c>
      <c r="G216" s="44" t="n">
        <f aca="false">IF(AND(ISNUMBER(MATCH(A216,Sezoane!$C$6:$C$40,1)),A216&lt;=INDEX(Sezoane!$D$6:$D$40,MATCH(A216,Sezoane!$C$6:$C$40,1))),INDEX('Prețuri de setat'!$G$5:$G$39,MATCH(A216,Sezoane!$C$6:$C$40,1)),"")</f>
        <v>1020</v>
      </c>
      <c r="H216" s="44" t="n">
        <f aca="false">IF(AND(ISNUMBER(MATCH(A216,Sezoane!$C$6:$C$40,1)),A216&lt;=INDEX(Sezoane!$D$6:$D$40,MATCH(A216,Sezoane!$C$6:$C$40,1))),INDEX('Prețuri de setat'!$H$5:$H$39,MATCH(A216,Sezoane!$C$6:$C$40,1)),"")</f>
        <v>980</v>
      </c>
      <c r="I216" s="44" t="n">
        <f aca="false">IF(AND(ISNUMBER(MATCH(A216,Sezoane!$C$6:$C$40,1)),A216&lt;=INDEX(Sezoane!$D$6:$D$40,MATCH(A216,Sezoane!$C$6:$C$40,1))),INDEX('Prețuri de setat'!$I$5:$I$39,MATCH(A216,Sezoane!$C$6:$C$40,1)),"")</f>
        <v>852</v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primavara-2027</v>
      </c>
      <c r="D217" s="43" t="n">
        <f aca="false">IF(AND(ISNUMBER(MATCH(A217,Sezoane!$C$6:$C$40,1)),A217&lt;=INDEX(Sezoane!$D$6:$D$40,MATCH(A217,Sezoane!$C$6:$C$40,1))),INDEX(Sezoane!$F$6:$F$40,MATCH(A217,Sezoane!$C$6:$C$40,1)),"")</f>
        <v>2</v>
      </c>
      <c r="E217" s="44" t="n">
        <f aca="false">IF(AND(ISNUMBER(MATCH(A217,Sezoane!$C$6:$C$40,1)),A217&lt;=INDEX(Sezoane!$D$6:$D$40,MATCH(A217,Sezoane!$C$6:$C$40,1))),INDEX('Prețuri de setat'!$E$5:$E$39,MATCH(A217,Sezoane!$C$6:$C$40,1)),"")</f>
        <v>900</v>
      </c>
      <c r="F217" s="44" t="n">
        <f aca="false">IF(AND(ISNUMBER(MATCH(A217,Sezoane!$C$6:$C$40,1)),A217&lt;=INDEX(Sezoane!$D$6:$D$40,MATCH(A217,Sezoane!$C$6:$C$40,1))),INDEX('Prețuri de setat'!$F$5:$F$39,MATCH(A217,Sezoane!$C$6:$C$40,1)),"")</f>
        <v>1130</v>
      </c>
      <c r="G217" s="44" t="n">
        <f aca="false">IF(AND(ISNUMBER(MATCH(A217,Sezoane!$C$6:$C$40,1)),A217&lt;=INDEX(Sezoane!$D$6:$D$40,MATCH(A217,Sezoane!$C$6:$C$40,1))),INDEX('Prețuri de setat'!$G$5:$G$39,MATCH(A217,Sezoane!$C$6:$C$40,1)),"")</f>
        <v>1020</v>
      </c>
      <c r="H217" s="44" t="n">
        <f aca="false">IF(AND(ISNUMBER(MATCH(A217,Sezoane!$C$6:$C$40,1)),A217&lt;=INDEX(Sezoane!$D$6:$D$40,MATCH(A217,Sezoane!$C$6:$C$40,1))),INDEX('Prețuri de setat'!$H$5:$H$39,MATCH(A217,Sezoane!$C$6:$C$40,1)),"")</f>
        <v>980</v>
      </c>
      <c r="I217" s="44" t="n">
        <f aca="false">IF(AND(ISNUMBER(MATCH(A217,Sezoane!$C$6:$C$40,1)),A217&lt;=INDEX(Sezoane!$D$6:$D$40,MATCH(A217,Sezoane!$C$6:$C$40,1))),INDEX('Prețuri de setat'!$I$5:$I$39,MATCH(A217,Sezoane!$C$6:$C$40,1)),"")</f>
        <v>852</v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primavara-2027</v>
      </c>
      <c r="D218" s="43" t="n">
        <f aca="false">IF(AND(ISNUMBER(MATCH(A218,Sezoane!$C$6:$C$40,1)),A218&lt;=INDEX(Sezoane!$D$6:$D$40,MATCH(A218,Sezoane!$C$6:$C$40,1))),INDEX(Sezoane!$F$6:$F$40,MATCH(A218,Sezoane!$C$6:$C$40,1)),"")</f>
        <v>2</v>
      </c>
      <c r="E218" s="44" t="n">
        <f aca="false">IF(AND(ISNUMBER(MATCH(A218,Sezoane!$C$6:$C$40,1)),A218&lt;=INDEX(Sezoane!$D$6:$D$40,MATCH(A218,Sezoane!$C$6:$C$40,1))),INDEX('Prețuri de setat'!$E$5:$E$39,MATCH(A218,Sezoane!$C$6:$C$40,1)),"")</f>
        <v>900</v>
      </c>
      <c r="F218" s="44" t="n">
        <f aca="false">IF(AND(ISNUMBER(MATCH(A218,Sezoane!$C$6:$C$40,1)),A218&lt;=INDEX(Sezoane!$D$6:$D$40,MATCH(A218,Sezoane!$C$6:$C$40,1))),INDEX('Prețuri de setat'!$F$5:$F$39,MATCH(A218,Sezoane!$C$6:$C$40,1)),"")</f>
        <v>1130</v>
      </c>
      <c r="G218" s="44" t="n">
        <f aca="false">IF(AND(ISNUMBER(MATCH(A218,Sezoane!$C$6:$C$40,1)),A218&lt;=INDEX(Sezoane!$D$6:$D$40,MATCH(A218,Sezoane!$C$6:$C$40,1))),INDEX('Prețuri de setat'!$G$5:$G$39,MATCH(A218,Sezoane!$C$6:$C$40,1)),"")</f>
        <v>1020</v>
      </c>
      <c r="H218" s="44" t="n">
        <f aca="false">IF(AND(ISNUMBER(MATCH(A218,Sezoane!$C$6:$C$40,1)),A218&lt;=INDEX(Sezoane!$D$6:$D$40,MATCH(A218,Sezoane!$C$6:$C$40,1))),INDEX('Prețuri de setat'!$H$5:$H$39,MATCH(A218,Sezoane!$C$6:$C$40,1)),"")</f>
        <v>980</v>
      </c>
      <c r="I218" s="44" t="n">
        <f aca="false">IF(AND(ISNUMBER(MATCH(A218,Sezoane!$C$6:$C$40,1)),A218&lt;=INDEX(Sezoane!$D$6:$D$40,MATCH(A218,Sezoane!$C$6:$C$40,1))),INDEX('Prețuri de setat'!$I$5:$I$39,MATCH(A218,Sezoane!$C$6:$C$40,1)),"")</f>
        <v>852</v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primavara-2027</v>
      </c>
      <c r="D219" s="43" t="n">
        <f aca="false">IF(AND(ISNUMBER(MATCH(A219,Sezoane!$C$6:$C$40,1)),A219&lt;=INDEX(Sezoane!$D$6:$D$40,MATCH(A219,Sezoane!$C$6:$C$40,1))),INDEX(Sezoane!$F$6:$F$40,MATCH(A219,Sezoane!$C$6:$C$40,1)),"")</f>
        <v>2</v>
      </c>
      <c r="E219" s="44" t="n">
        <f aca="false">IF(AND(ISNUMBER(MATCH(A219,Sezoane!$C$6:$C$40,1)),A219&lt;=INDEX(Sezoane!$D$6:$D$40,MATCH(A219,Sezoane!$C$6:$C$40,1))),INDEX('Prețuri de setat'!$E$5:$E$39,MATCH(A219,Sezoane!$C$6:$C$40,1)),"")</f>
        <v>900</v>
      </c>
      <c r="F219" s="44" t="n">
        <f aca="false">IF(AND(ISNUMBER(MATCH(A219,Sezoane!$C$6:$C$40,1)),A219&lt;=INDEX(Sezoane!$D$6:$D$40,MATCH(A219,Sezoane!$C$6:$C$40,1))),INDEX('Prețuri de setat'!$F$5:$F$39,MATCH(A219,Sezoane!$C$6:$C$40,1)),"")</f>
        <v>1130</v>
      </c>
      <c r="G219" s="44" t="n">
        <f aca="false">IF(AND(ISNUMBER(MATCH(A219,Sezoane!$C$6:$C$40,1)),A219&lt;=INDEX(Sezoane!$D$6:$D$40,MATCH(A219,Sezoane!$C$6:$C$40,1))),INDEX('Prețuri de setat'!$G$5:$G$39,MATCH(A219,Sezoane!$C$6:$C$40,1)),"")</f>
        <v>1020</v>
      </c>
      <c r="H219" s="44" t="n">
        <f aca="false">IF(AND(ISNUMBER(MATCH(A219,Sezoane!$C$6:$C$40,1)),A219&lt;=INDEX(Sezoane!$D$6:$D$40,MATCH(A219,Sezoane!$C$6:$C$40,1))),INDEX('Prețuri de setat'!$H$5:$H$39,MATCH(A219,Sezoane!$C$6:$C$40,1)),"")</f>
        <v>980</v>
      </c>
      <c r="I219" s="44" t="n">
        <f aca="false">IF(AND(ISNUMBER(MATCH(A219,Sezoane!$C$6:$C$40,1)),A219&lt;=INDEX(Sezoane!$D$6:$D$40,MATCH(A219,Sezoane!$C$6:$C$40,1))),INDEX('Prețuri de setat'!$I$5:$I$39,MATCH(A219,Sezoane!$C$6:$C$40,1)),"")</f>
        <v>852</v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primavara-2027</v>
      </c>
      <c r="D220" s="43" t="n">
        <f aca="false">IF(AND(ISNUMBER(MATCH(A220,Sezoane!$C$6:$C$40,1)),A220&lt;=INDEX(Sezoane!$D$6:$D$40,MATCH(A220,Sezoane!$C$6:$C$40,1))),INDEX(Sezoane!$F$6:$F$40,MATCH(A220,Sezoane!$C$6:$C$40,1)),"")</f>
        <v>2</v>
      </c>
      <c r="E220" s="44" t="n">
        <f aca="false">IF(AND(ISNUMBER(MATCH(A220,Sezoane!$C$6:$C$40,1)),A220&lt;=INDEX(Sezoane!$D$6:$D$40,MATCH(A220,Sezoane!$C$6:$C$40,1))),INDEX('Prețuri de setat'!$E$5:$E$39,MATCH(A220,Sezoane!$C$6:$C$40,1)),"")</f>
        <v>900</v>
      </c>
      <c r="F220" s="44" t="n">
        <f aca="false">IF(AND(ISNUMBER(MATCH(A220,Sezoane!$C$6:$C$40,1)),A220&lt;=INDEX(Sezoane!$D$6:$D$40,MATCH(A220,Sezoane!$C$6:$C$40,1))),INDEX('Prețuri de setat'!$F$5:$F$39,MATCH(A220,Sezoane!$C$6:$C$40,1)),"")</f>
        <v>1130</v>
      </c>
      <c r="G220" s="44" t="n">
        <f aca="false">IF(AND(ISNUMBER(MATCH(A220,Sezoane!$C$6:$C$40,1)),A220&lt;=INDEX(Sezoane!$D$6:$D$40,MATCH(A220,Sezoane!$C$6:$C$40,1))),INDEX('Prețuri de setat'!$G$5:$G$39,MATCH(A220,Sezoane!$C$6:$C$40,1)),"")</f>
        <v>1020</v>
      </c>
      <c r="H220" s="44" t="n">
        <f aca="false">IF(AND(ISNUMBER(MATCH(A220,Sezoane!$C$6:$C$40,1)),A220&lt;=INDEX(Sezoane!$D$6:$D$40,MATCH(A220,Sezoane!$C$6:$C$40,1))),INDEX('Prețuri de setat'!$H$5:$H$39,MATCH(A220,Sezoane!$C$6:$C$40,1)),"")</f>
        <v>980</v>
      </c>
      <c r="I220" s="44" t="n">
        <f aca="false">IF(AND(ISNUMBER(MATCH(A220,Sezoane!$C$6:$C$40,1)),A220&lt;=INDEX(Sezoane!$D$6:$D$40,MATCH(A220,Sezoane!$C$6:$C$40,1))),INDEX('Prețuri de setat'!$I$5:$I$39,MATCH(A220,Sezoane!$C$6:$C$40,1)),"")</f>
        <v>852</v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primavara-2027</v>
      </c>
      <c r="D221" s="43" t="n">
        <f aca="false">IF(AND(ISNUMBER(MATCH(A221,Sezoane!$C$6:$C$40,1)),A221&lt;=INDEX(Sezoane!$D$6:$D$40,MATCH(A221,Sezoane!$C$6:$C$40,1))),INDEX(Sezoane!$F$6:$F$40,MATCH(A221,Sezoane!$C$6:$C$40,1)),"")</f>
        <v>2</v>
      </c>
      <c r="E221" s="44" t="n">
        <f aca="false">IF(AND(ISNUMBER(MATCH(A221,Sezoane!$C$6:$C$40,1)),A221&lt;=INDEX(Sezoane!$D$6:$D$40,MATCH(A221,Sezoane!$C$6:$C$40,1))),INDEX('Prețuri de setat'!$E$5:$E$39,MATCH(A221,Sezoane!$C$6:$C$40,1)),"")</f>
        <v>900</v>
      </c>
      <c r="F221" s="44" t="n">
        <f aca="false">IF(AND(ISNUMBER(MATCH(A221,Sezoane!$C$6:$C$40,1)),A221&lt;=INDEX(Sezoane!$D$6:$D$40,MATCH(A221,Sezoane!$C$6:$C$40,1))),INDEX('Prețuri de setat'!$F$5:$F$39,MATCH(A221,Sezoane!$C$6:$C$40,1)),"")</f>
        <v>1130</v>
      </c>
      <c r="G221" s="44" t="n">
        <f aca="false">IF(AND(ISNUMBER(MATCH(A221,Sezoane!$C$6:$C$40,1)),A221&lt;=INDEX(Sezoane!$D$6:$D$40,MATCH(A221,Sezoane!$C$6:$C$40,1))),INDEX('Prețuri de setat'!$G$5:$G$39,MATCH(A221,Sezoane!$C$6:$C$40,1)),"")</f>
        <v>1020</v>
      </c>
      <c r="H221" s="44" t="n">
        <f aca="false">IF(AND(ISNUMBER(MATCH(A221,Sezoane!$C$6:$C$40,1)),A221&lt;=INDEX(Sezoane!$D$6:$D$40,MATCH(A221,Sezoane!$C$6:$C$40,1))),INDEX('Prețuri de setat'!$H$5:$H$39,MATCH(A221,Sezoane!$C$6:$C$40,1)),"")</f>
        <v>980</v>
      </c>
      <c r="I221" s="44" t="n">
        <f aca="false">IF(AND(ISNUMBER(MATCH(A221,Sezoane!$C$6:$C$40,1)),A221&lt;=INDEX(Sezoane!$D$6:$D$40,MATCH(A221,Sezoane!$C$6:$C$40,1))),INDEX('Prețuri de setat'!$I$5:$I$39,MATCH(A221,Sezoane!$C$6:$C$40,1)),"")</f>
        <v>852</v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primavara-2027</v>
      </c>
      <c r="D222" s="43" t="n">
        <f aca="false">IF(AND(ISNUMBER(MATCH(A222,Sezoane!$C$6:$C$40,1)),A222&lt;=INDEX(Sezoane!$D$6:$D$40,MATCH(A222,Sezoane!$C$6:$C$40,1))),INDEX(Sezoane!$F$6:$F$40,MATCH(A222,Sezoane!$C$6:$C$40,1)),"")</f>
        <v>2</v>
      </c>
      <c r="E222" s="44" t="n">
        <f aca="false">IF(AND(ISNUMBER(MATCH(A222,Sezoane!$C$6:$C$40,1)),A222&lt;=INDEX(Sezoane!$D$6:$D$40,MATCH(A222,Sezoane!$C$6:$C$40,1))),INDEX('Prețuri de setat'!$E$5:$E$39,MATCH(A222,Sezoane!$C$6:$C$40,1)),"")</f>
        <v>900</v>
      </c>
      <c r="F222" s="44" t="n">
        <f aca="false">IF(AND(ISNUMBER(MATCH(A222,Sezoane!$C$6:$C$40,1)),A222&lt;=INDEX(Sezoane!$D$6:$D$40,MATCH(A222,Sezoane!$C$6:$C$40,1))),INDEX('Prețuri de setat'!$F$5:$F$39,MATCH(A222,Sezoane!$C$6:$C$40,1)),"")</f>
        <v>1130</v>
      </c>
      <c r="G222" s="44" t="n">
        <f aca="false">IF(AND(ISNUMBER(MATCH(A222,Sezoane!$C$6:$C$40,1)),A222&lt;=INDEX(Sezoane!$D$6:$D$40,MATCH(A222,Sezoane!$C$6:$C$40,1))),INDEX('Prețuri de setat'!$G$5:$G$39,MATCH(A222,Sezoane!$C$6:$C$40,1)),"")</f>
        <v>1020</v>
      </c>
      <c r="H222" s="44" t="n">
        <f aca="false">IF(AND(ISNUMBER(MATCH(A222,Sezoane!$C$6:$C$40,1)),A222&lt;=INDEX(Sezoane!$D$6:$D$40,MATCH(A222,Sezoane!$C$6:$C$40,1))),INDEX('Prețuri de setat'!$H$5:$H$39,MATCH(A222,Sezoane!$C$6:$C$40,1)),"")</f>
        <v>980</v>
      </c>
      <c r="I222" s="44" t="n">
        <f aca="false">IF(AND(ISNUMBER(MATCH(A222,Sezoane!$C$6:$C$40,1)),A222&lt;=INDEX(Sezoane!$D$6:$D$40,MATCH(A222,Sezoane!$C$6:$C$40,1))),INDEX('Prețuri de setat'!$I$5:$I$39,MATCH(A222,Sezoane!$C$6:$C$40,1)),"")</f>
        <v>852</v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primavara-2027</v>
      </c>
      <c r="D223" s="43" t="n">
        <f aca="false">IF(AND(ISNUMBER(MATCH(A223,Sezoane!$C$6:$C$40,1)),A223&lt;=INDEX(Sezoane!$D$6:$D$40,MATCH(A223,Sezoane!$C$6:$C$40,1))),INDEX(Sezoane!$F$6:$F$40,MATCH(A223,Sezoane!$C$6:$C$40,1)),"")</f>
        <v>2</v>
      </c>
      <c r="E223" s="44" t="n">
        <f aca="false">IF(AND(ISNUMBER(MATCH(A223,Sezoane!$C$6:$C$40,1)),A223&lt;=INDEX(Sezoane!$D$6:$D$40,MATCH(A223,Sezoane!$C$6:$C$40,1))),INDEX('Prețuri de setat'!$E$5:$E$39,MATCH(A223,Sezoane!$C$6:$C$40,1)),"")</f>
        <v>900</v>
      </c>
      <c r="F223" s="44" t="n">
        <f aca="false">IF(AND(ISNUMBER(MATCH(A223,Sezoane!$C$6:$C$40,1)),A223&lt;=INDEX(Sezoane!$D$6:$D$40,MATCH(A223,Sezoane!$C$6:$C$40,1))),INDEX('Prețuri de setat'!$F$5:$F$39,MATCH(A223,Sezoane!$C$6:$C$40,1)),"")</f>
        <v>1130</v>
      </c>
      <c r="G223" s="44" t="n">
        <f aca="false">IF(AND(ISNUMBER(MATCH(A223,Sezoane!$C$6:$C$40,1)),A223&lt;=INDEX(Sezoane!$D$6:$D$40,MATCH(A223,Sezoane!$C$6:$C$40,1))),INDEX('Prețuri de setat'!$G$5:$G$39,MATCH(A223,Sezoane!$C$6:$C$40,1)),"")</f>
        <v>1020</v>
      </c>
      <c r="H223" s="44" t="n">
        <f aca="false">IF(AND(ISNUMBER(MATCH(A223,Sezoane!$C$6:$C$40,1)),A223&lt;=INDEX(Sezoane!$D$6:$D$40,MATCH(A223,Sezoane!$C$6:$C$40,1))),INDEX('Prețuri de setat'!$H$5:$H$39,MATCH(A223,Sezoane!$C$6:$C$40,1)),"")</f>
        <v>980</v>
      </c>
      <c r="I223" s="44" t="n">
        <f aca="false">IF(AND(ISNUMBER(MATCH(A223,Sezoane!$C$6:$C$40,1)),A223&lt;=INDEX(Sezoane!$D$6:$D$40,MATCH(A223,Sezoane!$C$6:$C$40,1))),INDEX('Prețuri de setat'!$I$5:$I$39,MATCH(A223,Sezoane!$C$6:$C$40,1)),"")</f>
        <v>852</v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primavara-2027</v>
      </c>
      <c r="D224" s="43" t="n">
        <f aca="false">IF(AND(ISNUMBER(MATCH(A224,Sezoane!$C$6:$C$40,1)),A224&lt;=INDEX(Sezoane!$D$6:$D$40,MATCH(A224,Sezoane!$C$6:$C$40,1))),INDEX(Sezoane!$F$6:$F$40,MATCH(A224,Sezoane!$C$6:$C$40,1)),"")</f>
        <v>2</v>
      </c>
      <c r="E224" s="44" t="n">
        <f aca="false">IF(AND(ISNUMBER(MATCH(A224,Sezoane!$C$6:$C$40,1)),A224&lt;=INDEX(Sezoane!$D$6:$D$40,MATCH(A224,Sezoane!$C$6:$C$40,1))),INDEX('Prețuri de setat'!$E$5:$E$39,MATCH(A224,Sezoane!$C$6:$C$40,1)),"")</f>
        <v>900</v>
      </c>
      <c r="F224" s="44" t="n">
        <f aca="false">IF(AND(ISNUMBER(MATCH(A224,Sezoane!$C$6:$C$40,1)),A224&lt;=INDEX(Sezoane!$D$6:$D$40,MATCH(A224,Sezoane!$C$6:$C$40,1))),INDEX('Prețuri de setat'!$F$5:$F$39,MATCH(A224,Sezoane!$C$6:$C$40,1)),"")</f>
        <v>1130</v>
      </c>
      <c r="G224" s="44" t="n">
        <f aca="false">IF(AND(ISNUMBER(MATCH(A224,Sezoane!$C$6:$C$40,1)),A224&lt;=INDEX(Sezoane!$D$6:$D$40,MATCH(A224,Sezoane!$C$6:$C$40,1))),INDEX('Prețuri de setat'!$G$5:$G$39,MATCH(A224,Sezoane!$C$6:$C$40,1)),"")</f>
        <v>1020</v>
      </c>
      <c r="H224" s="44" t="n">
        <f aca="false">IF(AND(ISNUMBER(MATCH(A224,Sezoane!$C$6:$C$40,1)),A224&lt;=INDEX(Sezoane!$D$6:$D$40,MATCH(A224,Sezoane!$C$6:$C$40,1))),INDEX('Prețuri de setat'!$H$5:$H$39,MATCH(A224,Sezoane!$C$6:$C$40,1)),"")</f>
        <v>980</v>
      </c>
      <c r="I224" s="44" t="n">
        <f aca="false">IF(AND(ISNUMBER(MATCH(A224,Sezoane!$C$6:$C$40,1)),A224&lt;=INDEX(Sezoane!$D$6:$D$40,MATCH(A224,Sezoane!$C$6:$C$40,1))),INDEX('Prețuri de setat'!$I$5:$I$39,MATCH(A224,Sezoane!$C$6:$C$40,1)),"")</f>
        <v>852</v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primavara-2027</v>
      </c>
      <c r="D225" s="43" t="n">
        <f aca="false">IF(AND(ISNUMBER(MATCH(A225,Sezoane!$C$6:$C$40,1)),A225&lt;=INDEX(Sezoane!$D$6:$D$40,MATCH(A225,Sezoane!$C$6:$C$40,1))),INDEX(Sezoane!$F$6:$F$40,MATCH(A225,Sezoane!$C$6:$C$40,1)),"")</f>
        <v>2</v>
      </c>
      <c r="E225" s="44" t="n">
        <f aca="false">IF(AND(ISNUMBER(MATCH(A225,Sezoane!$C$6:$C$40,1)),A225&lt;=INDEX(Sezoane!$D$6:$D$40,MATCH(A225,Sezoane!$C$6:$C$40,1))),INDEX('Prețuri de setat'!$E$5:$E$39,MATCH(A225,Sezoane!$C$6:$C$40,1)),"")</f>
        <v>900</v>
      </c>
      <c r="F225" s="44" t="n">
        <f aca="false">IF(AND(ISNUMBER(MATCH(A225,Sezoane!$C$6:$C$40,1)),A225&lt;=INDEX(Sezoane!$D$6:$D$40,MATCH(A225,Sezoane!$C$6:$C$40,1))),INDEX('Prețuri de setat'!$F$5:$F$39,MATCH(A225,Sezoane!$C$6:$C$40,1)),"")</f>
        <v>1130</v>
      </c>
      <c r="G225" s="44" t="n">
        <f aca="false">IF(AND(ISNUMBER(MATCH(A225,Sezoane!$C$6:$C$40,1)),A225&lt;=INDEX(Sezoane!$D$6:$D$40,MATCH(A225,Sezoane!$C$6:$C$40,1))),INDEX('Prețuri de setat'!$G$5:$G$39,MATCH(A225,Sezoane!$C$6:$C$40,1)),"")</f>
        <v>1020</v>
      </c>
      <c r="H225" s="44" t="n">
        <f aca="false">IF(AND(ISNUMBER(MATCH(A225,Sezoane!$C$6:$C$40,1)),A225&lt;=INDEX(Sezoane!$D$6:$D$40,MATCH(A225,Sezoane!$C$6:$C$40,1))),INDEX('Prețuri de setat'!$H$5:$H$39,MATCH(A225,Sezoane!$C$6:$C$40,1)),"")</f>
        <v>980</v>
      </c>
      <c r="I225" s="44" t="n">
        <f aca="false">IF(AND(ISNUMBER(MATCH(A225,Sezoane!$C$6:$C$40,1)),A225&lt;=INDEX(Sezoane!$D$6:$D$40,MATCH(A225,Sezoane!$C$6:$C$40,1))),INDEX('Prețuri de setat'!$I$5:$I$39,MATCH(A225,Sezoane!$C$6:$C$40,1)),"")</f>
        <v>852</v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primavara-2027</v>
      </c>
      <c r="D226" s="43" t="n">
        <f aca="false">IF(AND(ISNUMBER(MATCH(A226,Sezoane!$C$6:$C$40,1)),A226&lt;=INDEX(Sezoane!$D$6:$D$40,MATCH(A226,Sezoane!$C$6:$C$40,1))),INDEX(Sezoane!$F$6:$F$40,MATCH(A226,Sezoane!$C$6:$C$40,1)),"")</f>
        <v>2</v>
      </c>
      <c r="E226" s="44" t="n">
        <f aca="false">IF(AND(ISNUMBER(MATCH(A226,Sezoane!$C$6:$C$40,1)),A226&lt;=INDEX(Sezoane!$D$6:$D$40,MATCH(A226,Sezoane!$C$6:$C$40,1))),INDEX('Prețuri de setat'!$E$5:$E$39,MATCH(A226,Sezoane!$C$6:$C$40,1)),"")</f>
        <v>900</v>
      </c>
      <c r="F226" s="44" t="n">
        <f aca="false">IF(AND(ISNUMBER(MATCH(A226,Sezoane!$C$6:$C$40,1)),A226&lt;=INDEX(Sezoane!$D$6:$D$40,MATCH(A226,Sezoane!$C$6:$C$40,1))),INDEX('Prețuri de setat'!$F$5:$F$39,MATCH(A226,Sezoane!$C$6:$C$40,1)),"")</f>
        <v>1130</v>
      </c>
      <c r="G226" s="44" t="n">
        <f aca="false">IF(AND(ISNUMBER(MATCH(A226,Sezoane!$C$6:$C$40,1)),A226&lt;=INDEX(Sezoane!$D$6:$D$40,MATCH(A226,Sezoane!$C$6:$C$40,1))),INDEX('Prețuri de setat'!$G$5:$G$39,MATCH(A226,Sezoane!$C$6:$C$40,1)),"")</f>
        <v>1020</v>
      </c>
      <c r="H226" s="44" t="n">
        <f aca="false">IF(AND(ISNUMBER(MATCH(A226,Sezoane!$C$6:$C$40,1)),A226&lt;=INDEX(Sezoane!$D$6:$D$40,MATCH(A226,Sezoane!$C$6:$C$40,1))),INDEX('Prețuri de setat'!$H$5:$H$39,MATCH(A226,Sezoane!$C$6:$C$40,1)),"")</f>
        <v>980</v>
      </c>
      <c r="I226" s="44" t="n">
        <f aca="false">IF(AND(ISNUMBER(MATCH(A226,Sezoane!$C$6:$C$40,1)),A226&lt;=INDEX(Sezoane!$D$6:$D$40,MATCH(A226,Sezoane!$C$6:$C$40,1))),INDEX('Prețuri de setat'!$I$5:$I$39,MATCH(A226,Sezoane!$C$6:$C$40,1)),"")</f>
        <v>852</v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primavara-2027</v>
      </c>
      <c r="D227" s="43" t="n">
        <f aca="false">IF(AND(ISNUMBER(MATCH(A227,Sezoane!$C$6:$C$40,1)),A227&lt;=INDEX(Sezoane!$D$6:$D$40,MATCH(A227,Sezoane!$C$6:$C$40,1))),INDEX(Sezoane!$F$6:$F$40,MATCH(A227,Sezoane!$C$6:$C$40,1)),"")</f>
        <v>2</v>
      </c>
      <c r="E227" s="44" t="n">
        <f aca="false">IF(AND(ISNUMBER(MATCH(A227,Sezoane!$C$6:$C$40,1)),A227&lt;=INDEX(Sezoane!$D$6:$D$40,MATCH(A227,Sezoane!$C$6:$C$40,1))),INDEX('Prețuri de setat'!$E$5:$E$39,MATCH(A227,Sezoane!$C$6:$C$40,1)),"")</f>
        <v>900</v>
      </c>
      <c r="F227" s="44" t="n">
        <f aca="false">IF(AND(ISNUMBER(MATCH(A227,Sezoane!$C$6:$C$40,1)),A227&lt;=INDEX(Sezoane!$D$6:$D$40,MATCH(A227,Sezoane!$C$6:$C$40,1))),INDEX('Prețuri de setat'!$F$5:$F$39,MATCH(A227,Sezoane!$C$6:$C$40,1)),"")</f>
        <v>1130</v>
      </c>
      <c r="G227" s="44" t="n">
        <f aca="false">IF(AND(ISNUMBER(MATCH(A227,Sezoane!$C$6:$C$40,1)),A227&lt;=INDEX(Sezoane!$D$6:$D$40,MATCH(A227,Sezoane!$C$6:$C$40,1))),INDEX('Prețuri de setat'!$G$5:$G$39,MATCH(A227,Sezoane!$C$6:$C$40,1)),"")</f>
        <v>1020</v>
      </c>
      <c r="H227" s="44" t="n">
        <f aca="false">IF(AND(ISNUMBER(MATCH(A227,Sezoane!$C$6:$C$40,1)),A227&lt;=INDEX(Sezoane!$D$6:$D$40,MATCH(A227,Sezoane!$C$6:$C$40,1))),INDEX('Prețuri de setat'!$H$5:$H$39,MATCH(A227,Sezoane!$C$6:$C$40,1)),"")</f>
        <v>980</v>
      </c>
      <c r="I227" s="44" t="n">
        <f aca="false">IF(AND(ISNUMBER(MATCH(A227,Sezoane!$C$6:$C$40,1)),A227&lt;=INDEX(Sezoane!$D$6:$D$40,MATCH(A227,Sezoane!$C$6:$C$40,1))),INDEX('Prețuri de setat'!$I$5:$I$39,MATCH(A227,Sezoane!$C$6:$C$40,1)),"")</f>
        <v>852</v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primavara-2027</v>
      </c>
      <c r="D228" s="43" t="n">
        <f aca="false">IF(AND(ISNUMBER(MATCH(A228,Sezoane!$C$6:$C$40,1)),A228&lt;=INDEX(Sezoane!$D$6:$D$40,MATCH(A228,Sezoane!$C$6:$C$40,1))),INDEX(Sezoane!$F$6:$F$40,MATCH(A228,Sezoane!$C$6:$C$40,1)),"")</f>
        <v>2</v>
      </c>
      <c r="E228" s="44" t="n">
        <f aca="false">IF(AND(ISNUMBER(MATCH(A228,Sezoane!$C$6:$C$40,1)),A228&lt;=INDEX(Sezoane!$D$6:$D$40,MATCH(A228,Sezoane!$C$6:$C$40,1))),INDEX('Prețuri de setat'!$E$5:$E$39,MATCH(A228,Sezoane!$C$6:$C$40,1)),"")</f>
        <v>900</v>
      </c>
      <c r="F228" s="44" t="n">
        <f aca="false">IF(AND(ISNUMBER(MATCH(A228,Sezoane!$C$6:$C$40,1)),A228&lt;=INDEX(Sezoane!$D$6:$D$40,MATCH(A228,Sezoane!$C$6:$C$40,1))),INDEX('Prețuri de setat'!$F$5:$F$39,MATCH(A228,Sezoane!$C$6:$C$40,1)),"")</f>
        <v>1130</v>
      </c>
      <c r="G228" s="44" t="n">
        <f aca="false">IF(AND(ISNUMBER(MATCH(A228,Sezoane!$C$6:$C$40,1)),A228&lt;=INDEX(Sezoane!$D$6:$D$40,MATCH(A228,Sezoane!$C$6:$C$40,1))),INDEX('Prețuri de setat'!$G$5:$G$39,MATCH(A228,Sezoane!$C$6:$C$40,1)),"")</f>
        <v>1020</v>
      </c>
      <c r="H228" s="44" t="n">
        <f aca="false">IF(AND(ISNUMBER(MATCH(A228,Sezoane!$C$6:$C$40,1)),A228&lt;=INDEX(Sezoane!$D$6:$D$40,MATCH(A228,Sezoane!$C$6:$C$40,1))),INDEX('Prețuri de setat'!$H$5:$H$39,MATCH(A228,Sezoane!$C$6:$C$40,1)),"")</f>
        <v>980</v>
      </c>
      <c r="I228" s="44" t="n">
        <f aca="false">IF(AND(ISNUMBER(MATCH(A228,Sezoane!$C$6:$C$40,1)),A228&lt;=INDEX(Sezoane!$D$6:$D$40,MATCH(A228,Sezoane!$C$6:$C$40,1))),INDEX('Prețuri de setat'!$I$5:$I$39,MATCH(A228,Sezoane!$C$6:$C$40,1)),"")</f>
        <v>852</v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primavara-2027</v>
      </c>
      <c r="D229" s="43" t="n">
        <f aca="false">IF(AND(ISNUMBER(MATCH(A229,Sezoane!$C$6:$C$40,1)),A229&lt;=INDEX(Sezoane!$D$6:$D$40,MATCH(A229,Sezoane!$C$6:$C$40,1))),INDEX(Sezoane!$F$6:$F$40,MATCH(A229,Sezoane!$C$6:$C$40,1)),"")</f>
        <v>2</v>
      </c>
      <c r="E229" s="44" t="n">
        <f aca="false">IF(AND(ISNUMBER(MATCH(A229,Sezoane!$C$6:$C$40,1)),A229&lt;=INDEX(Sezoane!$D$6:$D$40,MATCH(A229,Sezoane!$C$6:$C$40,1))),INDEX('Prețuri de setat'!$E$5:$E$39,MATCH(A229,Sezoane!$C$6:$C$40,1)),"")</f>
        <v>900</v>
      </c>
      <c r="F229" s="44" t="n">
        <f aca="false">IF(AND(ISNUMBER(MATCH(A229,Sezoane!$C$6:$C$40,1)),A229&lt;=INDEX(Sezoane!$D$6:$D$40,MATCH(A229,Sezoane!$C$6:$C$40,1))),INDEX('Prețuri de setat'!$F$5:$F$39,MATCH(A229,Sezoane!$C$6:$C$40,1)),"")</f>
        <v>1130</v>
      </c>
      <c r="G229" s="44" t="n">
        <f aca="false">IF(AND(ISNUMBER(MATCH(A229,Sezoane!$C$6:$C$40,1)),A229&lt;=INDEX(Sezoane!$D$6:$D$40,MATCH(A229,Sezoane!$C$6:$C$40,1))),INDEX('Prețuri de setat'!$G$5:$G$39,MATCH(A229,Sezoane!$C$6:$C$40,1)),"")</f>
        <v>1020</v>
      </c>
      <c r="H229" s="44" t="n">
        <f aca="false">IF(AND(ISNUMBER(MATCH(A229,Sezoane!$C$6:$C$40,1)),A229&lt;=INDEX(Sezoane!$D$6:$D$40,MATCH(A229,Sezoane!$C$6:$C$40,1))),INDEX('Prețuri de setat'!$H$5:$H$39,MATCH(A229,Sezoane!$C$6:$C$40,1)),"")</f>
        <v>980</v>
      </c>
      <c r="I229" s="44" t="n">
        <f aca="false">IF(AND(ISNUMBER(MATCH(A229,Sezoane!$C$6:$C$40,1)),A229&lt;=INDEX(Sezoane!$D$6:$D$40,MATCH(A229,Sezoane!$C$6:$C$40,1))),INDEX('Prețuri de setat'!$I$5:$I$39,MATCH(A229,Sezoane!$C$6:$C$40,1)),"")</f>
        <v>852</v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primavara-2027</v>
      </c>
      <c r="D230" s="43" t="n">
        <f aca="false">IF(AND(ISNUMBER(MATCH(A230,Sezoane!$C$6:$C$40,1)),A230&lt;=INDEX(Sezoane!$D$6:$D$40,MATCH(A230,Sezoane!$C$6:$C$40,1))),INDEX(Sezoane!$F$6:$F$40,MATCH(A230,Sezoane!$C$6:$C$40,1)),"")</f>
        <v>2</v>
      </c>
      <c r="E230" s="44" t="n">
        <f aca="false">IF(AND(ISNUMBER(MATCH(A230,Sezoane!$C$6:$C$40,1)),A230&lt;=INDEX(Sezoane!$D$6:$D$40,MATCH(A230,Sezoane!$C$6:$C$40,1))),INDEX('Prețuri de setat'!$E$5:$E$39,MATCH(A230,Sezoane!$C$6:$C$40,1)),"")</f>
        <v>900</v>
      </c>
      <c r="F230" s="44" t="n">
        <f aca="false">IF(AND(ISNUMBER(MATCH(A230,Sezoane!$C$6:$C$40,1)),A230&lt;=INDEX(Sezoane!$D$6:$D$40,MATCH(A230,Sezoane!$C$6:$C$40,1))),INDEX('Prețuri de setat'!$F$5:$F$39,MATCH(A230,Sezoane!$C$6:$C$40,1)),"")</f>
        <v>1130</v>
      </c>
      <c r="G230" s="44" t="n">
        <f aca="false">IF(AND(ISNUMBER(MATCH(A230,Sezoane!$C$6:$C$40,1)),A230&lt;=INDEX(Sezoane!$D$6:$D$40,MATCH(A230,Sezoane!$C$6:$C$40,1))),INDEX('Prețuri de setat'!$G$5:$G$39,MATCH(A230,Sezoane!$C$6:$C$40,1)),"")</f>
        <v>1020</v>
      </c>
      <c r="H230" s="44" t="n">
        <f aca="false">IF(AND(ISNUMBER(MATCH(A230,Sezoane!$C$6:$C$40,1)),A230&lt;=INDEX(Sezoane!$D$6:$D$40,MATCH(A230,Sezoane!$C$6:$C$40,1))),INDEX('Prețuri de setat'!$H$5:$H$39,MATCH(A230,Sezoane!$C$6:$C$40,1)),"")</f>
        <v>980</v>
      </c>
      <c r="I230" s="44" t="n">
        <f aca="false">IF(AND(ISNUMBER(MATCH(A230,Sezoane!$C$6:$C$40,1)),A230&lt;=INDEX(Sezoane!$D$6:$D$40,MATCH(A230,Sezoane!$C$6:$C$40,1))),INDEX('Prețuri de setat'!$I$5:$I$39,MATCH(A230,Sezoane!$C$6:$C$40,1)),"")</f>
        <v>852</v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primavara-2027</v>
      </c>
      <c r="D231" s="43" t="n">
        <f aca="false">IF(AND(ISNUMBER(MATCH(A231,Sezoane!$C$6:$C$40,1)),A231&lt;=INDEX(Sezoane!$D$6:$D$40,MATCH(A231,Sezoane!$C$6:$C$40,1))),INDEX(Sezoane!$F$6:$F$40,MATCH(A231,Sezoane!$C$6:$C$40,1)),"")</f>
        <v>2</v>
      </c>
      <c r="E231" s="44" t="n">
        <f aca="false">IF(AND(ISNUMBER(MATCH(A231,Sezoane!$C$6:$C$40,1)),A231&lt;=INDEX(Sezoane!$D$6:$D$40,MATCH(A231,Sezoane!$C$6:$C$40,1))),INDEX('Prețuri de setat'!$E$5:$E$39,MATCH(A231,Sezoane!$C$6:$C$40,1)),"")</f>
        <v>900</v>
      </c>
      <c r="F231" s="44" t="n">
        <f aca="false">IF(AND(ISNUMBER(MATCH(A231,Sezoane!$C$6:$C$40,1)),A231&lt;=INDEX(Sezoane!$D$6:$D$40,MATCH(A231,Sezoane!$C$6:$C$40,1))),INDEX('Prețuri de setat'!$F$5:$F$39,MATCH(A231,Sezoane!$C$6:$C$40,1)),"")</f>
        <v>1130</v>
      </c>
      <c r="G231" s="44" t="n">
        <f aca="false">IF(AND(ISNUMBER(MATCH(A231,Sezoane!$C$6:$C$40,1)),A231&lt;=INDEX(Sezoane!$D$6:$D$40,MATCH(A231,Sezoane!$C$6:$C$40,1))),INDEX('Prețuri de setat'!$G$5:$G$39,MATCH(A231,Sezoane!$C$6:$C$40,1)),"")</f>
        <v>1020</v>
      </c>
      <c r="H231" s="44" t="n">
        <f aca="false">IF(AND(ISNUMBER(MATCH(A231,Sezoane!$C$6:$C$40,1)),A231&lt;=INDEX(Sezoane!$D$6:$D$40,MATCH(A231,Sezoane!$C$6:$C$40,1))),INDEX('Prețuri de setat'!$H$5:$H$39,MATCH(A231,Sezoane!$C$6:$C$40,1)),"")</f>
        <v>980</v>
      </c>
      <c r="I231" s="44" t="n">
        <f aca="false">IF(AND(ISNUMBER(MATCH(A231,Sezoane!$C$6:$C$40,1)),A231&lt;=INDEX(Sezoane!$D$6:$D$40,MATCH(A231,Sezoane!$C$6:$C$40,1))),INDEX('Prețuri de setat'!$I$5:$I$39,MATCH(A231,Sezoane!$C$6:$C$40,1)),"")</f>
        <v>852</v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primavara-2027</v>
      </c>
      <c r="D232" s="43" t="n">
        <f aca="false">IF(AND(ISNUMBER(MATCH(A232,Sezoane!$C$6:$C$40,1)),A232&lt;=INDEX(Sezoane!$D$6:$D$40,MATCH(A232,Sezoane!$C$6:$C$40,1))),INDEX(Sezoane!$F$6:$F$40,MATCH(A232,Sezoane!$C$6:$C$40,1)),"")</f>
        <v>2</v>
      </c>
      <c r="E232" s="44" t="n">
        <f aca="false">IF(AND(ISNUMBER(MATCH(A232,Sezoane!$C$6:$C$40,1)),A232&lt;=INDEX(Sezoane!$D$6:$D$40,MATCH(A232,Sezoane!$C$6:$C$40,1))),INDEX('Prețuri de setat'!$E$5:$E$39,MATCH(A232,Sezoane!$C$6:$C$40,1)),"")</f>
        <v>900</v>
      </c>
      <c r="F232" s="44" t="n">
        <f aca="false">IF(AND(ISNUMBER(MATCH(A232,Sezoane!$C$6:$C$40,1)),A232&lt;=INDEX(Sezoane!$D$6:$D$40,MATCH(A232,Sezoane!$C$6:$C$40,1))),INDEX('Prețuri de setat'!$F$5:$F$39,MATCH(A232,Sezoane!$C$6:$C$40,1)),"")</f>
        <v>1130</v>
      </c>
      <c r="G232" s="44" t="n">
        <f aca="false">IF(AND(ISNUMBER(MATCH(A232,Sezoane!$C$6:$C$40,1)),A232&lt;=INDEX(Sezoane!$D$6:$D$40,MATCH(A232,Sezoane!$C$6:$C$40,1))),INDEX('Prețuri de setat'!$G$5:$G$39,MATCH(A232,Sezoane!$C$6:$C$40,1)),"")</f>
        <v>1020</v>
      </c>
      <c r="H232" s="44" t="n">
        <f aca="false">IF(AND(ISNUMBER(MATCH(A232,Sezoane!$C$6:$C$40,1)),A232&lt;=INDEX(Sezoane!$D$6:$D$40,MATCH(A232,Sezoane!$C$6:$C$40,1))),INDEX('Prețuri de setat'!$H$5:$H$39,MATCH(A232,Sezoane!$C$6:$C$40,1)),"")</f>
        <v>980</v>
      </c>
      <c r="I232" s="44" t="n">
        <f aca="false">IF(AND(ISNUMBER(MATCH(A232,Sezoane!$C$6:$C$40,1)),A232&lt;=INDEX(Sezoane!$D$6:$D$40,MATCH(A232,Sezoane!$C$6:$C$40,1))),INDEX('Prețuri de setat'!$I$5:$I$39,MATCH(A232,Sezoane!$C$6:$C$40,1)),"")</f>
        <v>852</v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primavara-2027</v>
      </c>
      <c r="D233" s="43" t="n">
        <f aca="false">IF(AND(ISNUMBER(MATCH(A233,Sezoane!$C$6:$C$40,1)),A233&lt;=INDEX(Sezoane!$D$6:$D$40,MATCH(A233,Sezoane!$C$6:$C$40,1))),INDEX(Sezoane!$F$6:$F$40,MATCH(A233,Sezoane!$C$6:$C$40,1)),"")</f>
        <v>2</v>
      </c>
      <c r="E233" s="44" t="n">
        <f aca="false">IF(AND(ISNUMBER(MATCH(A233,Sezoane!$C$6:$C$40,1)),A233&lt;=INDEX(Sezoane!$D$6:$D$40,MATCH(A233,Sezoane!$C$6:$C$40,1))),INDEX('Prețuri de setat'!$E$5:$E$39,MATCH(A233,Sezoane!$C$6:$C$40,1)),"")</f>
        <v>900</v>
      </c>
      <c r="F233" s="44" t="n">
        <f aca="false">IF(AND(ISNUMBER(MATCH(A233,Sezoane!$C$6:$C$40,1)),A233&lt;=INDEX(Sezoane!$D$6:$D$40,MATCH(A233,Sezoane!$C$6:$C$40,1))),INDEX('Prețuri de setat'!$F$5:$F$39,MATCH(A233,Sezoane!$C$6:$C$40,1)),"")</f>
        <v>1130</v>
      </c>
      <c r="G233" s="44" t="n">
        <f aca="false">IF(AND(ISNUMBER(MATCH(A233,Sezoane!$C$6:$C$40,1)),A233&lt;=INDEX(Sezoane!$D$6:$D$40,MATCH(A233,Sezoane!$C$6:$C$40,1))),INDEX('Prețuri de setat'!$G$5:$G$39,MATCH(A233,Sezoane!$C$6:$C$40,1)),"")</f>
        <v>1020</v>
      </c>
      <c r="H233" s="44" t="n">
        <f aca="false">IF(AND(ISNUMBER(MATCH(A233,Sezoane!$C$6:$C$40,1)),A233&lt;=INDEX(Sezoane!$D$6:$D$40,MATCH(A233,Sezoane!$C$6:$C$40,1))),INDEX('Prețuri de setat'!$H$5:$H$39,MATCH(A233,Sezoane!$C$6:$C$40,1)),"")</f>
        <v>980</v>
      </c>
      <c r="I233" s="44" t="n">
        <f aca="false">IF(AND(ISNUMBER(MATCH(A233,Sezoane!$C$6:$C$40,1)),A233&lt;=INDEX(Sezoane!$D$6:$D$40,MATCH(A233,Sezoane!$C$6:$C$40,1))),INDEX('Prețuri de setat'!$I$5:$I$39,MATCH(A233,Sezoane!$C$6:$C$40,1)),"")</f>
        <v>852</v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primavara-2027</v>
      </c>
      <c r="D234" s="43" t="n">
        <f aca="false">IF(AND(ISNUMBER(MATCH(A234,Sezoane!$C$6:$C$40,1)),A234&lt;=INDEX(Sezoane!$D$6:$D$40,MATCH(A234,Sezoane!$C$6:$C$40,1))),INDEX(Sezoane!$F$6:$F$40,MATCH(A234,Sezoane!$C$6:$C$40,1)),"")</f>
        <v>2</v>
      </c>
      <c r="E234" s="44" t="n">
        <f aca="false">IF(AND(ISNUMBER(MATCH(A234,Sezoane!$C$6:$C$40,1)),A234&lt;=INDEX(Sezoane!$D$6:$D$40,MATCH(A234,Sezoane!$C$6:$C$40,1))),INDEX('Prețuri de setat'!$E$5:$E$39,MATCH(A234,Sezoane!$C$6:$C$40,1)),"")</f>
        <v>900</v>
      </c>
      <c r="F234" s="44" t="n">
        <f aca="false">IF(AND(ISNUMBER(MATCH(A234,Sezoane!$C$6:$C$40,1)),A234&lt;=INDEX(Sezoane!$D$6:$D$40,MATCH(A234,Sezoane!$C$6:$C$40,1))),INDEX('Prețuri de setat'!$F$5:$F$39,MATCH(A234,Sezoane!$C$6:$C$40,1)),"")</f>
        <v>1130</v>
      </c>
      <c r="G234" s="44" t="n">
        <f aca="false">IF(AND(ISNUMBER(MATCH(A234,Sezoane!$C$6:$C$40,1)),A234&lt;=INDEX(Sezoane!$D$6:$D$40,MATCH(A234,Sezoane!$C$6:$C$40,1))),INDEX('Prețuri de setat'!$G$5:$G$39,MATCH(A234,Sezoane!$C$6:$C$40,1)),"")</f>
        <v>1020</v>
      </c>
      <c r="H234" s="44" t="n">
        <f aca="false">IF(AND(ISNUMBER(MATCH(A234,Sezoane!$C$6:$C$40,1)),A234&lt;=INDEX(Sezoane!$D$6:$D$40,MATCH(A234,Sezoane!$C$6:$C$40,1))),INDEX('Prețuri de setat'!$H$5:$H$39,MATCH(A234,Sezoane!$C$6:$C$40,1)),"")</f>
        <v>980</v>
      </c>
      <c r="I234" s="44" t="n">
        <f aca="false">IF(AND(ISNUMBER(MATCH(A234,Sezoane!$C$6:$C$40,1)),A234&lt;=INDEX(Sezoane!$D$6:$D$40,MATCH(A234,Sezoane!$C$6:$C$40,1))),INDEX('Prețuri de setat'!$I$5:$I$39,MATCH(A234,Sezoane!$C$6:$C$40,1)),"")</f>
        <v>852</v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primavara-2027</v>
      </c>
      <c r="D235" s="43" t="n">
        <f aca="false">IF(AND(ISNUMBER(MATCH(A235,Sezoane!$C$6:$C$40,1)),A235&lt;=INDEX(Sezoane!$D$6:$D$40,MATCH(A235,Sezoane!$C$6:$C$40,1))),INDEX(Sezoane!$F$6:$F$40,MATCH(A235,Sezoane!$C$6:$C$40,1)),"")</f>
        <v>2</v>
      </c>
      <c r="E235" s="44" t="n">
        <f aca="false">IF(AND(ISNUMBER(MATCH(A235,Sezoane!$C$6:$C$40,1)),A235&lt;=INDEX(Sezoane!$D$6:$D$40,MATCH(A235,Sezoane!$C$6:$C$40,1))),INDEX('Prețuri de setat'!$E$5:$E$39,MATCH(A235,Sezoane!$C$6:$C$40,1)),"")</f>
        <v>900</v>
      </c>
      <c r="F235" s="44" t="n">
        <f aca="false">IF(AND(ISNUMBER(MATCH(A235,Sezoane!$C$6:$C$40,1)),A235&lt;=INDEX(Sezoane!$D$6:$D$40,MATCH(A235,Sezoane!$C$6:$C$40,1))),INDEX('Prețuri de setat'!$F$5:$F$39,MATCH(A235,Sezoane!$C$6:$C$40,1)),"")</f>
        <v>1130</v>
      </c>
      <c r="G235" s="44" t="n">
        <f aca="false">IF(AND(ISNUMBER(MATCH(A235,Sezoane!$C$6:$C$40,1)),A235&lt;=INDEX(Sezoane!$D$6:$D$40,MATCH(A235,Sezoane!$C$6:$C$40,1))),INDEX('Prețuri de setat'!$G$5:$G$39,MATCH(A235,Sezoane!$C$6:$C$40,1)),"")</f>
        <v>1020</v>
      </c>
      <c r="H235" s="44" t="n">
        <f aca="false">IF(AND(ISNUMBER(MATCH(A235,Sezoane!$C$6:$C$40,1)),A235&lt;=INDEX(Sezoane!$D$6:$D$40,MATCH(A235,Sezoane!$C$6:$C$40,1))),INDEX('Prețuri de setat'!$H$5:$H$39,MATCH(A235,Sezoane!$C$6:$C$40,1)),"")</f>
        <v>980</v>
      </c>
      <c r="I235" s="44" t="n">
        <f aca="false">IF(AND(ISNUMBER(MATCH(A235,Sezoane!$C$6:$C$40,1)),A235&lt;=INDEX(Sezoane!$D$6:$D$40,MATCH(A235,Sezoane!$C$6:$C$40,1))),INDEX('Prețuri de setat'!$I$5:$I$39,MATCH(A235,Sezoane!$C$6:$C$40,1)),"")</f>
        <v>852</v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primavara-2027</v>
      </c>
      <c r="D236" s="43" t="n">
        <f aca="false">IF(AND(ISNUMBER(MATCH(A236,Sezoane!$C$6:$C$40,1)),A236&lt;=INDEX(Sezoane!$D$6:$D$40,MATCH(A236,Sezoane!$C$6:$C$40,1))),INDEX(Sezoane!$F$6:$F$40,MATCH(A236,Sezoane!$C$6:$C$40,1)),"")</f>
        <v>2</v>
      </c>
      <c r="E236" s="44" t="n">
        <f aca="false">IF(AND(ISNUMBER(MATCH(A236,Sezoane!$C$6:$C$40,1)),A236&lt;=INDEX(Sezoane!$D$6:$D$40,MATCH(A236,Sezoane!$C$6:$C$40,1))),INDEX('Prețuri de setat'!$E$5:$E$39,MATCH(A236,Sezoane!$C$6:$C$40,1)),"")</f>
        <v>900</v>
      </c>
      <c r="F236" s="44" t="n">
        <f aca="false">IF(AND(ISNUMBER(MATCH(A236,Sezoane!$C$6:$C$40,1)),A236&lt;=INDEX(Sezoane!$D$6:$D$40,MATCH(A236,Sezoane!$C$6:$C$40,1))),INDEX('Prețuri de setat'!$F$5:$F$39,MATCH(A236,Sezoane!$C$6:$C$40,1)),"")</f>
        <v>1130</v>
      </c>
      <c r="G236" s="44" t="n">
        <f aca="false">IF(AND(ISNUMBER(MATCH(A236,Sezoane!$C$6:$C$40,1)),A236&lt;=INDEX(Sezoane!$D$6:$D$40,MATCH(A236,Sezoane!$C$6:$C$40,1))),INDEX('Prețuri de setat'!$G$5:$G$39,MATCH(A236,Sezoane!$C$6:$C$40,1)),"")</f>
        <v>1020</v>
      </c>
      <c r="H236" s="44" t="n">
        <f aca="false">IF(AND(ISNUMBER(MATCH(A236,Sezoane!$C$6:$C$40,1)),A236&lt;=INDEX(Sezoane!$D$6:$D$40,MATCH(A236,Sezoane!$C$6:$C$40,1))),INDEX('Prețuri de setat'!$H$5:$H$39,MATCH(A236,Sezoane!$C$6:$C$40,1)),"")</f>
        <v>980</v>
      </c>
      <c r="I236" s="44" t="n">
        <f aca="false">IF(AND(ISNUMBER(MATCH(A236,Sezoane!$C$6:$C$40,1)),A236&lt;=INDEX(Sezoane!$D$6:$D$40,MATCH(A236,Sezoane!$C$6:$C$40,1))),INDEX('Prețuri de setat'!$I$5:$I$39,MATCH(A236,Sezoane!$C$6:$C$40,1)),"")</f>
        <v>852</v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primavara-2027</v>
      </c>
      <c r="D237" s="43" t="n">
        <f aca="false">IF(AND(ISNUMBER(MATCH(A237,Sezoane!$C$6:$C$40,1)),A237&lt;=INDEX(Sezoane!$D$6:$D$40,MATCH(A237,Sezoane!$C$6:$C$40,1))),INDEX(Sezoane!$F$6:$F$40,MATCH(A237,Sezoane!$C$6:$C$40,1)),"")</f>
        <v>2</v>
      </c>
      <c r="E237" s="44" t="n">
        <f aca="false">IF(AND(ISNUMBER(MATCH(A237,Sezoane!$C$6:$C$40,1)),A237&lt;=INDEX(Sezoane!$D$6:$D$40,MATCH(A237,Sezoane!$C$6:$C$40,1))),INDEX('Prețuri de setat'!$E$5:$E$39,MATCH(A237,Sezoane!$C$6:$C$40,1)),"")</f>
        <v>900</v>
      </c>
      <c r="F237" s="44" t="n">
        <f aca="false">IF(AND(ISNUMBER(MATCH(A237,Sezoane!$C$6:$C$40,1)),A237&lt;=INDEX(Sezoane!$D$6:$D$40,MATCH(A237,Sezoane!$C$6:$C$40,1))),INDEX('Prețuri de setat'!$F$5:$F$39,MATCH(A237,Sezoane!$C$6:$C$40,1)),"")</f>
        <v>1130</v>
      </c>
      <c r="G237" s="44" t="n">
        <f aca="false">IF(AND(ISNUMBER(MATCH(A237,Sezoane!$C$6:$C$40,1)),A237&lt;=INDEX(Sezoane!$D$6:$D$40,MATCH(A237,Sezoane!$C$6:$C$40,1))),INDEX('Prețuri de setat'!$G$5:$G$39,MATCH(A237,Sezoane!$C$6:$C$40,1)),"")</f>
        <v>1020</v>
      </c>
      <c r="H237" s="44" t="n">
        <f aca="false">IF(AND(ISNUMBER(MATCH(A237,Sezoane!$C$6:$C$40,1)),A237&lt;=INDEX(Sezoane!$D$6:$D$40,MATCH(A237,Sezoane!$C$6:$C$40,1))),INDEX('Prețuri de setat'!$H$5:$H$39,MATCH(A237,Sezoane!$C$6:$C$40,1)),"")</f>
        <v>980</v>
      </c>
      <c r="I237" s="44" t="n">
        <f aca="false">IF(AND(ISNUMBER(MATCH(A237,Sezoane!$C$6:$C$40,1)),A237&lt;=INDEX(Sezoane!$D$6:$D$40,MATCH(A237,Sezoane!$C$6:$C$40,1))),INDEX('Prețuri de setat'!$I$5:$I$39,MATCH(A237,Sezoane!$C$6:$C$40,1)),"")</f>
        <v>852</v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primavara-2027</v>
      </c>
      <c r="D238" s="43" t="n">
        <f aca="false">IF(AND(ISNUMBER(MATCH(A238,Sezoane!$C$6:$C$40,1)),A238&lt;=INDEX(Sezoane!$D$6:$D$40,MATCH(A238,Sezoane!$C$6:$C$40,1))),INDEX(Sezoane!$F$6:$F$40,MATCH(A238,Sezoane!$C$6:$C$40,1)),"")</f>
        <v>2</v>
      </c>
      <c r="E238" s="44" t="n">
        <f aca="false">IF(AND(ISNUMBER(MATCH(A238,Sezoane!$C$6:$C$40,1)),A238&lt;=INDEX(Sezoane!$D$6:$D$40,MATCH(A238,Sezoane!$C$6:$C$40,1))),INDEX('Prețuri de setat'!$E$5:$E$39,MATCH(A238,Sezoane!$C$6:$C$40,1)),"")</f>
        <v>900</v>
      </c>
      <c r="F238" s="44" t="n">
        <f aca="false">IF(AND(ISNUMBER(MATCH(A238,Sezoane!$C$6:$C$40,1)),A238&lt;=INDEX(Sezoane!$D$6:$D$40,MATCH(A238,Sezoane!$C$6:$C$40,1))),INDEX('Prețuri de setat'!$F$5:$F$39,MATCH(A238,Sezoane!$C$6:$C$40,1)),"")</f>
        <v>1130</v>
      </c>
      <c r="G238" s="44" t="n">
        <f aca="false">IF(AND(ISNUMBER(MATCH(A238,Sezoane!$C$6:$C$40,1)),A238&lt;=INDEX(Sezoane!$D$6:$D$40,MATCH(A238,Sezoane!$C$6:$C$40,1))),INDEX('Prețuri de setat'!$G$5:$G$39,MATCH(A238,Sezoane!$C$6:$C$40,1)),"")</f>
        <v>1020</v>
      </c>
      <c r="H238" s="44" t="n">
        <f aca="false">IF(AND(ISNUMBER(MATCH(A238,Sezoane!$C$6:$C$40,1)),A238&lt;=INDEX(Sezoane!$D$6:$D$40,MATCH(A238,Sezoane!$C$6:$C$40,1))),INDEX('Prețuri de setat'!$H$5:$H$39,MATCH(A238,Sezoane!$C$6:$C$40,1)),"")</f>
        <v>980</v>
      </c>
      <c r="I238" s="44" t="n">
        <f aca="false">IF(AND(ISNUMBER(MATCH(A238,Sezoane!$C$6:$C$40,1)),A238&lt;=INDEX(Sezoane!$D$6:$D$40,MATCH(A238,Sezoane!$C$6:$C$40,1))),INDEX('Prețuri de setat'!$I$5:$I$39,MATCH(A238,Sezoane!$C$6:$C$40,1)),"")</f>
        <v>852</v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primavara-2027</v>
      </c>
      <c r="D239" s="43" t="n">
        <f aca="false">IF(AND(ISNUMBER(MATCH(A239,Sezoane!$C$6:$C$40,1)),A239&lt;=INDEX(Sezoane!$D$6:$D$40,MATCH(A239,Sezoane!$C$6:$C$40,1))),INDEX(Sezoane!$F$6:$F$40,MATCH(A239,Sezoane!$C$6:$C$40,1)),"")</f>
        <v>2</v>
      </c>
      <c r="E239" s="44" t="n">
        <f aca="false">IF(AND(ISNUMBER(MATCH(A239,Sezoane!$C$6:$C$40,1)),A239&lt;=INDEX(Sezoane!$D$6:$D$40,MATCH(A239,Sezoane!$C$6:$C$40,1))),INDEX('Prețuri de setat'!$E$5:$E$39,MATCH(A239,Sezoane!$C$6:$C$40,1)),"")</f>
        <v>900</v>
      </c>
      <c r="F239" s="44" t="n">
        <f aca="false">IF(AND(ISNUMBER(MATCH(A239,Sezoane!$C$6:$C$40,1)),A239&lt;=INDEX(Sezoane!$D$6:$D$40,MATCH(A239,Sezoane!$C$6:$C$40,1))),INDEX('Prețuri de setat'!$F$5:$F$39,MATCH(A239,Sezoane!$C$6:$C$40,1)),"")</f>
        <v>1130</v>
      </c>
      <c r="G239" s="44" t="n">
        <f aca="false">IF(AND(ISNUMBER(MATCH(A239,Sezoane!$C$6:$C$40,1)),A239&lt;=INDEX(Sezoane!$D$6:$D$40,MATCH(A239,Sezoane!$C$6:$C$40,1))),INDEX('Prețuri de setat'!$G$5:$G$39,MATCH(A239,Sezoane!$C$6:$C$40,1)),"")</f>
        <v>1020</v>
      </c>
      <c r="H239" s="44" t="n">
        <f aca="false">IF(AND(ISNUMBER(MATCH(A239,Sezoane!$C$6:$C$40,1)),A239&lt;=INDEX(Sezoane!$D$6:$D$40,MATCH(A239,Sezoane!$C$6:$C$40,1))),INDEX('Prețuri de setat'!$H$5:$H$39,MATCH(A239,Sezoane!$C$6:$C$40,1)),"")</f>
        <v>980</v>
      </c>
      <c r="I239" s="44" t="n">
        <f aca="false">IF(AND(ISNUMBER(MATCH(A239,Sezoane!$C$6:$C$40,1)),A239&lt;=INDEX(Sezoane!$D$6:$D$40,MATCH(A239,Sezoane!$C$6:$C$40,1))),INDEX('Prețuri de setat'!$I$5:$I$39,MATCH(A239,Sezoane!$C$6:$C$40,1)),"")</f>
        <v>852</v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primavara-2027</v>
      </c>
      <c r="D240" s="43" t="n">
        <f aca="false">IF(AND(ISNUMBER(MATCH(A240,Sezoane!$C$6:$C$40,1)),A240&lt;=INDEX(Sezoane!$D$6:$D$40,MATCH(A240,Sezoane!$C$6:$C$40,1))),INDEX(Sezoane!$F$6:$F$40,MATCH(A240,Sezoane!$C$6:$C$40,1)),"")</f>
        <v>2</v>
      </c>
      <c r="E240" s="44" t="n">
        <f aca="false">IF(AND(ISNUMBER(MATCH(A240,Sezoane!$C$6:$C$40,1)),A240&lt;=INDEX(Sezoane!$D$6:$D$40,MATCH(A240,Sezoane!$C$6:$C$40,1))),INDEX('Prețuri de setat'!$E$5:$E$39,MATCH(A240,Sezoane!$C$6:$C$40,1)),"")</f>
        <v>900</v>
      </c>
      <c r="F240" s="44" t="n">
        <f aca="false">IF(AND(ISNUMBER(MATCH(A240,Sezoane!$C$6:$C$40,1)),A240&lt;=INDEX(Sezoane!$D$6:$D$40,MATCH(A240,Sezoane!$C$6:$C$40,1))),INDEX('Prețuri de setat'!$F$5:$F$39,MATCH(A240,Sezoane!$C$6:$C$40,1)),"")</f>
        <v>1130</v>
      </c>
      <c r="G240" s="44" t="n">
        <f aca="false">IF(AND(ISNUMBER(MATCH(A240,Sezoane!$C$6:$C$40,1)),A240&lt;=INDEX(Sezoane!$D$6:$D$40,MATCH(A240,Sezoane!$C$6:$C$40,1))),INDEX('Prețuri de setat'!$G$5:$G$39,MATCH(A240,Sezoane!$C$6:$C$40,1)),"")</f>
        <v>1020</v>
      </c>
      <c r="H240" s="44" t="n">
        <f aca="false">IF(AND(ISNUMBER(MATCH(A240,Sezoane!$C$6:$C$40,1)),A240&lt;=INDEX(Sezoane!$D$6:$D$40,MATCH(A240,Sezoane!$C$6:$C$40,1))),INDEX('Prețuri de setat'!$H$5:$H$39,MATCH(A240,Sezoane!$C$6:$C$40,1)),"")</f>
        <v>980</v>
      </c>
      <c r="I240" s="44" t="n">
        <f aca="false">IF(AND(ISNUMBER(MATCH(A240,Sezoane!$C$6:$C$40,1)),A240&lt;=INDEX(Sezoane!$D$6:$D$40,MATCH(A240,Sezoane!$C$6:$C$40,1))),INDEX('Prețuri de setat'!$I$5:$I$39,MATCH(A240,Sezoane!$C$6:$C$40,1)),"")</f>
        <v>852</v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primavara-2027</v>
      </c>
      <c r="D241" s="43" t="n">
        <f aca="false">IF(AND(ISNUMBER(MATCH(A241,Sezoane!$C$6:$C$40,1)),A241&lt;=INDEX(Sezoane!$D$6:$D$40,MATCH(A241,Sezoane!$C$6:$C$40,1))),INDEX(Sezoane!$F$6:$F$40,MATCH(A241,Sezoane!$C$6:$C$40,1)),"")</f>
        <v>2</v>
      </c>
      <c r="E241" s="44" t="n">
        <f aca="false">IF(AND(ISNUMBER(MATCH(A241,Sezoane!$C$6:$C$40,1)),A241&lt;=INDEX(Sezoane!$D$6:$D$40,MATCH(A241,Sezoane!$C$6:$C$40,1))),INDEX('Prețuri de setat'!$E$5:$E$39,MATCH(A241,Sezoane!$C$6:$C$40,1)),"")</f>
        <v>900</v>
      </c>
      <c r="F241" s="44" t="n">
        <f aca="false">IF(AND(ISNUMBER(MATCH(A241,Sezoane!$C$6:$C$40,1)),A241&lt;=INDEX(Sezoane!$D$6:$D$40,MATCH(A241,Sezoane!$C$6:$C$40,1))),INDEX('Prețuri de setat'!$F$5:$F$39,MATCH(A241,Sezoane!$C$6:$C$40,1)),"")</f>
        <v>1130</v>
      </c>
      <c r="G241" s="44" t="n">
        <f aca="false">IF(AND(ISNUMBER(MATCH(A241,Sezoane!$C$6:$C$40,1)),A241&lt;=INDEX(Sezoane!$D$6:$D$40,MATCH(A241,Sezoane!$C$6:$C$40,1))),INDEX('Prețuri de setat'!$G$5:$G$39,MATCH(A241,Sezoane!$C$6:$C$40,1)),"")</f>
        <v>1020</v>
      </c>
      <c r="H241" s="44" t="n">
        <f aca="false">IF(AND(ISNUMBER(MATCH(A241,Sezoane!$C$6:$C$40,1)),A241&lt;=INDEX(Sezoane!$D$6:$D$40,MATCH(A241,Sezoane!$C$6:$C$40,1))),INDEX('Prețuri de setat'!$H$5:$H$39,MATCH(A241,Sezoane!$C$6:$C$40,1)),"")</f>
        <v>980</v>
      </c>
      <c r="I241" s="44" t="n">
        <f aca="false">IF(AND(ISNUMBER(MATCH(A241,Sezoane!$C$6:$C$40,1)),A241&lt;=INDEX(Sezoane!$D$6:$D$40,MATCH(A241,Sezoane!$C$6:$C$40,1))),INDEX('Prețuri de setat'!$I$5:$I$39,MATCH(A241,Sezoane!$C$6:$C$40,1)),"")</f>
        <v>852</v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primavara-2027</v>
      </c>
      <c r="D242" s="43" t="n">
        <f aca="false">IF(AND(ISNUMBER(MATCH(A242,Sezoane!$C$6:$C$40,1)),A242&lt;=INDEX(Sezoane!$D$6:$D$40,MATCH(A242,Sezoane!$C$6:$C$40,1))),INDEX(Sezoane!$F$6:$F$40,MATCH(A242,Sezoane!$C$6:$C$40,1)),"")</f>
        <v>2</v>
      </c>
      <c r="E242" s="44" t="n">
        <f aca="false">IF(AND(ISNUMBER(MATCH(A242,Sezoane!$C$6:$C$40,1)),A242&lt;=INDEX(Sezoane!$D$6:$D$40,MATCH(A242,Sezoane!$C$6:$C$40,1))),INDEX('Prețuri de setat'!$E$5:$E$39,MATCH(A242,Sezoane!$C$6:$C$40,1)),"")</f>
        <v>900</v>
      </c>
      <c r="F242" s="44" t="n">
        <f aca="false">IF(AND(ISNUMBER(MATCH(A242,Sezoane!$C$6:$C$40,1)),A242&lt;=INDEX(Sezoane!$D$6:$D$40,MATCH(A242,Sezoane!$C$6:$C$40,1))),INDEX('Prețuri de setat'!$F$5:$F$39,MATCH(A242,Sezoane!$C$6:$C$40,1)),"")</f>
        <v>1130</v>
      </c>
      <c r="G242" s="44" t="n">
        <f aca="false">IF(AND(ISNUMBER(MATCH(A242,Sezoane!$C$6:$C$40,1)),A242&lt;=INDEX(Sezoane!$D$6:$D$40,MATCH(A242,Sezoane!$C$6:$C$40,1))),INDEX('Prețuri de setat'!$G$5:$G$39,MATCH(A242,Sezoane!$C$6:$C$40,1)),"")</f>
        <v>1020</v>
      </c>
      <c r="H242" s="44" t="n">
        <f aca="false">IF(AND(ISNUMBER(MATCH(A242,Sezoane!$C$6:$C$40,1)),A242&lt;=INDEX(Sezoane!$D$6:$D$40,MATCH(A242,Sezoane!$C$6:$C$40,1))),INDEX('Prețuri de setat'!$H$5:$H$39,MATCH(A242,Sezoane!$C$6:$C$40,1)),"")</f>
        <v>980</v>
      </c>
      <c r="I242" s="44" t="n">
        <f aca="false">IF(AND(ISNUMBER(MATCH(A242,Sezoane!$C$6:$C$40,1)),A242&lt;=INDEX(Sezoane!$D$6:$D$40,MATCH(A242,Sezoane!$C$6:$C$40,1))),INDEX('Prețuri de setat'!$I$5:$I$39,MATCH(A242,Sezoane!$C$6:$C$40,1)),"")</f>
        <v>852</v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primavara-2027</v>
      </c>
      <c r="D243" s="43" t="n">
        <f aca="false">IF(AND(ISNUMBER(MATCH(A243,Sezoane!$C$6:$C$40,1)),A243&lt;=INDEX(Sezoane!$D$6:$D$40,MATCH(A243,Sezoane!$C$6:$C$40,1))),INDEX(Sezoane!$F$6:$F$40,MATCH(A243,Sezoane!$C$6:$C$40,1)),"")</f>
        <v>2</v>
      </c>
      <c r="E243" s="44" t="n">
        <f aca="false">IF(AND(ISNUMBER(MATCH(A243,Sezoane!$C$6:$C$40,1)),A243&lt;=INDEX(Sezoane!$D$6:$D$40,MATCH(A243,Sezoane!$C$6:$C$40,1))),INDEX('Prețuri de setat'!$E$5:$E$39,MATCH(A243,Sezoane!$C$6:$C$40,1)),"")</f>
        <v>900</v>
      </c>
      <c r="F243" s="44" t="n">
        <f aca="false">IF(AND(ISNUMBER(MATCH(A243,Sezoane!$C$6:$C$40,1)),A243&lt;=INDEX(Sezoane!$D$6:$D$40,MATCH(A243,Sezoane!$C$6:$C$40,1))),INDEX('Prețuri de setat'!$F$5:$F$39,MATCH(A243,Sezoane!$C$6:$C$40,1)),"")</f>
        <v>1130</v>
      </c>
      <c r="G243" s="44" t="n">
        <f aca="false">IF(AND(ISNUMBER(MATCH(A243,Sezoane!$C$6:$C$40,1)),A243&lt;=INDEX(Sezoane!$D$6:$D$40,MATCH(A243,Sezoane!$C$6:$C$40,1))),INDEX('Prețuri de setat'!$G$5:$G$39,MATCH(A243,Sezoane!$C$6:$C$40,1)),"")</f>
        <v>1020</v>
      </c>
      <c r="H243" s="44" t="n">
        <f aca="false">IF(AND(ISNUMBER(MATCH(A243,Sezoane!$C$6:$C$40,1)),A243&lt;=INDEX(Sezoane!$D$6:$D$40,MATCH(A243,Sezoane!$C$6:$C$40,1))),INDEX('Prețuri de setat'!$H$5:$H$39,MATCH(A243,Sezoane!$C$6:$C$40,1)),"")</f>
        <v>980</v>
      </c>
      <c r="I243" s="44" t="n">
        <f aca="false">IF(AND(ISNUMBER(MATCH(A243,Sezoane!$C$6:$C$40,1)),A243&lt;=INDEX(Sezoane!$D$6:$D$40,MATCH(A243,Sezoane!$C$6:$C$40,1))),INDEX('Prețuri de setat'!$I$5:$I$39,MATCH(A243,Sezoane!$C$6:$C$40,1)),"")</f>
        <v>852</v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primavara-2027</v>
      </c>
      <c r="D244" s="43" t="n">
        <f aca="false">IF(AND(ISNUMBER(MATCH(A244,Sezoane!$C$6:$C$40,1)),A244&lt;=INDEX(Sezoane!$D$6:$D$40,MATCH(A244,Sezoane!$C$6:$C$40,1))),INDEX(Sezoane!$F$6:$F$40,MATCH(A244,Sezoane!$C$6:$C$40,1)),"")</f>
        <v>2</v>
      </c>
      <c r="E244" s="44" t="n">
        <f aca="false">IF(AND(ISNUMBER(MATCH(A244,Sezoane!$C$6:$C$40,1)),A244&lt;=INDEX(Sezoane!$D$6:$D$40,MATCH(A244,Sezoane!$C$6:$C$40,1))),INDEX('Prețuri de setat'!$E$5:$E$39,MATCH(A244,Sezoane!$C$6:$C$40,1)),"")</f>
        <v>900</v>
      </c>
      <c r="F244" s="44" t="n">
        <f aca="false">IF(AND(ISNUMBER(MATCH(A244,Sezoane!$C$6:$C$40,1)),A244&lt;=INDEX(Sezoane!$D$6:$D$40,MATCH(A244,Sezoane!$C$6:$C$40,1))),INDEX('Prețuri de setat'!$F$5:$F$39,MATCH(A244,Sezoane!$C$6:$C$40,1)),"")</f>
        <v>1130</v>
      </c>
      <c r="G244" s="44" t="n">
        <f aca="false">IF(AND(ISNUMBER(MATCH(A244,Sezoane!$C$6:$C$40,1)),A244&lt;=INDEX(Sezoane!$D$6:$D$40,MATCH(A244,Sezoane!$C$6:$C$40,1))),INDEX('Prețuri de setat'!$G$5:$G$39,MATCH(A244,Sezoane!$C$6:$C$40,1)),"")</f>
        <v>1020</v>
      </c>
      <c r="H244" s="44" t="n">
        <f aca="false">IF(AND(ISNUMBER(MATCH(A244,Sezoane!$C$6:$C$40,1)),A244&lt;=INDEX(Sezoane!$D$6:$D$40,MATCH(A244,Sezoane!$C$6:$C$40,1))),INDEX('Prețuri de setat'!$H$5:$H$39,MATCH(A244,Sezoane!$C$6:$C$40,1)),"")</f>
        <v>980</v>
      </c>
      <c r="I244" s="44" t="n">
        <f aca="false">IF(AND(ISNUMBER(MATCH(A244,Sezoane!$C$6:$C$40,1)),A244&lt;=INDEX(Sezoane!$D$6:$D$40,MATCH(A244,Sezoane!$C$6:$C$40,1))),INDEX('Prețuri de setat'!$I$5:$I$39,MATCH(A244,Sezoane!$C$6:$C$40,1)),"")</f>
        <v>852</v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primavara-2027</v>
      </c>
      <c r="D245" s="43" t="n">
        <f aca="false">IF(AND(ISNUMBER(MATCH(A245,Sezoane!$C$6:$C$40,1)),A245&lt;=INDEX(Sezoane!$D$6:$D$40,MATCH(A245,Sezoane!$C$6:$C$40,1))),INDEX(Sezoane!$F$6:$F$40,MATCH(A245,Sezoane!$C$6:$C$40,1)),"")</f>
        <v>2</v>
      </c>
      <c r="E245" s="44" t="n">
        <f aca="false">IF(AND(ISNUMBER(MATCH(A245,Sezoane!$C$6:$C$40,1)),A245&lt;=INDEX(Sezoane!$D$6:$D$40,MATCH(A245,Sezoane!$C$6:$C$40,1))),INDEX('Prețuri de setat'!$E$5:$E$39,MATCH(A245,Sezoane!$C$6:$C$40,1)),"")</f>
        <v>900</v>
      </c>
      <c r="F245" s="44" t="n">
        <f aca="false">IF(AND(ISNUMBER(MATCH(A245,Sezoane!$C$6:$C$40,1)),A245&lt;=INDEX(Sezoane!$D$6:$D$40,MATCH(A245,Sezoane!$C$6:$C$40,1))),INDEX('Prețuri de setat'!$F$5:$F$39,MATCH(A245,Sezoane!$C$6:$C$40,1)),"")</f>
        <v>1130</v>
      </c>
      <c r="G245" s="44" t="n">
        <f aca="false">IF(AND(ISNUMBER(MATCH(A245,Sezoane!$C$6:$C$40,1)),A245&lt;=INDEX(Sezoane!$D$6:$D$40,MATCH(A245,Sezoane!$C$6:$C$40,1))),INDEX('Prețuri de setat'!$G$5:$G$39,MATCH(A245,Sezoane!$C$6:$C$40,1)),"")</f>
        <v>1020</v>
      </c>
      <c r="H245" s="44" t="n">
        <f aca="false">IF(AND(ISNUMBER(MATCH(A245,Sezoane!$C$6:$C$40,1)),A245&lt;=INDEX(Sezoane!$D$6:$D$40,MATCH(A245,Sezoane!$C$6:$C$40,1))),INDEX('Prețuri de setat'!$H$5:$H$39,MATCH(A245,Sezoane!$C$6:$C$40,1)),"")</f>
        <v>980</v>
      </c>
      <c r="I245" s="44" t="n">
        <f aca="false">IF(AND(ISNUMBER(MATCH(A245,Sezoane!$C$6:$C$40,1)),A245&lt;=INDEX(Sezoane!$D$6:$D$40,MATCH(A245,Sezoane!$C$6:$C$40,1))),INDEX('Prețuri de setat'!$I$5:$I$39,MATCH(A245,Sezoane!$C$6:$C$40,1)),"")</f>
        <v>852</v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primavara-2027</v>
      </c>
      <c r="D246" s="43" t="n">
        <f aca="false">IF(AND(ISNUMBER(MATCH(A246,Sezoane!$C$6:$C$40,1)),A246&lt;=INDEX(Sezoane!$D$6:$D$40,MATCH(A246,Sezoane!$C$6:$C$40,1))),INDEX(Sezoane!$F$6:$F$40,MATCH(A246,Sezoane!$C$6:$C$40,1)),"")</f>
        <v>2</v>
      </c>
      <c r="E246" s="44" t="n">
        <f aca="false">IF(AND(ISNUMBER(MATCH(A246,Sezoane!$C$6:$C$40,1)),A246&lt;=INDEX(Sezoane!$D$6:$D$40,MATCH(A246,Sezoane!$C$6:$C$40,1))),INDEX('Prețuri de setat'!$E$5:$E$39,MATCH(A246,Sezoane!$C$6:$C$40,1)),"")</f>
        <v>900</v>
      </c>
      <c r="F246" s="44" t="n">
        <f aca="false">IF(AND(ISNUMBER(MATCH(A246,Sezoane!$C$6:$C$40,1)),A246&lt;=INDEX(Sezoane!$D$6:$D$40,MATCH(A246,Sezoane!$C$6:$C$40,1))),INDEX('Prețuri de setat'!$F$5:$F$39,MATCH(A246,Sezoane!$C$6:$C$40,1)),"")</f>
        <v>1130</v>
      </c>
      <c r="G246" s="44" t="n">
        <f aca="false">IF(AND(ISNUMBER(MATCH(A246,Sezoane!$C$6:$C$40,1)),A246&lt;=INDEX(Sezoane!$D$6:$D$40,MATCH(A246,Sezoane!$C$6:$C$40,1))),INDEX('Prețuri de setat'!$G$5:$G$39,MATCH(A246,Sezoane!$C$6:$C$40,1)),"")</f>
        <v>1020</v>
      </c>
      <c r="H246" s="44" t="n">
        <f aca="false">IF(AND(ISNUMBER(MATCH(A246,Sezoane!$C$6:$C$40,1)),A246&lt;=INDEX(Sezoane!$D$6:$D$40,MATCH(A246,Sezoane!$C$6:$C$40,1))),INDEX('Prețuri de setat'!$H$5:$H$39,MATCH(A246,Sezoane!$C$6:$C$40,1)),"")</f>
        <v>980</v>
      </c>
      <c r="I246" s="44" t="n">
        <f aca="false">IF(AND(ISNUMBER(MATCH(A246,Sezoane!$C$6:$C$40,1)),A246&lt;=INDEX(Sezoane!$D$6:$D$40,MATCH(A246,Sezoane!$C$6:$C$40,1))),INDEX('Prețuri de setat'!$I$5:$I$39,MATCH(A246,Sezoane!$C$6:$C$40,1)),"")</f>
        <v>852</v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primavara-2027</v>
      </c>
      <c r="D247" s="43" t="n">
        <f aca="false">IF(AND(ISNUMBER(MATCH(A247,Sezoane!$C$6:$C$40,1)),A247&lt;=INDEX(Sezoane!$D$6:$D$40,MATCH(A247,Sezoane!$C$6:$C$40,1))),INDEX(Sezoane!$F$6:$F$40,MATCH(A247,Sezoane!$C$6:$C$40,1)),"")</f>
        <v>2</v>
      </c>
      <c r="E247" s="44" t="n">
        <f aca="false">IF(AND(ISNUMBER(MATCH(A247,Sezoane!$C$6:$C$40,1)),A247&lt;=INDEX(Sezoane!$D$6:$D$40,MATCH(A247,Sezoane!$C$6:$C$40,1))),INDEX('Prețuri de setat'!$E$5:$E$39,MATCH(A247,Sezoane!$C$6:$C$40,1)),"")</f>
        <v>900</v>
      </c>
      <c r="F247" s="44" t="n">
        <f aca="false">IF(AND(ISNUMBER(MATCH(A247,Sezoane!$C$6:$C$40,1)),A247&lt;=INDEX(Sezoane!$D$6:$D$40,MATCH(A247,Sezoane!$C$6:$C$40,1))),INDEX('Prețuri de setat'!$F$5:$F$39,MATCH(A247,Sezoane!$C$6:$C$40,1)),"")</f>
        <v>1130</v>
      </c>
      <c r="G247" s="44" t="n">
        <f aca="false">IF(AND(ISNUMBER(MATCH(A247,Sezoane!$C$6:$C$40,1)),A247&lt;=INDEX(Sezoane!$D$6:$D$40,MATCH(A247,Sezoane!$C$6:$C$40,1))),INDEX('Prețuri de setat'!$G$5:$G$39,MATCH(A247,Sezoane!$C$6:$C$40,1)),"")</f>
        <v>1020</v>
      </c>
      <c r="H247" s="44" t="n">
        <f aca="false">IF(AND(ISNUMBER(MATCH(A247,Sezoane!$C$6:$C$40,1)),A247&lt;=INDEX(Sezoane!$D$6:$D$40,MATCH(A247,Sezoane!$C$6:$C$40,1))),INDEX('Prețuri de setat'!$H$5:$H$39,MATCH(A247,Sezoane!$C$6:$C$40,1)),"")</f>
        <v>980</v>
      </c>
      <c r="I247" s="44" t="n">
        <f aca="false">IF(AND(ISNUMBER(MATCH(A247,Sezoane!$C$6:$C$40,1)),A247&lt;=INDEX(Sezoane!$D$6:$D$40,MATCH(A247,Sezoane!$C$6:$C$40,1))),INDEX('Prețuri de setat'!$I$5:$I$39,MATCH(A247,Sezoane!$C$6:$C$40,1)),"")</f>
        <v>852</v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primavara-2027</v>
      </c>
      <c r="D248" s="43" t="n">
        <f aca="false">IF(AND(ISNUMBER(MATCH(A248,Sezoane!$C$6:$C$40,1)),A248&lt;=INDEX(Sezoane!$D$6:$D$40,MATCH(A248,Sezoane!$C$6:$C$40,1))),INDEX(Sezoane!$F$6:$F$40,MATCH(A248,Sezoane!$C$6:$C$40,1)),"")</f>
        <v>2</v>
      </c>
      <c r="E248" s="44" t="n">
        <f aca="false">IF(AND(ISNUMBER(MATCH(A248,Sezoane!$C$6:$C$40,1)),A248&lt;=INDEX(Sezoane!$D$6:$D$40,MATCH(A248,Sezoane!$C$6:$C$40,1))),INDEX('Prețuri de setat'!$E$5:$E$39,MATCH(A248,Sezoane!$C$6:$C$40,1)),"")</f>
        <v>900</v>
      </c>
      <c r="F248" s="44" t="n">
        <f aca="false">IF(AND(ISNUMBER(MATCH(A248,Sezoane!$C$6:$C$40,1)),A248&lt;=INDEX(Sezoane!$D$6:$D$40,MATCH(A248,Sezoane!$C$6:$C$40,1))),INDEX('Prețuri de setat'!$F$5:$F$39,MATCH(A248,Sezoane!$C$6:$C$40,1)),"")</f>
        <v>1130</v>
      </c>
      <c r="G248" s="44" t="n">
        <f aca="false">IF(AND(ISNUMBER(MATCH(A248,Sezoane!$C$6:$C$40,1)),A248&lt;=INDEX(Sezoane!$D$6:$D$40,MATCH(A248,Sezoane!$C$6:$C$40,1))),INDEX('Prețuri de setat'!$G$5:$G$39,MATCH(A248,Sezoane!$C$6:$C$40,1)),"")</f>
        <v>1020</v>
      </c>
      <c r="H248" s="44" t="n">
        <f aca="false">IF(AND(ISNUMBER(MATCH(A248,Sezoane!$C$6:$C$40,1)),A248&lt;=INDEX(Sezoane!$D$6:$D$40,MATCH(A248,Sezoane!$C$6:$C$40,1))),INDEX('Prețuri de setat'!$H$5:$H$39,MATCH(A248,Sezoane!$C$6:$C$40,1)),"")</f>
        <v>980</v>
      </c>
      <c r="I248" s="44" t="n">
        <f aca="false">IF(AND(ISNUMBER(MATCH(A248,Sezoane!$C$6:$C$40,1)),A248&lt;=INDEX(Sezoane!$D$6:$D$40,MATCH(A248,Sezoane!$C$6:$C$40,1))),INDEX('Prețuri de setat'!$I$5:$I$39,MATCH(A248,Sezoane!$C$6:$C$40,1)),"")</f>
        <v>852</v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primavara-2027</v>
      </c>
      <c r="D249" s="43" t="n">
        <f aca="false">IF(AND(ISNUMBER(MATCH(A249,Sezoane!$C$6:$C$40,1)),A249&lt;=INDEX(Sezoane!$D$6:$D$40,MATCH(A249,Sezoane!$C$6:$C$40,1))),INDEX(Sezoane!$F$6:$F$40,MATCH(A249,Sezoane!$C$6:$C$40,1)),"")</f>
        <v>2</v>
      </c>
      <c r="E249" s="44" t="n">
        <f aca="false">IF(AND(ISNUMBER(MATCH(A249,Sezoane!$C$6:$C$40,1)),A249&lt;=INDEX(Sezoane!$D$6:$D$40,MATCH(A249,Sezoane!$C$6:$C$40,1))),INDEX('Prețuri de setat'!$E$5:$E$39,MATCH(A249,Sezoane!$C$6:$C$40,1)),"")</f>
        <v>900</v>
      </c>
      <c r="F249" s="44" t="n">
        <f aca="false">IF(AND(ISNUMBER(MATCH(A249,Sezoane!$C$6:$C$40,1)),A249&lt;=INDEX(Sezoane!$D$6:$D$40,MATCH(A249,Sezoane!$C$6:$C$40,1))),INDEX('Prețuri de setat'!$F$5:$F$39,MATCH(A249,Sezoane!$C$6:$C$40,1)),"")</f>
        <v>1130</v>
      </c>
      <c r="G249" s="44" t="n">
        <f aca="false">IF(AND(ISNUMBER(MATCH(A249,Sezoane!$C$6:$C$40,1)),A249&lt;=INDEX(Sezoane!$D$6:$D$40,MATCH(A249,Sezoane!$C$6:$C$40,1))),INDEX('Prețuri de setat'!$G$5:$G$39,MATCH(A249,Sezoane!$C$6:$C$40,1)),"")</f>
        <v>1020</v>
      </c>
      <c r="H249" s="44" t="n">
        <f aca="false">IF(AND(ISNUMBER(MATCH(A249,Sezoane!$C$6:$C$40,1)),A249&lt;=INDEX(Sezoane!$D$6:$D$40,MATCH(A249,Sezoane!$C$6:$C$40,1))),INDEX('Prețuri de setat'!$H$5:$H$39,MATCH(A249,Sezoane!$C$6:$C$40,1)),"")</f>
        <v>980</v>
      </c>
      <c r="I249" s="44" t="n">
        <f aca="false">IF(AND(ISNUMBER(MATCH(A249,Sezoane!$C$6:$C$40,1)),A249&lt;=INDEX(Sezoane!$D$6:$D$40,MATCH(A249,Sezoane!$C$6:$C$40,1))),INDEX('Prețuri de setat'!$I$5:$I$39,MATCH(A249,Sezoane!$C$6:$C$40,1)),"")</f>
        <v>852</v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primavara-2027</v>
      </c>
      <c r="D250" s="43" t="n">
        <f aca="false">IF(AND(ISNUMBER(MATCH(A250,Sezoane!$C$6:$C$40,1)),A250&lt;=INDEX(Sezoane!$D$6:$D$40,MATCH(A250,Sezoane!$C$6:$C$40,1))),INDEX(Sezoane!$F$6:$F$40,MATCH(A250,Sezoane!$C$6:$C$40,1)),"")</f>
        <v>2</v>
      </c>
      <c r="E250" s="44" t="n">
        <f aca="false">IF(AND(ISNUMBER(MATCH(A250,Sezoane!$C$6:$C$40,1)),A250&lt;=INDEX(Sezoane!$D$6:$D$40,MATCH(A250,Sezoane!$C$6:$C$40,1))),INDEX('Prețuri de setat'!$E$5:$E$39,MATCH(A250,Sezoane!$C$6:$C$40,1)),"")</f>
        <v>900</v>
      </c>
      <c r="F250" s="44" t="n">
        <f aca="false">IF(AND(ISNUMBER(MATCH(A250,Sezoane!$C$6:$C$40,1)),A250&lt;=INDEX(Sezoane!$D$6:$D$40,MATCH(A250,Sezoane!$C$6:$C$40,1))),INDEX('Prețuri de setat'!$F$5:$F$39,MATCH(A250,Sezoane!$C$6:$C$40,1)),"")</f>
        <v>1130</v>
      </c>
      <c r="G250" s="44" t="n">
        <f aca="false">IF(AND(ISNUMBER(MATCH(A250,Sezoane!$C$6:$C$40,1)),A250&lt;=INDEX(Sezoane!$D$6:$D$40,MATCH(A250,Sezoane!$C$6:$C$40,1))),INDEX('Prețuri de setat'!$G$5:$G$39,MATCH(A250,Sezoane!$C$6:$C$40,1)),"")</f>
        <v>1020</v>
      </c>
      <c r="H250" s="44" t="n">
        <f aca="false">IF(AND(ISNUMBER(MATCH(A250,Sezoane!$C$6:$C$40,1)),A250&lt;=INDEX(Sezoane!$D$6:$D$40,MATCH(A250,Sezoane!$C$6:$C$40,1))),INDEX('Prețuri de setat'!$H$5:$H$39,MATCH(A250,Sezoane!$C$6:$C$40,1)),"")</f>
        <v>980</v>
      </c>
      <c r="I250" s="44" t="n">
        <f aca="false">IF(AND(ISNUMBER(MATCH(A250,Sezoane!$C$6:$C$40,1)),A250&lt;=INDEX(Sezoane!$D$6:$D$40,MATCH(A250,Sezoane!$C$6:$C$40,1))),INDEX('Prețuri de setat'!$I$5:$I$39,MATCH(A250,Sezoane!$C$6:$C$40,1)),"")</f>
        <v>852</v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primavara-2027</v>
      </c>
      <c r="D251" s="43" t="n">
        <f aca="false">IF(AND(ISNUMBER(MATCH(A251,Sezoane!$C$6:$C$40,1)),A251&lt;=INDEX(Sezoane!$D$6:$D$40,MATCH(A251,Sezoane!$C$6:$C$40,1))),INDEX(Sezoane!$F$6:$F$40,MATCH(A251,Sezoane!$C$6:$C$40,1)),"")</f>
        <v>2</v>
      </c>
      <c r="E251" s="44" t="n">
        <f aca="false">IF(AND(ISNUMBER(MATCH(A251,Sezoane!$C$6:$C$40,1)),A251&lt;=INDEX(Sezoane!$D$6:$D$40,MATCH(A251,Sezoane!$C$6:$C$40,1))),INDEX('Prețuri de setat'!$E$5:$E$39,MATCH(A251,Sezoane!$C$6:$C$40,1)),"")</f>
        <v>900</v>
      </c>
      <c r="F251" s="44" t="n">
        <f aca="false">IF(AND(ISNUMBER(MATCH(A251,Sezoane!$C$6:$C$40,1)),A251&lt;=INDEX(Sezoane!$D$6:$D$40,MATCH(A251,Sezoane!$C$6:$C$40,1))),INDEX('Prețuri de setat'!$F$5:$F$39,MATCH(A251,Sezoane!$C$6:$C$40,1)),"")</f>
        <v>1130</v>
      </c>
      <c r="G251" s="44" t="n">
        <f aca="false">IF(AND(ISNUMBER(MATCH(A251,Sezoane!$C$6:$C$40,1)),A251&lt;=INDEX(Sezoane!$D$6:$D$40,MATCH(A251,Sezoane!$C$6:$C$40,1))),INDEX('Prețuri de setat'!$G$5:$G$39,MATCH(A251,Sezoane!$C$6:$C$40,1)),"")</f>
        <v>1020</v>
      </c>
      <c r="H251" s="44" t="n">
        <f aca="false">IF(AND(ISNUMBER(MATCH(A251,Sezoane!$C$6:$C$40,1)),A251&lt;=INDEX(Sezoane!$D$6:$D$40,MATCH(A251,Sezoane!$C$6:$C$40,1))),INDEX('Prețuri de setat'!$H$5:$H$39,MATCH(A251,Sezoane!$C$6:$C$40,1)),"")</f>
        <v>980</v>
      </c>
      <c r="I251" s="44" t="n">
        <f aca="false">IF(AND(ISNUMBER(MATCH(A251,Sezoane!$C$6:$C$40,1)),A251&lt;=INDEX(Sezoane!$D$6:$D$40,MATCH(A251,Sezoane!$C$6:$C$40,1))),INDEX('Prețuri de setat'!$I$5:$I$39,MATCH(A251,Sezoane!$C$6:$C$40,1)),"")</f>
        <v>852</v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primavara-2027</v>
      </c>
      <c r="D252" s="43" t="n">
        <f aca="false">IF(AND(ISNUMBER(MATCH(A252,Sezoane!$C$6:$C$40,1)),A252&lt;=INDEX(Sezoane!$D$6:$D$40,MATCH(A252,Sezoane!$C$6:$C$40,1))),INDEX(Sezoane!$F$6:$F$40,MATCH(A252,Sezoane!$C$6:$C$40,1)),"")</f>
        <v>2</v>
      </c>
      <c r="E252" s="44" t="n">
        <f aca="false">IF(AND(ISNUMBER(MATCH(A252,Sezoane!$C$6:$C$40,1)),A252&lt;=INDEX(Sezoane!$D$6:$D$40,MATCH(A252,Sezoane!$C$6:$C$40,1))),INDEX('Prețuri de setat'!$E$5:$E$39,MATCH(A252,Sezoane!$C$6:$C$40,1)),"")</f>
        <v>900</v>
      </c>
      <c r="F252" s="44" t="n">
        <f aca="false">IF(AND(ISNUMBER(MATCH(A252,Sezoane!$C$6:$C$40,1)),A252&lt;=INDEX(Sezoane!$D$6:$D$40,MATCH(A252,Sezoane!$C$6:$C$40,1))),INDEX('Prețuri de setat'!$F$5:$F$39,MATCH(A252,Sezoane!$C$6:$C$40,1)),"")</f>
        <v>1130</v>
      </c>
      <c r="G252" s="44" t="n">
        <f aca="false">IF(AND(ISNUMBER(MATCH(A252,Sezoane!$C$6:$C$40,1)),A252&lt;=INDEX(Sezoane!$D$6:$D$40,MATCH(A252,Sezoane!$C$6:$C$40,1))),INDEX('Prețuri de setat'!$G$5:$G$39,MATCH(A252,Sezoane!$C$6:$C$40,1)),"")</f>
        <v>1020</v>
      </c>
      <c r="H252" s="44" t="n">
        <f aca="false">IF(AND(ISNUMBER(MATCH(A252,Sezoane!$C$6:$C$40,1)),A252&lt;=INDEX(Sezoane!$D$6:$D$40,MATCH(A252,Sezoane!$C$6:$C$40,1))),INDEX('Prețuri de setat'!$H$5:$H$39,MATCH(A252,Sezoane!$C$6:$C$40,1)),"")</f>
        <v>980</v>
      </c>
      <c r="I252" s="44" t="n">
        <f aca="false">IF(AND(ISNUMBER(MATCH(A252,Sezoane!$C$6:$C$40,1)),A252&lt;=INDEX(Sezoane!$D$6:$D$40,MATCH(A252,Sezoane!$C$6:$C$40,1))),INDEX('Prețuri de setat'!$I$5:$I$39,MATCH(A252,Sezoane!$C$6:$C$40,1)),"")</f>
        <v>852</v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primavara-2027</v>
      </c>
      <c r="D253" s="43" t="n">
        <f aca="false">IF(AND(ISNUMBER(MATCH(A253,Sezoane!$C$6:$C$40,1)),A253&lt;=INDEX(Sezoane!$D$6:$D$40,MATCH(A253,Sezoane!$C$6:$C$40,1))),INDEX(Sezoane!$F$6:$F$40,MATCH(A253,Sezoane!$C$6:$C$40,1)),"")</f>
        <v>2</v>
      </c>
      <c r="E253" s="44" t="n">
        <f aca="false">IF(AND(ISNUMBER(MATCH(A253,Sezoane!$C$6:$C$40,1)),A253&lt;=INDEX(Sezoane!$D$6:$D$40,MATCH(A253,Sezoane!$C$6:$C$40,1))),INDEX('Prețuri de setat'!$E$5:$E$39,MATCH(A253,Sezoane!$C$6:$C$40,1)),"")</f>
        <v>900</v>
      </c>
      <c r="F253" s="44" t="n">
        <f aca="false">IF(AND(ISNUMBER(MATCH(A253,Sezoane!$C$6:$C$40,1)),A253&lt;=INDEX(Sezoane!$D$6:$D$40,MATCH(A253,Sezoane!$C$6:$C$40,1))),INDEX('Prețuri de setat'!$F$5:$F$39,MATCH(A253,Sezoane!$C$6:$C$40,1)),"")</f>
        <v>1130</v>
      </c>
      <c r="G253" s="44" t="n">
        <f aca="false">IF(AND(ISNUMBER(MATCH(A253,Sezoane!$C$6:$C$40,1)),A253&lt;=INDEX(Sezoane!$D$6:$D$40,MATCH(A253,Sezoane!$C$6:$C$40,1))),INDEX('Prețuri de setat'!$G$5:$G$39,MATCH(A253,Sezoane!$C$6:$C$40,1)),"")</f>
        <v>1020</v>
      </c>
      <c r="H253" s="44" t="n">
        <f aca="false">IF(AND(ISNUMBER(MATCH(A253,Sezoane!$C$6:$C$40,1)),A253&lt;=INDEX(Sezoane!$D$6:$D$40,MATCH(A253,Sezoane!$C$6:$C$40,1))),INDEX('Prețuri de setat'!$H$5:$H$39,MATCH(A253,Sezoane!$C$6:$C$40,1)),"")</f>
        <v>980</v>
      </c>
      <c r="I253" s="44" t="n">
        <f aca="false">IF(AND(ISNUMBER(MATCH(A253,Sezoane!$C$6:$C$40,1)),A253&lt;=INDEX(Sezoane!$D$6:$D$40,MATCH(A253,Sezoane!$C$6:$C$40,1))),INDEX('Prețuri de setat'!$I$5:$I$39,MATCH(A253,Sezoane!$C$6:$C$40,1)),"")</f>
        <v>852</v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primavara-2027</v>
      </c>
      <c r="D254" s="43" t="n">
        <f aca="false">IF(AND(ISNUMBER(MATCH(A254,Sezoane!$C$6:$C$40,1)),A254&lt;=INDEX(Sezoane!$D$6:$D$40,MATCH(A254,Sezoane!$C$6:$C$40,1))),INDEX(Sezoane!$F$6:$F$40,MATCH(A254,Sezoane!$C$6:$C$40,1)),"")</f>
        <v>2</v>
      </c>
      <c r="E254" s="44" t="n">
        <f aca="false">IF(AND(ISNUMBER(MATCH(A254,Sezoane!$C$6:$C$40,1)),A254&lt;=INDEX(Sezoane!$D$6:$D$40,MATCH(A254,Sezoane!$C$6:$C$40,1))),INDEX('Prețuri de setat'!$E$5:$E$39,MATCH(A254,Sezoane!$C$6:$C$40,1)),"")</f>
        <v>900</v>
      </c>
      <c r="F254" s="44" t="n">
        <f aca="false">IF(AND(ISNUMBER(MATCH(A254,Sezoane!$C$6:$C$40,1)),A254&lt;=INDEX(Sezoane!$D$6:$D$40,MATCH(A254,Sezoane!$C$6:$C$40,1))),INDEX('Prețuri de setat'!$F$5:$F$39,MATCH(A254,Sezoane!$C$6:$C$40,1)),"")</f>
        <v>1130</v>
      </c>
      <c r="G254" s="44" t="n">
        <f aca="false">IF(AND(ISNUMBER(MATCH(A254,Sezoane!$C$6:$C$40,1)),A254&lt;=INDEX(Sezoane!$D$6:$D$40,MATCH(A254,Sezoane!$C$6:$C$40,1))),INDEX('Prețuri de setat'!$G$5:$G$39,MATCH(A254,Sezoane!$C$6:$C$40,1)),"")</f>
        <v>1020</v>
      </c>
      <c r="H254" s="44" t="n">
        <f aca="false">IF(AND(ISNUMBER(MATCH(A254,Sezoane!$C$6:$C$40,1)),A254&lt;=INDEX(Sezoane!$D$6:$D$40,MATCH(A254,Sezoane!$C$6:$C$40,1))),INDEX('Prețuri de setat'!$H$5:$H$39,MATCH(A254,Sezoane!$C$6:$C$40,1)),"")</f>
        <v>980</v>
      </c>
      <c r="I254" s="44" t="n">
        <f aca="false">IF(AND(ISNUMBER(MATCH(A254,Sezoane!$C$6:$C$40,1)),A254&lt;=INDEX(Sezoane!$D$6:$D$40,MATCH(A254,Sezoane!$C$6:$C$40,1))),INDEX('Prețuri de setat'!$I$5:$I$39,MATCH(A254,Sezoane!$C$6:$C$40,1)),"")</f>
        <v>852</v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primavara-2027</v>
      </c>
      <c r="D255" s="43" t="n">
        <f aca="false">IF(AND(ISNUMBER(MATCH(A255,Sezoane!$C$6:$C$40,1)),A255&lt;=INDEX(Sezoane!$D$6:$D$40,MATCH(A255,Sezoane!$C$6:$C$40,1))),INDEX(Sezoane!$F$6:$F$40,MATCH(A255,Sezoane!$C$6:$C$40,1)),"")</f>
        <v>2</v>
      </c>
      <c r="E255" s="44" t="n">
        <f aca="false">IF(AND(ISNUMBER(MATCH(A255,Sezoane!$C$6:$C$40,1)),A255&lt;=INDEX(Sezoane!$D$6:$D$40,MATCH(A255,Sezoane!$C$6:$C$40,1))),INDEX('Prețuri de setat'!$E$5:$E$39,MATCH(A255,Sezoane!$C$6:$C$40,1)),"")</f>
        <v>900</v>
      </c>
      <c r="F255" s="44" t="n">
        <f aca="false">IF(AND(ISNUMBER(MATCH(A255,Sezoane!$C$6:$C$40,1)),A255&lt;=INDEX(Sezoane!$D$6:$D$40,MATCH(A255,Sezoane!$C$6:$C$40,1))),INDEX('Prețuri de setat'!$F$5:$F$39,MATCH(A255,Sezoane!$C$6:$C$40,1)),"")</f>
        <v>1130</v>
      </c>
      <c r="G255" s="44" t="n">
        <f aca="false">IF(AND(ISNUMBER(MATCH(A255,Sezoane!$C$6:$C$40,1)),A255&lt;=INDEX(Sezoane!$D$6:$D$40,MATCH(A255,Sezoane!$C$6:$C$40,1))),INDEX('Prețuri de setat'!$G$5:$G$39,MATCH(A255,Sezoane!$C$6:$C$40,1)),"")</f>
        <v>1020</v>
      </c>
      <c r="H255" s="44" t="n">
        <f aca="false">IF(AND(ISNUMBER(MATCH(A255,Sezoane!$C$6:$C$40,1)),A255&lt;=INDEX(Sezoane!$D$6:$D$40,MATCH(A255,Sezoane!$C$6:$C$40,1))),INDEX('Prețuri de setat'!$H$5:$H$39,MATCH(A255,Sezoane!$C$6:$C$40,1)),"")</f>
        <v>980</v>
      </c>
      <c r="I255" s="44" t="n">
        <f aca="false">IF(AND(ISNUMBER(MATCH(A255,Sezoane!$C$6:$C$40,1)),A255&lt;=INDEX(Sezoane!$D$6:$D$40,MATCH(A255,Sezoane!$C$6:$C$40,1))),INDEX('Prețuri de setat'!$I$5:$I$39,MATCH(A255,Sezoane!$C$6:$C$40,1)),"")</f>
        <v>852</v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primavara-2027</v>
      </c>
      <c r="D256" s="43" t="n">
        <f aca="false">IF(AND(ISNUMBER(MATCH(A256,Sezoane!$C$6:$C$40,1)),A256&lt;=INDEX(Sezoane!$D$6:$D$40,MATCH(A256,Sezoane!$C$6:$C$40,1))),INDEX(Sezoane!$F$6:$F$40,MATCH(A256,Sezoane!$C$6:$C$40,1)),"")</f>
        <v>2</v>
      </c>
      <c r="E256" s="44" t="n">
        <f aca="false">IF(AND(ISNUMBER(MATCH(A256,Sezoane!$C$6:$C$40,1)),A256&lt;=INDEX(Sezoane!$D$6:$D$40,MATCH(A256,Sezoane!$C$6:$C$40,1))),INDEX('Prețuri de setat'!$E$5:$E$39,MATCH(A256,Sezoane!$C$6:$C$40,1)),"")</f>
        <v>900</v>
      </c>
      <c r="F256" s="44" t="n">
        <f aca="false">IF(AND(ISNUMBER(MATCH(A256,Sezoane!$C$6:$C$40,1)),A256&lt;=INDEX(Sezoane!$D$6:$D$40,MATCH(A256,Sezoane!$C$6:$C$40,1))),INDEX('Prețuri de setat'!$F$5:$F$39,MATCH(A256,Sezoane!$C$6:$C$40,1)),"")</f>
        <v>1130</v>
      </c>
      <c r="G256" s="44" t="n">
        <f aca="false">IF(AND(ISNUMBER(MATCH(A256,Sezoane!$C$6:$C$40,1)),A256&lt;=INDEX(Sezoane!$D$6:$D$40,MATCH(A256,Sezoane!$C$6:$C$40,1))),INDEX('Prețuri de setat'!$G$5:$G$39,MATCH(A256,Sezoane!$C$6:$C$40,1)),"")</f>
        <v>1020</v>
      </c>
      <c r="H256" s="44" t="n">
        <f aca="false">IF(AND(ISNUMBER(MATCH(A256,Sezoane!$C$6:$C$40,1)),A256&lt;=INDEX(Sezoane!$D$6:$D$40,MATCH(A256,Sezoane!$C$6:$C$40,1))),INDEX('Prețuri de setat'!$H$5:$H$39,MATCH(A256,Sezoane!$C$6:$C$40,1)),"")</f>
        <v>980</v>
      </c>
      <c r="I256" s="44" t="n">
        <f aca="false">IF(AND(ISNUMBER(MATCH(A256,Sezoane!$C$6:$C$40,1)),A256&lt;=INDEX(Sezoane!$D$6:$D$40,MATCH(A256,Sezoane!$C$6:$C$40,1))),INDEX('Prețuri de setat'!$I$5:$I$39,MATCH(A256,Sezoane!$C$6:$C$40,1)),"")</f>
        <v>852</v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primavara-2027</v>
      </c>
      <c r="D257" s="43" t="n">
        <f aca="false">IF(AND(ISNUMBER(MATCH(A257,Sezoane!$C$6:$C$40,1)),A257&lt;=INDEX(Sezoane!$D$6:$D$40,MATCH(A257,Sezoane!$C$6:$C$40,1))),INDEX(Sezoane!$F$6:$F$40,MATCH(A257,Sezoane!$C$6:$C$40,1)),"")</f>
        <v>2</v>
      </c>
      <c r="E257" s="44" t="n">
        <f aca="false">IF(AND(ISNUMBER(MATCH(A257,Sezoane!$C$6:$C$40,1)),A257&lt;=INDEX(Sezoane!$D$6:$D$40,MATCH(A257,Sezoane!$C$6:$C$40,1))),INDEX('Prețuri de setat'!$E$5:$E$39,MATCH(A257,Sezoane!$C$6:$C$40,1)),"")</f>
        <v>900</v>
      </c>
      <c r="F257" s="44" t="n">
        <f aca="false">IF(AND(ISNUMBER(MATCH(A257,Sezoane!$C$6:$C$40,1)),A257&lt;=INDEX(Sezoane!$D$6:$D$40,MATCH(A257,Sezoane!$C$6:$C$40,1))),INDEX('Prețuri de setat'!$F$5:$F$39,MATCH(A257,Sezoane!$C$6:$C$40,1)),"")</f>
        <v>1130</v>
      </c>
      <c r="G257" s="44" t="n">
        <f aca="false">IF(AND(ISNUMBER(MATCH(A257,Sezoane!$C$6:$C$40,1)),A257&lt;=INDEX(Sezoane!$D$6:$D$40,MATCH(A257,Sezoane!$C$6:$C$40,1))),INDEX('Prețuri de setat'!$G$5:$G$39,MATCH(A257,Sezoane!$C$6:$C$40,1)),"")</f>
        <v>1020</v>
      </c>
      <c r="H257" s="44" t="n">
        <f aca="false">IF(AND(ISNUMBER(MATCH(A257,Sezoane!$C$6:$C$40,1)),A257&lt;=INDEX(Sezoane!$D$6:$D$40,MATCH(A257,Sezoane!$C$6:$C$40,1))),INDEX('Prețuri de setat'!$H$5:$H$39,MATCH(A257,Sezoane!$C$6:$C$40,1)),"")</f>
        <v>980</v>
      </c>
      <c r="I257" s="44" t="n">
        <f aca="false">IF(AND(ISNUMBER(MATCH(A257,Sezoane!$C$6:$C$40,1)),A257&lt;=INDEX(Sezoane!$D$6:$D$40,MATCH(A257,Sezoane!$C$6:$C$40,1))),INDEX('Prețuri de setat'!$I$5:$I$39,MATCH(A257,Sezoane!$C$6:$C$40,1)),"")</f>
        <v>852</v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168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169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170</v>
      </c>
      <c r="B4" s="10" t="s">
        <v>171</v>
      </c>
      <c r="C4" s="10" t="s">
        <v>172</v>
      </c>
      <c r="D4" s="10" t="s">
        <v>173</v>
      </c>
      <c r="E4" s="10" t="s">
        <v>174</v>
      </c>
    </row>
    <row r="5" customFormat="false" ht="15" hidden="false" customHeight="false" outlineLevel="0" collapsed="false">
      <c r="A5" s="45" t="s">
        <v>162</v>
      </c>
      <c r="B5" s="45" t="s">
        <v>175</v>
      </c>
      <c r="C5" s="45" t="s">
        <v>176</v>
      </c>
      <c r="D5" s="45" t="s">
        <v>177</v>
      </c>
      <c r="E5" s="11" t="s">
        <v>178</v>
      </c>
    </row>
    <row r="6" customFormat="false" ht="15" hidden="false" customHeight="false" outlineLevel="0" collapsed="false">
      <c r="A6" s="45" t="s">
        <v>83</v>
      </c>
      <c r="B6" s="45" t="s">
        <v>179</v>
      </c>
      <c r="C6" s="45" t="s">
        <v>180</v>
      </c>
      <c r="D6" s="45" t="s">
        <v>181</v>
      </c>
      <c r="E6" s="11" t="s">
        <v>178</v>
      </c>
    </row>
    <row r="7" customFormat="false" ht="15" hidden="false" customHeight="false" outlineLevel="0" collapsed="false">
      <c r="A7" s="45" t="s">
        <v>83</v>
      </c>
      <c r="B7" s="45" t="s">
        <v>182</v>
      </c>
      <c r="C7" s="45" t="s">
        <v>183</v>
      </c>
      <c r="D7" s="45" t="s">
        <v>184</v>
      </c>
      <c r="E7" s="11" t="s">
        <v>178</v>
      </c>
    </row>
    <row r="8" customFormat="false" ht="15" hidden="false" customHeight="false" outlineLevel="0" collapsed="false">
      <c r="A8" s="45" t="s">
        <v>83</v>
      </c>
      <c r="B8" s="45" t="s">
        <v>185</v>
      </c>
      <c r="C8" s="45" t="s">
        <v>186</v>
      </c>
      <c r="D8" s="45" t="s">
        <v>187</v>
      </c>
      <c r="E8" s="11" t="s">
        <v>178</v>
      </c>
    </row>
    <row r="9" customFormat="false" ht="23.85" hidden="false" customHeight="false" outlineLevel="0" collapsed="false">
      <c r="A9" s="45" t="s">
        <v>83</v>
      </c>
      <c r="B9" s="45" t="s">
        <v>188</v>
      </c>
      <c r="C9" s="45" t="s">
        <v>189</v>
      </c>
      <c r="D9" s="45" t="s">
        <v>190</v>
      </c>
      <c r="E9" s="11" t="s">
        <v>178</v>
      </c>
    </row>
    <row r="10" customFormat="false" ht="15" hidden="false" customHeight="false" outlineLevel="0" collapsed="false">
      <c r="A10" s="45" t="s">
        <v>83</v>
      </c>
      <c r="B10" s="45" t="s">
        <v>191</v>
      </c>
      <c r="C10" s="45" t="s">
        <v>24</v>
      </c>
      <c r="D10" s="45" t="s">
        <v>192</v>
      </c>
      <c r="E10" s="11" t="s">
        <v>178</v>
      </c>
    </row>
    <row r="11" customFormat="false" ht="15" hidden="false" customHeight="false" outlineLevel="0" collapsed="false">
      <c r="A11" s="45" t="s">
        <v>84</v>
      </c>
      <c r="B11" s="45" t="s">
        <v>193</v>
      </c>
      <c r="C11" s="45" t="s">
        <v>194</v>
      </c>
      <c r="D11" s="45" t="s">
        <v>195</v>
      </c>
      <c r="E11" s="11" t="s">
        <v>178</v>
      </c>
    </row>
    <row r="12" customFormat="false" ht="15" hidden="false" customHeight="false" outlineLevel="0" collapsed="false">
      <c r="A12" s="45" t="s">
        <v>84</v>
      </c>
      <c r="B12" s="45" t="s">
        <v>196</v>
      </c>
      <c r="C12" s="45" t="s">
        <v>197</v>
      </c>
      <c r="D12" s="45" t="s">
        <v>198</v>
      </c>
      <c r="E12" s="11" t="s">
        <v>178</v>
      </c>
    </row>
    <row r="13" customFormat="false" ht="15" hidden="false" customHeight="false" outlineLevel="0" collapsed="false">
      <c r="A13" s="45" t="s">
        <v>84</v>
      </c>
      <c r="B13" s="45" t="s">
        <v>199</v>
      </c>
      <c r="C13" s="45" t="s">
        <v>200</v>
      </c>
      <c r="D13" s="45" t="s">
        <v>201</v>
      </c>
      <c r="E13" s="11" t="s">
        <v>178</v>
      </c>
    </row>
    <row r="14" customFormat="false" ht="15" hidden="false" customHeight="false" outlineLevel="0" collapsed="false">
      <c r="A14" s="45" t="s">
        <v>84</v>
      </c>
      <c r="B14" s="45" t="s">
        <v>202</v>
      </c>
      <c r="C14" s="45" t="s">
        <v>203</v>
      </c>
      <c r="D14" s="45" t="s">
        <v>204</v>
      </c>
      <c r="E14" s="11" t="s">
        <v>178</v>
      </c>
    </row>
    <row r="15" customFormat="false" ht="15" hidden="false" customHeight="false" outlineLevel="0" collapsed="false">
      <c r="A15" s="45" t="s">
        <v>85</v>
      </c>
      <c r="B15" s="45" t="s">
        <v>205</v>
      </c>
      <c r="C15" s="45" t="s">
        <v>206</v>
      </c>
      <c r="D15" s="45" t="s">
        <v>207</v>
      </c>
      <c r="E15" s="11" t="s">
        <v>178</v>
      </c>
    </row>
    <row r="16" customFormat="false" ht="15" hidden="false" customHeight="false" outlineLevel="0" collapsed="false">
      <c r="A16" s="45" t="s">
        <v>85</v>
      </c>
      <c r="B16" s="45" t="s">
        <v>202</v>
      </c>
      <c r="C16" s="45" t="s">
        <v>208</v>
      </c>
      <c r="D16" s="45" t="s">
        <v>209</v>
      </c>
      <c r="E16" s="11" t="s">
        <v>178</v>
      </c>
    </row>
    <row r="17" customFormat="false" ht="15" hidden="false" customHeight="false" outlineLevel="0" collapsed="false">
      <c r="A17" s="45" t="s">
        <v>85</v>
      </c>
      <c r="B17" s="45" t="s">
        <v>210</v>
      </c>
      <c r="C17" s="45" t="s">
        <v>211</v>
      </c>
      <c r="D17" s="45" t="s">
        <v>212</v>
      </c>
      <c r="E17" s="11" t="s">
        <v>178</v>
      </c>
    </row>
    <row r="18" customFormat="false" ht="23.85" hidden="false" customHeight="false" outlineLevel="0" collapsed="false">
      <c r="A18" s="45" t="s">
        <v>213</v>
      </c>
      <c r="B18" s="45" t="s">
        <v>214</v>
      </c>
      <c r="C18" s="45" t="s">
        <v>215</v>
      </c>
      <c r="D18" s="45" t="s">
        <v>216</v>
      </c>
      <c r="E18" s="11" t="s">
        <v>178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218</v>
      </c>
      <c r="C3" s="10" t="s">
        <v>219</v>
      </c>
      <c r="D3" s="10" t="s">
        <v>220</v>
      </c>
      <c r="E3" s="10" t="s">
        <v>221</v>
      </c>
      <c r="F3" s="10" t="s">
        <v>222</v>
      </c>
      <c r="G3" s="10" t="s">
        <v>174</v>
      </c>
      <c r="H3" s="2"/>
      <c r="I3" s="19" t="s">
        <v>223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46568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n">
        <f aca="false">IF(Sezoane!$A$11="","",IF(Sezoane!A12="","ultimul sezon",Sezoane!C12-Sezoane!D11-1))</f>
        <v>0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>primavara-2027</v>
      </c>
      <c r="B10" s="39" t="n">
        <f aca="false">IF(Sezoane!$A$12="","",Sezoane!C12)</f>
        <v>46454</v>
      </c>
      <c r="C10" s="39" t="n">
        <f aca="false">IF(Sezoane!$A$12="","",Sezoane!D12)</f>
        <v>46568</v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>OK</v>
      </c>
      <c r="E10" s="46" t="str">
        <f aca="false">IF(Sezoane!$A$12="","",IF(Sezoane!A13="","ultimul sezon",Sezoane!C13-Sezoane!D12-1))</f>
        <v>ultimul sezon</v>
      </c>
      <c r="F10" s="46" t="str">
        <f aca="false">IF(Sezoane!$A$12="","",IF(ISNUMBER(INDEX(Sezoane!G12:L12,1,MAX(1,Sezoane!F12-1))),"OK",IF(COUNT(Sezoane!G12:L12)=0,"OK (fără reduceri)","⚠ pune 0% la durata minimă")))</f>
        <v>OK</v>
      </c>
      <c r="G10" s="46" t="str">
        <f aca="false">IF(Sezoane!$A$12="","",IF(AND(D10="OK",OR(E10="ultimul sezon",E10=0)),"OK","⚠ verifică"))</f>
        <v>OK</v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226</v>
      </c>
      <c r="C5" s="10" t="s">
        <v>227</v>
      </c>
      <c r="D5" s="10" t="s">
        <v>228</v>
      </c>
      <c r="E5" s="10" t="s">
        <v>229</v>
      </c>
      <c r="F5" s="10" t="s">
        <v>230</v>
      </c>
    </row>
    <row r="6" customFormat="false" ht="15" hidden="false" customHeight="false" outlineLevel="0" collapsed="false">
      <c r="A6" s="38" t="s">
        <v>60</v>
      </c>
      <c r="B6" s="38" t="s">
        <v>231</v>
      </c>
      <c r="C6" s="48" t="n">
        <v>1130</v>
      </c>
      <c r="D6" s="48" t="n">
        <v>920</v>
      </c>
      <c r="E6" s="48" t="n">
        <v>980</v>
      </c>
      <c r="F6" s="38" t="s">
        <v>232</v>
      </c>
    </row>
    <row r="7" customFormat="false" ht="15" hidden="false" customHeight="false" outlineLevel="0" collapsed="false">
      <c r="A7" s="38" t="s">
        <v>63</v>
      </c>
      <c r="B7" s="38" t="s">
        <v>233</v>
      </c>
      <c r="C7" s="48" t="n">
        <v>1580</v>
      </c>
      <c r="D7" s="48" t="n">
        <v>1420</v>
      </c>
      <c r="E7" s="48" t="n">
        <v>1360</v>
      </c>
      <c r="F7" s="38" t="s">
        <v>234</v>
      </c>
    </row>
    <row r="8" customFormat="false" ht="15" hidden="false" customHeight="false" outlineLevel="0" collapsed="false">
      <c r="A8" s="38" t="s">
        <v>65</v>
      </c>
      <c r="B8" s="38" t="s">
        <v>235</v>
      </c>
      <c r="C8" s="48" t="n">
        <v>1890</v>
      </c>
      <c r="D8" s="48" t="n">
        <v>1700</v>
      </c>
      <c r="E8" s="48" t="n">
        <v>1630</v>
      </c>
      <c r="F8" s="38" t="s">
        <v>236</v>
      </c>
    </row>
    <row r="9" customFormat="false" ht="15" hidden="false" customHeight="false" outlineLevel="0" collapsed="false">
      <c r="A9" s="38" t="s">
        <v>68</v>
      </c>
      <c r="B9" s="38" t="s">
        <v>237</v>
      </c>
      <c r="C9" s="48" t="n">
        <v>2270</v>
      </c>
      <c r="D9" s="48" t="n">
        <v>2040</v>
      </c>
      <c r="E9" s="48" t="n">
        <v>1960</v>
      </c>
      <c r="F9" s="38" t="s">
        <v>238</v>
      </c>
    </row>
    <row r="10" customFormat="false" ht="15" hidden="false" customHeight="false" outlineLevel="0" collapsed="false">
      <c r="A10" s="38" t="s">
        <v>69</v>
      </c>
      <c r="B10" s="38" t="s">
        <v>239</v>
      </c>
      <c r="C10" s="48" t="n">
        <v>1700</v>
      </c>
      <c r="D10" s="48" t="n">
        <v>1530</v>
      </c>
      <c r="E10" s="48" t="n">
        <v>1470</v>
      </c>
      <c r="F10" s="38" t="s">
        <v>240</v>
      </c>
    </row>
    <row r="11" customFormat="false" ht="15" hidden="false" customHeight="false" outlineLevel="0" collapsed="false">
      <c r="A11" s="38" t="s">
        <v>70</v>
      </c>
      <c r="B11" s="38" t="s">
        <v>241</v>
      </c>
      <c r="C11" s="48" t="n">
        <v>1830</v>
      </c>
      <c r="D11" s="48" t="n">
        <v>1640</v>
      </c>
      <c r="E11" s="48" t="n">
        <v>1580</v>
      </c>
      <c r="F11" s="38" t="s">
        <v>242</v>
      </c>
    </row>
    <row r="12" customFormat="false" ht="15" hidden="false" customHeight="false" outlineLevel="0" collapsed="false">
      <c r="A12" s="38" t="s">
        <v>71</v>
      </c>
      <c r="B12" s="38" t="s">
        <v>243</v>
      </c>
      <c r="C12" s="48" t="n">
        <v>1130</v>
      </c>
      <c r="D12" s="48" t="n">
        <v>1020</v>
      </c>
      <c r="E12" s="48" t="n">
        <v>980</v>
      </c>
      <c r="F12" s="38" t="s">
        <v>244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245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246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247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248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249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250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251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252</v>
      </c>
      <c r="B1" s="19" t="s">
        <v>253</v>
      </c>
      <c r="C1" s="19" t="s">
        <v>254</v>
      </c>
      <c r="D1" s="19" t="s">
        <v>255</v>
      </c>
      <c r="E1" s="19" t="s">
        <v>256</v>
      </c>
      <c r="F1" s="19" t="s">
        <v>257</v>
      </c>
      <c r="G1" s="19" t="s">
        <v>258</v>
      </c>
      <c r="H1" s="19" t="s">
        <v>259</v>
      </c>
      <c r="I1" s="19" t="s">
        <v>260</v>
      </c>
      <c r="J1" s="19" t="s">
        <v>261</v>
      </c>
      <c r="K1" s="19" t="s">
        <v>262</v>
      </c>
      <c r="L1" s="2"/>
      <c r="M1" s="50" t="s">
        <v>263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>primavara-2027</v>
      </c>
      <c r="B8" s="51" t="str">
        <f aca="false">IF(Sezoane!$A$12="","",Sezoane!B12)</f>
        <v>Sezon primăvară</v>
      </c>
      <c r="C8" s="52" t="n">
        <f aca="false">IF(Sezoane!$A$12="","",Sezoane!C12)</f>
        <v>46454</v>
      </c>
      <c r="D8" s="52" t="n">
        <f aca="false">IF(Sezoane!$A$12="","",Sezoane!D12)</f>
        <v>46568</v>
      </c>
      <c r="E8" s="53" t="n">
        <f aca="false">IF(Sezoane!$A$12="","",Sezoane!E12)</f>
        <v>900</v>
      </c>
      <c r="F8" s="54" t="n">
        <f aca="false">IF(OR(Sezoane!$A$12="",2&lt;Sezoane!$F12),"",IF(2=Sezoane!$F12,N(Sezoane!G12),IF(N(Sezoane!G12)&gt;0,Sezoane!G12,"")))</f>
        <v>0.1</v>
      </c>
      <c r="G8" s="54" t="n">
        <f aca="false">IF(OR(Sezoane!$A$12="",3&lt;Sezoane!$F12),"",IF(3=Sezoane!$F12,N(Sezoane!H12),IF(N(Sezoane!H12)&gt;0,Sezoane!H12,"")))</f>
        <v>0.15</v>
      </c>
      <c r="H8" s="54" t="n">
        <f aca="false">IF(OR(Sezoane!$A$12="",4&lt;Sezoane!$F12),"",IF(4=Sezoane!$F12,N(Sezoane!I12),IF(N(Sezoane!I12)&gt;0,Sezoane!I12,"")))</f>
        <v>0.2</v>
      </c>
      <c r="I8" s="54" t="n">
        <f aca="false">IF(OR(Sezoane!$A$12="",5&lt;Sezoane!$F12),"",IF(5=Sezoane!$F12,N(Sezoane!J12),IF(N(Sezoane!J12)&gt;0,Sezoane!J12,"")))</f>
        <v>0.25</v>
      </c>
      <c r="J8" s="54" t="n">
        <f aca="false">IF(OR(Sezoane!$A$12="",6&lt;Sezoane!$F12),"",IF(6=Sezoane!$F12,N(Sezoane!K12),IF(N(Sezoane!K12)&gt;0,Sezoane!K12,"")))</f>
        <v>0.3</v>
      </c>
      <c r="K8" s="54" t="n">
        <f aca="false">IF(OR(Sezoane!$A$12="",7&lt;Sezoane!$F12),"",IF(7=Sezoane!$F12,N(Sezoane!L12),IF(N(Sezoane!L12)&gt;0,Sezoane!L12,"")))</f>
        <v>0.33</v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2026-10-21T15:46:09Z</dcterms:created>
  <dc:creator>openpyxl</dc:creator>
  <dc:description/>
  <dc:language>en-US</dc:language>
  <cp:lastModifiedBy/>
  <dcterms:modified xsi:type="dcterms:W3CDTF">2026-10-21T15:46:09Z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
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mirce\Documents\Silver Mountain\"/>
    </mc:Choice>
  </mc:AlternateContent>
  <xr:revisionPtr revIDLastSave="0" documentId="13_ncr:1_{0EED77A6-7880-4A2D-97FC-684D0EED903E}" xr6:coauthVersionLast="47" xr6:coauthVersionMax="47" xr10:uidLastSave="{00000000-0000-0000-0000-000000000000}"/>
  <bookViews>
    <workbookView xWindow="-120" yWindow="-120" windowWidth="21840" windowHeight="13020" activeTab="2" xr2:uid="{0882193E-657A-4B88-9EDA-CDE0C550CE3E}"/>
  </bookViews>
  <sheets>
    <sheet name="Ghid" sheetId="1" r:id="rId1"/>
    <sheet name="Setări" sheetId="2" r:id="rId2"/>
    <sheet name="Perioade" sheetId="3" r:id="rId3"/>
    <sheet name="Prețuri de setat" sheetId="4" r:id="rId4"/>
    <sheet name="Verificare sejururi" sheetId="5" r:id="rId5"/>
    <sheet name="Simulator" sheetId="6" r:id="rId6"/>
    <sheet name="Calendar" sheetId="7" r:id="rId7"/>
    <sheet name="Checklist" sheetId="8" r:id="rId8"/>
    <sheet name="Date actuale" sheetId="12" r:id="rId9"/>
    <sheet name="Verificare" sheetId="9" r:id="rId10"/>
    <sheet name="Calcule" sheetId="10" r:id="rId11"/>
    <sheet name="Export site" sheetId="11" r:id="rId12"/>
  </sheets>
  <definedNames>
    <definedName name="a_Auto">Setări!$D$27</definedName>
    <definedName name="a_Com">Setări!$D$22</definedName>
    <definedName name="a_Durata">Setări!$D$29</definedName>
    <definedName name="a_Excl">Setări!$D$24</definedName>
    <definedName name="a_Luna">Setări!$B$35</definedName>
    <definedName name="a_MinNet">Setări!$B$37</definedName>
    <definedName name="a_Plata">Setări!$D$25</definedName>
    <definedName name="a_Pond">Setări!$D$28</definedName>
    <definedName name="a_PondSug">Setări!$B$36</definedName>
    <definedName name="a_Rot">Setări!$D$30</definedName>
    <definedName name="a_Sapt">Setări!$B$34</definedName>
    <definedName name="a_Supl">Setări!$D$23</definedName>
    <definedName name="a_TVAc">Setări!$D$26</definedName>
    <definedName name="b_Auto">Setări!$C$27</definedName>
    <definedName name="b_Com">Setări!$C$22</definedName>
    <definedName name="b_Durata">Setări!$C$29</definedName>
    <definedName name="b_Excl">Setări!$C$24</definedName>
    <definedName name="b_Plata">Setări!$C$25</definedName>
    <definedName name="b_Pond">Setări!$C$28</definedName>
    <definedName name="b_Rot">Setări!$C$30</definedName>
    <definedName name="b_Supl">Setări!$C$23</definedName>
    <definedName name="b_TVAc">Setări!$C$26</definedName>
    <definedName name="c_Cons">Setări!$B$43</definedName>
    <definedName name="c_Cur">Setări!$B$40</definedName>
    <definedName name="c_Spal">Setări!$B$41</definedName>
    <definedName name="c_Spal7">Setări!$B$42</definedName>
    <definedName name="lst_Pol">Setări!$K$5:$K$8</definedName>
    <definedName name="lst_Tip">Setări!$J$5:$J$7</definedName>
    <definedName name="m_Auto">Setări!$E$27</definedName>
    <definedName name="m_Com">Setări!$E$22</definedName>
    <definedName name="m_Durata">Setări!$E$29</definedName>
    <definedName name="m_Excl">Setări!$E$24</definedName>
    <definedName name="m_Plata">Setări!$E$25</definedName>
    <definedName name="m_Pond">Setări!$E$28</definedName>
    <definedName name="m_Rot">Setări!$E$30</definedName>
    <definedName name="m_Supl">Setări!$E$23</definedName>
    <definedName name="m_TVAc">Setări!$E$26</definedName>
    <definedName name="p_Adulti">Setări!$B$8</definedName>
    <definedName name="p_Avantaj">Setări!$B$12</definedName>
    <definedName name="p_Prag">Setări!$B$13</definedName>
    <definedName name="p_Std">Setări!$B$18:$G$18</definedName>
    <definedName name="p_TaxaSalv">Setări!$B$7</definedName>
    <definedName name="p_TaxaTur">Setări!$B$6</definedName>
    <definedName name="p_Taxe">Setări!$B$9</definedName>
    <definedName name="p_TVA">Setări!$B$5</definedName>
    <definedName name="s_Flex">Setări!$B$14</definedName>
    <definedName name="s_Plata">Setări!$B$25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11" l="1"/>
  <c r="E3" i="11"/>
  <c r="E4" i="11"/>
  <c r="E5" i="11"/>
  <c r="E6"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D2" i="11"/>
  <c r="D3" i="11"/>
  <c r="D4" i="11"/>
  <c r="D5" i="11"/>
  <c r="D6"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C2" i="11"/>
  <c r="C3" i="11"/>
  <c r="C4" i="11"/>
  <c r="C5" i="11"/>
  <c r="C6" i="11"/>
  <c r="C7" i="11"/>
  <c r="C8" i="11"/>
  <c r="C9" i="11"/>
  <c r="C10" i="11"/>
  <c r="C11" i="11"/>
  <c r="C12" i="11"/>
  <c r="C13" i="11"/>
  <c r="C14" i="11"/>
  <c r="C15" i="11"/>
  <c r="C16" i="11"/>
  <c r="C17" i="11"/>
  <c r="C18" i="11"/>
  <c r="C19" i="11"/>
  <c r="C20" i="11"/>
  <c r="C21" i="11"/>
  <c r="C22" i="11"/>
  <c r="C23" i="11"/>
  <c r="C24" i="11"/>
  <c r="C25" i="11"/>
  <c r="C26" i="11"/>
  <c r="C27" i="11"/>
  <c r="C28" i="11"/>
  <c r="C29" i="11"/>
  <c r="C30" i="11"/>
  <c r="C31" i="11"/>
  <c r="C32" i="11"/>
  <c r="C33" i="11"/>
  <c r="C34" i="11"/>
  <c r="C35" i="11"/>
  <c r="C36" i="11"/>
  <c r="B2" i="11"/>
  <c r="B3" i="11"/>
  <c r="B4" i="11"/>
  <c r="B5" i="11"/>
  <c r="B6" i="11"/>
  <c r="B7" i="11"/>
  <c r="B8" i="11"/>
  <c r="B9" i="11"/>
  <c r="B10" i="11"/>
  <c r="B11" i="11"/>
  <c r="B12" i="11"/>
  <c r="B13" i="11"/>
  <c r="B14" i="11"/>
  <c r="B15" i="11"/>
  <c r="B16" i="11"/>
  <c r="B17" i="11"/>
  <c r="B18" i="11"/>
  <c r="B19" i="11"/>
  <c r="B20" i="11"/>
  <c r="B21" i="11"/>
  <c r="B22" i="11"/>
  <c r="B23" i="11"/>
  <c r="B24" i="11"/>
  <c r="B25" i="11"/>
  <c r="B26" i="11"/>
  <c r="B27" i="11"/>
  <c r="B28" i="11"/>
  <c r="B29" i="11"/>
  <c r="B30" i="11"/>
  <c r="B31" i="11"/>
  <c r="B32" i="11"/>
  <c r="B33" i="11"/>
  <c r="B34" i="11"/>
  <c r="B35" i="11"/>
  <c r="B36" i="11"/>
  <c r="A2" i="11"/>
  <c r="A3" i="11"/>
  <c r="A4" i="11"/>
  <c r="A5" i="11"/>
  <c r="A6" i="11"/>
  <c r="A7" i="11"/>
  <c r="A8" i="11"/>
  <c r="A9" i="11"/>
  <c r="A10" i="11"/>
  <c r="A11" i="11"/>
  <c r="A12" i="11"/>
  <c r="A13" i="11"/>
  <c r="A14" i="11"/>
  <c r="A15" i="11"/>
  <c r="A16" i="11"/>
  <c r="A17" i="11"/>
  <c r="A18" i="11"/>
  <c r="A19" i="11"/>
  <c r="A20" i="11"/>
  <c r="A21" i="11"/>
  <c r="A22" i="11"/>
  <c r="A23" i="11"/>
  <c r="A24" i="11"/>
  <c r="A25" i="11"/>
  <c r="A26" i="11"/>
  <c r="A27" i="11"/>
  <c r="A28" i="11"/>
  <c r="A29" i="11"/>
  <c r="A30" i="11"/>
  <c r="A31" i="11"/>
  <c r="A32" i="11"/>
  <c r="A33" i="11"/>
  <c r="A34" i="11"/>
  <c r="A35" i="11"/>
  <c r="A36" i="11"/>
  <c r="J6" i="9"/>
  <c r="J7" i="9" s="1"/>
  <c r="D35" i="9"/>
  <c r="A6" i="9"/>
  <c r="A7" i="9"/>
  <c r="C7" i="9" s="1"/>
  <c r="A8" i="9"/>
  <c r="A9" i="9"/>
  <c r="A10" i="9"/>
  <c r="E10" i="9" s="1"/>
  <c r="A11" i="9"/>
  <c r="B11" i="9" s="1"/>
  <c r="A12" i="9"/>
  <c r="B12" i="9" s="1"/>
  <c r="A13" i="9"/>
  <c r="F13" i="9" s="1"/>
  <c r="A14" i="9"/>
  <c r="D14" i="9" s="1"/>
  <c r="A15" i="9"/>
  <c r="F15" i="9" s="1"/>
  <c r="A16" i="9"/>
  <c r="D16" i="9" s="1"/>
  <c r="A17" i="9"/>
  <c r="A18" i="9"/>
  <c r="A19" i="9"/>
  <c r="A20" i="9"/>
  <c r="A21" i="9"/>
  <c r="G21" i="9" s="1"/>
  <c r="A22" i="9"/>
  <c r="B22" i="9" s="1"/>
  <c r="A23" i="9"/>
  <c r="F23" i="9" s="1"/>
  <c r="A24" i="9"/>
  <c r="G24" i="9" s="1"/>
  <c r="A25" i="9"/>
  <c r="D25" i="9" s="1"/>
  <c r="A26" i="9"/>
  <c r="A27" i="9"/>
  <c r="H27" i="9" s="1"/>
  <c r="A28" i="9"/>
  <c r="D28" i="9" s="1"/>
  <c r="A29" i="9"/>
  <c r="A30" i="9"/>
  <c r="A31" i="9"/>
  <c r="H31" i="9" s="1"/>
  <c r="A32" i="9"/>
  <c r="E32" i="9" s="1"/>
  <c r="A33" i="9"/>
  <c r="E33" i="9" s="1"/>
  <c r="A34" i="9"/>
  <c r="C34" i="9" s="1"/>
  <c r="A35" i="9"/>
  <c r="C35" i="9" s="1"/>
  <c r="A36" i="9"/>
  <c r="E36" i="9" s="1"/>
  <c r="A37" i="9"/>
  <c r="E37" i="9" s="1"/>
  <c r="A38" i="9"/>
  <c r="A39" i="9"/>
  <c r="D39" i="9" s="1"/>
  <c r="A40" i="9"/>
  <c r="C40" i="9" s="1"/>
  <c r="A5" i="7"/>
  <c r="K5" i="7" s="1"/>
  <c r="C5" i="7" s="1"/>
  <c r="A6" i="7"/>
  <c r="B6" i="7" s="1"/>
  <c r="A7" i="7"/>
  <c r="K7" i="7" s="1"/>
  <c r="A8" i="7"/>
  <c r="A9" i="7"/>
  <c r="A10" i="7"/>
  <c r="B10" i="7" s="1"/>
  <c r="A11" i="7"/>
  <c r="A12" i="7"/>
  <c r="A13" i="7"/>
  <c r="A14" i="7"/>
  <c r="B14" i="7" s="1"/>
  <c r="A15" i="7"/>
  <c r="K15" i="7" s="1"/>
  <c r="A16" i="7"/>
  <c r="K16" i="7" s="1"/>
  <c r="A17" i="7"/>
  <c r="A18" i="7"/>
  <c r="K18" i="7" s="1"/>
  <c r="A19" i="7"/>
  <c r="B19" i="7" s="1"/>
  <c r="A20" i="7"/>
  <c r="A21" i="7"/>
  <c r="A22" i="7"/>
  <c r="A23" i="7"/>
  <c r="B23" i="7" s="1"/>
  <c r="A24" i="7"/>
  <c r="A25" i="7"/>
  <c r="A26" i="7"/>
  <c r="A27" i="7"/>
  <c r="A28" i="7"/>
  <c r="A29" i="7"/>
  <c r="A30" i="7"/>
  <c r="B30" i="7" s="1"/>
  <c r="A31" i="7"/>
  <c r="B31" i="7" s="1"/>
  <c r="A32" i="7"/>
  <c r="B32" i="7" s="1"/>
  <c r="A33" i="7"/>
  <c r="A34" i="7"/>
  <c r="A35" i="7"/>
  <c r="A36" i="7"/>
  <c r="A37" i="7"/>
  <c r="A38" i="7"/>
  <c r="A39" i="7"/>
  <c r="K39" i="7" s="1"/>
  <c r="A40" i="7"/>
  <c r="K40" i="7" s="1"/>
  <c r="A41" i="7"/>
  <c r="K41" i="7" s="1"/>
  <c r="A42" i="7"/>
  <c r="K42" i="7" s="1"/>
  <c r="A43" i="7"/>
  <c r="K43" i="7" s="1"/>
  <c r="A44" i="7"/>
  <c r="B44" i="7" s="1"/>
  <c r="A45" i="7"/>
  <c r="B45" i="7" s="1"/>
  <c r="A46" i="7"/>
  <c r="A47" i="7"/>
  <c r="B47" i="7" s="1"/>
  <c r="A48" i="7"/>
  <c r="B48" i="7" s="1"/>
  <c r="A49" i="7"/>
  <c r="K49" i="7" s="1"/>
  <c r="A50" i="7"/>
  <c r="K50" i="7" s="1"/>
  <c r="A51" i="7"/>
  <c r="K51" i="7" s="1"/>
  <c r="C51" i="7" s="1"/>
  <c r="A52" i="7"/>
  <c r="K52" i="7" s="1"/>
  <c r="C52" i="7" s="1"/>
  <c r="A53" i="7"/>
  <c r="A54" i="7"/>
  <c r="B54" i="7" s="1"/>
  <c r="A55" i="7"/>
  <c r="A56" i="7"/>
  <c r="B56" i="7" s="1"/>
  <c r="A57" i="7"/>
  <c r="B57" i="7" s="1"/>
  <c r="A58" i="7"/>
  <c r="B58" i="7" s="1"/>
  <c r="A59" i="7"/>
  <c r="A60" i="7"/>
  <c r="A61" i="7"/>
  <c r="A62" i="7"/>
  <c r="A63" i="7"/>
  <c r="A64" i="7"/>
  <c r="A65" i="7"/>
  <c r="K65" i="7" s="1"/>
  <c r="A66" i="7"/>
  <c r="K66" i="7" s="1"/>
  <c r="C66" i="7" s="1"/>
  <c r="A67" i="7"/>
  <c r="B67" i="7" s="1"/>
  <c r="A68" i="7"/>
  <c r="K68" i="7" s="1"/>
  <c r="A69" i="7"/>
  <c r="A70" i="7"/>
  <c r="A71" i="7"/>
  <c r="B71" i="7" s="1"/>
  <c r="A72" i="7"/>
  <c r="B72" i="7" s="1"/>
  <c r="A73" i="7"/>
  <c r="K73" i="7" s="1"/>
  <c r="A74" i="7"/>
  <c r="A75" i="7"/>
  <c r="A76" i="7"/>
  <c r="A77" i="7"/>
  <c r="K77" i="7" s="1"/>
  <c r="C77" i="7" s="1"/>
  <c r="A78" i="7"/>
  <c r="B78" i="7" s="1"/>
  <c r="A79" i="7"/>
  <c r="A80" i="7"/>
  <c r="A81" i="7"/>
  <c r="A82" i="7"/>
  <c r="A83" i="7"/>
  <c r="A84" i="7"/>
  <c r="A85" i="7"/>
  <c r="A86" i="7"/>
  <c r="B86" i="7" s="1"/>
  <c r="A87" i="7"/>
  <c r="A88" i="7"/>
  <c r="K88" i="7" s="1"/>
  <c r="A89" i="7"/>
  <c r="A90" i="7"/>
  <c r="A91" i="7"/>
  <c r="K91" i="7" s="1"/>
  <c r="A92" i="7"/>
  <c r="B92" i="7" s="1"/>
  <c r="A93" i="7"/>
  <c r="K93" i="7" s="1"/>
  <c r="A94" i="7"/>
  <c r="K94" i="7" s="1"/>
  <c r="A95" i="7"/>
  <c r="B95" i="7" s="1"/>
  <c r="A96" i="7"/>
  <c r="A97" i="7"/>
  <c r="A98" i="7"/>
  <c r="A99" i="7"/>
  <c r="A100" i="7"/>
  <c r="K100" i="7" s="1"/>
  <c r="A101" i="7"/>
  <c r="K101" i="7" s="1"/>
  <c r="A102" i="7"/>
  <c r="B102" i="7" s="1"/>
  <c r="A103" i="7"/>
  <c r="B103" i="7" s="1"/>
  <c r="A104" i="7"/>
  <c r="B104" i="7" s="1"/>
  <c r="A105" i="7"/>
  <c r="B105" i="7" s="1"/>
  <c r="A106" i="7"/>
  <c r="B106" i="7" s="1"/>
  <c r="A107" i="7"/>
  <c r="A108" i="7"/>
  <c r="A109" i="7"/>
  <c r="K109" i="7" s="1"/>
  <c r="A110" i="7"/>
  <c r="A111" i="7"/>
  <c r="A112" i="7"/>
  <c r="A113" i="7"/>
  <c r="K113" i="7" s="1"/>
  <c r="A114" i="7"/>
  <c r="K114" i="7" s="1"/>
  <c r="A115" i="7"/>
  <c r="A116" i="7"/>
  <c r="A117" i="7"/>
  <c r="A118" i="7"/>
  <c r="B118" i="7" s="1"/>
  <c r="A119" i="7"/>
  <c r="B119" i="7" s="1"/>
  <c r="A120" i="7"/>
  <c r="B120" i="7" s="1"/>
  <c r="A121" i="7"/>
  <c r="B121" i="7" s="1"/>
  <c r="A122" i="7"/>
  <c r="A123" i="7"/>
  <c r="A124" i="7"/>
  <c r="K124" i="7" s="1"/>
  <c r="C124" i="7" s="1"/>
  <c r="A125" i="7"/>
  <c r="K125" i="7" s="1"/>
  <c r="C125" i="7" s="1"/>
  <c r="A126" i="7"/>
  <c r="A127" i="7"/>
  <c r="A128" i="7"/>
  <c r="B128" i="7" s="1"/>
  <c r="A129" i="7"/>
  <c r="A130" i="7"/>
  <c r="A131" i="7"/>
  <c r="B131" i="7" s="1"/>
  <c r="A132" i="7"/>
  <c r="B132" i="7" s="1"/>
  <c r="A133" i="7"/>
  <c r="A134" i="7"/>
  <c r="A135" i="7"/>
  <c r="B135" i="7" s="1"/>
  <c r="A136" i="7"/>
  <c r="K136" i="7" s="1"/>
  <c r="A137" i="7"/>
  <c r="K137" i="7" s="1"/>
  <c r="A138" i="7"/>
  <c r="A139" i="7"/>
  <c r="A140" i="7"/>
  <c r="A141" i="7"/>
  <c r="A142" i="7"/>
  <c r="A143" i="7"/>
  <c r="B143" i="7" s="1"/>
  <c r="A144" i="7"/>
  <c r="A145" i="7"/>
  <c r="A146" i="7"/>
  <c r="A147" i="7"/>
  <c r="B147" i="7" s="1"/>
  <c r="A148" i="7"/>
  <c r="A149" i="7"/>
  <c r="K149" i="7" s="1"/>
  <c r="C149" i="7" s="1"/>
  <c r="A150" i="7"/>
  <c r="B150" i="7" s="1"/>
  <c r="A151" i="7"/>
  <c r="B151" i="7" s="1"/>
  <c r="A152" i="7"/>
  <c r="K152" i="7" s="1"/>
  <c r="A153" i="7"/>
  <c r="K153" i="7" s="1"/>
  <c r="A154" i="7"/>
  <c r="A155" i="7"/>
  <c r="B155" i="7" s="1"/>
  <c r="A156" i="7"/>
  <c r="A157" i="7"/>
  <c r="A158" i="7"/>
  <c r="A159" i="7"/>
  <c r="K159" i="7" s="1"/>
  <c r="C159" i="7" s="1"/>
  <c r="A160" i="7"/>
  <c r="A161" i="7"/>
  <c r="A162" i="7"/>
  <c r="K162" i="7" s="1"/>
  <c r="C162" i="7" s="1"/>
  <c r="A163" i="7"/>
  <c r="K163" i="7" s="1"/>
  <c r="C163" i="7" s="1"/>
  <c r="A164" i="7"/>
  <c r="K164" i="7" s="1"/>
  <c r="A165" i="7"/>
  <c r="A166" i="7"/>
  <c r="A167" i="7"/>
  <c r="B167" i="7" s="1"/>
  <c r="A168" i="7"/>
  <c r="A169" i="7"/>
  <c r="K169" i="7" s="1"/>
  <c r="A170" i="7"/>
  <c r="A171" i="7"/>
  <c r="K171" i="7" s="1"/>
  <c r="A172" i="7"/>
  <c r="K172" i="7" s="1"/>
  <c r="A173" i="7"/>
  <c r="K173" i="7" s="1"/>
  <c r="C173" i="7" s="1"/>
  <c r="A174" i="7"/>
  <c r="A175" i="7"/>
  <c r="B175" i="7" s="1"/>
  <c r="A176" i="7"/>
  <c r="B176" i="7" s="1"/>
  <c r="A177" i="7"/>
  <c r="K177" i="7" s="1"/>
  <c r="A178" i="7"/>
  <c r="B178" i="7" s="1"/>
  <c r="A179" i="7"/>
  <c r="B179" i="7" s="1"/>
  <c r="A180" i="7"/>
  <c r="A181" i="7"/>
  <c r="K181" i="7" s="1"/>
  <c r="A182" i="7"/>
  <c r="B182" i="7" s="1"/>
  <c r="A183" i="7"/>
  <c r="A184" i="7"/>
  <c r="K184" i="7" s="1"/>
  <c r="A185" i="7"/>
  <c r="K185" i="7" s="1"/>
  <c r="A186" i="7"/>
  <c r="K186" i="7" s="1"/>
  <c r="A187" i="7"/>
  <c r="K187" i="7" s="1"/>
  <c r="A188" i="7"/>
  <c r="B188" i="7" s="1"/>
  <c r="A189" i="7"/>
  <c r="A190" i="7"/>
  <c r="A191" i="7"/>
  <c r="B191" i="7" s="1"/>
  <c r="A192" i="7"/>
  <c r="A193" i="7"/>
  <c r="A194" i="7"/>
  <c r="A195" i="7"/>
  <c r="A196" i="7"/>
  <c r="A197" i="7"/>
  <c r="K197" i="7" s="1"/>
  <c r="C197" i="7" s="1"/>
  <c r="A198" i="7"/>
  <c r="K198" i="7" s="1"/>
  <c r="C198" i="7" s="1"/>
  <c r="A199" i="7"/>
  <c r="K199" i="7" s="1"/>
  <c r="A200" i="7"/>
  <c r="A201" i="7"/>
  <c r="K201" i="7" s="1"/>
  <c r="A202" i="7"/>
  <c r="A203" i="7"/>
  <c r="B203" i="7" s="1"/>
  <c r="A204" i="7"/>
  <c r="B204" i="7" s="1"/>
  <c r="A205" i="7"/>
  <c r="A206" i="7"/>
  <c r="A207" i="7"/>
  <c r="A208" i="7"/>
  <c r="K208" i="7" s="1"/>
  <c r="C208" i="7" s="1"/>
  <c r="A209" i="7"/>
  <c r="A210" i="7"/>
  <c r="K210" i="7" s="1"/>
  <c r="C210" i="7" s="1"/>
  <c r="A211" i="7"/>
  <c r="B211" i="7" s="1"/>
  <c r="A212" i="7"/>
  <c r="A213" i="7"/>
  <c r="B213" i="7" s="1"/>
  <c r="A214" i="7"/>
  <c r="B214" i="7" s="1"/>
  <c r="A215" i="7"/>
  <c r="B215" i="7" s="1"/>
  <c r="A216" i="7"/>
  <c r="B216" i="7" s="1"/>
  <c r="A217" i="7"/>
  <c r="B217" i="7" s="1"/>
  <c r="A218" i="7"/>
  <c r="B218" i="7" s="1"/>
  <c r="A219" i="7"/>
  <c r="A220" i="7"/>
  <c r="A221" i="7"/>
  <c r="K221" i="7" s="1"/>
  <c r="A222" i="7"/>
  <c r="K222" i="7" s="1"/>
  <c r="A223" i="7"/>
  <c r="K223" i="7" s="1"/>
  <c r="C223" i="7" s="1"/>
  <c r="A224" i="7"/>
  <c r="K224" i="7" s="1"/>
  <c r="A225" i="7"/>
  <c r="A226" i="7"/>
  <c r="A227" i="7"/>
  <c r="A228" i="7"/>
  <c r="A229" i="7"/>
  <c r="A230" i="7"/>
  <c r="A231" i="7"/>
  <c r="A232" i="7"/>
  <c r="K232" i="7" s="1"/>
  <c r="C232" i="7" s="1"/>
  <c r="A233" i="7"/>
  <c r="A234" i="7"/>
  <c r="B234" i="7" s="1"/>
  <c r="A235" i="7"/>
  <c r="A236" i="7"/>
  <c r="A237" i="7"/>
  <c r="A238" i="7"/>
  <c r="K238" i="7" s="1"/>
  <c r="A239" i="7"/>
  <c r="B239" i="7" s="1"/>
  <c r="A240" i="7"/>
  <c r="B240" i="7" s="1"/>
  <c r="A241" i="7"/>
  <c r="B241" i="7" s="1"/>
  <c r="A242" i="7"/>
  <c r="B242" i="7" s="1"/>
  <c r="A243" i="7"/>
  <c r="A244" i="7"/>
  <c r="A245" i="7"/>
  <c r="A246" i="7"/>
  <c r="K246" i="7" s="1"/>
  <c r="C246" i="7" s="1"/>
  <c r="A247" i="7"/>
  <c r="K247" i="7" s="1"/>
  <c r="C247" i="7" s="1"/>
  <c r="A248" i="7"/>
  <c r="A249" i="7"/>
  <c r="B249" i="7" s="1"/>
  <c r="A250" i="7"/>
  <c r="A251" i="7"/>
  <c r="A252" i="7"/>
  <c r="A253" i="7"/>
  <c r="A254" i="7"/>
  <c r="A255" i="7"/>
  <c r="A256" i="7"/>
  <c r="K256" i="7" s="1"/>
  <c r="J256" i="7" s="1"/>
  <c r="A257" i="7"/>
  <c r="K257" i="7" s="1"/>
  <c r="E257" i="7" s="1"/>
  <c r="A258" i="7"/>
  <c r="A259" i="7"/>
  <c r="B259" i="7" s="1"/>
  <c r="A260" i="7"/>
  <c r="B260" i="7" s="1"/>
  <c r="A261" i="7"/>
  <c r="B261" i="7" s="1"/>
  <c r="A262" i="7"/>
  <c r="B262" i="7" s="1"/>
  <c r="A263" i="7"/>
  <c r="B263" i="7" s="1"/>
  <c r="A264" i="7"/>
  <c r="A265" i="7"/>
  <c r="A266" i="7"/>
  <c r="A267" i="7"/>
  <c r="A268" i="7"/>
  <c r="K268" i="7" s="1"/>
  <c r="H268" i="7" s="1"/>
  <c r="A269" i="7"/>
  <c r="K269" i="7" s="1"/>
  <c r="E269" i="7" s="1"/>
  <c r="A270" i="7"/>
  <c r="B270" i="7" s="1"/>
  <c r="A271" i="7"/>
  <c r="K271" i="7" s="1"/>
  <c r="A272" i="7"/>
  <c r="K272" i="7" s="1"/>
  <c r="I272" i="7" s="1"/>
  <c r="A273" i="7"/>
  <c r="A274" i="7"/>
  <c r="A275" i="7"/>
  <c r="B275" i="7" s="1"/>
  <c r="A276" i="7"/>
  <c r="B276" i="7" s="1"/>
  <c r="A277" i="7"/>
  <c r="A278" i="7"/>
  <c r="A279" i="7"/>
  <c r="A280" i="7"/>
  <c r="A281" i="7"/>
  <c r="K281" i="7" s="1"/>
  <c r="I281" i="7" s="1"/>
  <c r="A282" i="7"/>
  <c r="A283" i="7"/>
  <c r="A284" i="7"/>
  <c r="A285" i="7"/>
  <c r="A286" i="7"/>
  <c r="A287" i="7"/>
  <c r="B287" i="7" s="1"/>
  <c r="A288" i="7"/>
  <c r="B288" i="7" s="1"/>
  <c r="A289" i="7"/>
  <c r="A290" i="7"/>
  <c r="A291" i="7"/>
  <c r="A292" i="7"/>
  <c r="A293" i="7"/>
  <c r="K293" i="7" s="1"/>
  <c r="C293" i="7" s="1"/>
  <c r="A294" i="7"/>
  <c r="B294" i="7" s="1"/>
  <c r="A295" i="7"/>
  <c r="B295" i="7" s="1"/>
  <c r="A296" i="7"/>
  <c r="A297" i="7"/>
  <c r="A298" i="7"/>
  <c r="B298" i="7" s="1"/>
  <c r="A299" i="7"/>
  <c r="B299" i="7" s="1"/>
  <c r="A300" i="7"/>
  <c r="B300" i="7" s="1"/>
  <c r="A301" i="7"/>
  <c r="K301" i="7" s="1"/>
  <c r="E301" i="7" s="1"/>
  <c r="A302" i="7"/>
  <c r="K302" i="7" s="1"/>
  <c r="A303" i="7"/>
  <c r="K303" i="7" s="1"/>
  <c r="J303" i="7" s="1"/>
  <c r="A304" i="7"/>
  <c r="K304" i="7" s="1"/>
  <c r="C304" i="7" s="1"/>
  <c r="A305" i="7"/>
  <c r="A306" i="7"/>
  <c r="B306" i="7" s="1"/>
  <c r="A307" i="7"/>
  <c r="K307" i="7" s="1"/>
  <c r="F307" i="7" s="1"/>
  <c r="A308" i="7"/>
  <c r="A309" i="7"/>
  <c r="K309" i="7" s="1"/>
  <c r="G309" i="7" s="1"/>
  <c r="A310" i="7"/>
  <c r="A311" i="7"/>
  <c r="B311" i="7" s="1"/>
  <c r="A312" i="7"/>
  <c r="A313" i="7"/>
  <c r="A314" i="7"/>
  <c r="B314" i="7" s="1"/>
  <c r="A315" i="7"/>
  <c r="A316" i="7"/>
  <c r="K316" i="7" s="1"/>
  <c r="H316" i="7" s="1"/>
  <c r="A317" i="7"/>
  <c r="K317" i="7" s="1"/>
  <c r="A318" i="7"/>
  <c r="A319" i="7"/>
  <c r="A320" i="7"/>
  <c r="A321" i="7"/>
  <c r="A322" i="7"/>
  <c r="B322" i="7" s="1"/>
  <c r="A323" i="7"/>
  <c r="B323" i="7" s="1"/>
  <c r="A324" i="7"/>
  <c r="A325" i="7"/>
  <c r="K325" i="7" s="1"/>
  <c r="E325" i="7" s="1"/>
  <c r="A326" i="7"/>
  <c r="A327" i="7"/>
  <c r="A328" i="7"/>
  <c r="A329" i="7"/>
  <c r="K329" i="7" s="1"/>
  <c r="H329" i="7" s="1"/>
  <c r="A330" i="7"/>
  <c r="A331" i="7"/>
  <c r="K331" i="7" s="1"/>
  <c r="I331" i="7" s="1"/>
  <c r="A332" i="7"/>
  <c r="B332" i="7" s="1"/>
  <c r="A333" i="7"/>
  <c r="A334" i="7"/>
  <c r="A335" i="7"/>
  <c r="B335" i="7" s="1"/>
  <c r="A336" i="7"/>
  <c r="A337" i="7"/>
  <c r="A338" i="7"/>
  <c r="K338" i="7" s="1"/>
  <c r="A339" i="7"/>
  <c r="A340" i="7"/>
  <c r="A341" i="7"/>
  <c r="K341" i="7" s="1"/>
  <c r="F341" i="7" s="1"/>
  <c r="A342" i="7"/>
  <c r="K342" i="7" s="1"/>
  <c r="E342" i="7" s="1"/>
  <c r="A343" i="7"/>
  <c r="A344" i="7"/>
  <c r="A345" i="7"/>
  <c r="A346" i="7"/>
  <c r="A347" i="7"/>
  <c r="B347" i="7" s="1"/>
  <c r="A348" i="7"/>
  <c r="B348" i="7" s="1"/>
  <c r="A349" i="7"/>
  <c r="B349" i="7" s="1"/>
  <c r="A350" i="7"/>
  <c r="A351" i="7"/>
  <c r="A352" i="7"/>
  <c r="K352" i="7" s="1"/>
  <c r="J352" i="7" s="1"/>
  <c r="A353" i="7"/>
  <c r="K353" i="7" s="1"/>
  <c r="D353" i="7" s="1"/>
  <c r="A354" i="7"/>
  <c r="K354" i="7" s="1"/>
  <c r="F354" i="7" s="1"/>
  <c r="A355" i="7"/>
  <c r="A356" i="7"/>
  <c r="A357" i="7"/>
  <c r="A358" i="7"/>
  <c r="A359" i="7"/>
  <c r="B359" i="7" s="1"/>
  <c r="A360" i="7"/>
  <c r="A361" i="7"/>
  <c r="A362" i="7"/>
  <c r="A363" i="7"/>
  <c r="B363" i="7" s="1"/>
  <c r="A364" i="7"/>
  <c r="A365" i="7"/>
  <c r="K365" i="7" s="1"/>
  <c r="H365" i="7" s="1"/>
  <c r="A366" i="7"/>
  <c r="K366" i="7" s="1"/>
  <c r="A367" i="7"/>
  <c r="K367" i="7" s="1"/>
  <c r="A368" i="7"/>
  <c r="A369" i="7"/>
  <c r="D42" i="6"/>
  <c r="D43" i="6"/>
  <c r="B31" i="6"/>
  <c r="C31" i="6" s="1"/>
  <c r="B36" i="6"/>
  <c r="A59" i="6"/>
  <c r="A58" i="6"/>
  <c r="A57" i="6"/>
  <c r="C57" i="6" s="1"/>
  <c r="I57" i="6" s="1"/>
  <c r="A56" i="6"/>
  <c r="C56" i="6" s="1"/>
  <c r="A55" i="6"/>
  <c r="A54" i="6"/>
  <c r="D54" i="6" s="1"/>
  <c r="A53" i="6"/>
  <c r="A52" i="6"/>
  <c r="A51" i="6"/>
  <c r="B51" i="6" s="1"/>
  <c r="A50" i="6"/>
  <c r="B50" i="6" s="1"/>
  <c r="A49" i="6"/>
  <c r="A48" i="6"/>
  <c r="C48" i="6" s="1"/>
  <c r="A47" i="6"/>
  <c r="D47" i="6" s="1"/>
  <c r="A46" i="6"/>
  <c r="A45" i="6"/>
  <c r="C45" i="6" s="1"/>
  <c r="G45" i="6" s="1"/>
  <c r="A44" i="6"/>
  <c r="C44" i="6" s="1"/>
  <c r="G44" i="6" s="1"/>
  <c r="A43" i="6"/>
  <c r="A42" i="6"/>
  <c r="A41" i="6"/>
  <c r="D41" i="6" s="1"/>
  <c r="A40" i="6"/>
  <c r="D40" i="6" s="1"/>
  <c r="A39" i="6"/>
  <c r="B39" i="6" s="1"/>
  <c r="A38" i="6"/>
  <c r="C38" i="6" s="1"/>
  <c r="H38" i="6" s="1"/>
  <c r="A37" i="6"/>
  <c r="C37" i="6" s="1"/>
  <c r="G37" i="6" s="1"/>
  <c r="A36" i="6"/>
  <c r="A35" i="6"/>
  <c r="A34" i="6"/>
  <c r="A33" i="6"/>
  <c r="A32" i="6"/>
  <c r="A31" i="6"/>
  <c r="A30" i="6"/>
  <c r="B30" i="6" s="1"/>
  <c r="E20" i="6"/>
  <c r="E19" i="6"/>
  <c r="E18" i="6"/>
  <c r="H15" i="6"/>
  <c r="G15" i="6"/>
  <c r="F15" i="6"/>
  <c r="E15" i="6"/>
  <c r="E12" i="6"/>
  <c r="H10" i="6"/>
  <c r="G10" i="6"/>
  <c r="F10" i="6"/>
  <c r="E10" i="6"/>
  <c r="H8" i="6"/>
  <c r="G8" i="6"/>
  <c r="F8" i="6"/>
  <c r="E7" i="6"/>
  <c r="B13" i="6"/>
  <c r="B9" i="6"/>
  <c r="A40" i="4"/>
  <c r="B40" i="4" s="1"/>
  <c r="AS40" i="10"/>
  <c r="AP28" i="10"/>
  <c r="AP40" i="10"/>
  <c r="AO16" i="10"/>
  <c r="AK16" i="10"/>
  <c r="AI40" i="10"/>
  <c r="AH16" i="10"/>
  <c r="AH28" i="10"/>
  <c r="AF16" i="10"/>
  <c r="AF40" i="10"/>
  <c r="AE16" i="10"/>
  <c r="AB40" i="10"/>
  <c r="Z32" i="10"/>
  <c r="Z33" i="10"/>
  <c r="Y16" i="10"/>
  <c r="X24" i="10"/>
  <c r="W28" i="10"/>
  <c r="T36" i="10"/>
  <c r="S16" i="10"/>
  <c r="Q16" i="10"/>
  <c r="Q28" i="10"/>
  <c r="P16" i="10"/>
  <c r="H28" i="10"/>
  <c r="F28" i="10"/>
  <c r="E16" i="10"/>
  <c r="E28" i="10"/>
  <c r="E40" i="10"/>
  <c r="C29" i="10"/>
  <c r="A6" i="10"/>
  <c r="A6" i="4" s="1"/>
  <c r="A7" i="10"/>
  <c r="A8" i="10"/>
  <c r="A9" i="10"/>
  <c r="A10" i="10"/>
  <c r="C10" i="10" s="1"/>
  <c r="A11" i="10"/>
  <c r="A11" i="4" s="1"/>
  <c r="A12" i="10"/>
  <c r="A12" i="4" s="1"/>
  <c r="C12" i="4" s="1"/>
  <c r="A13" i="10"/>
  <c r="AG13" i="10" s="1"/>
  <c r="A14" i="10"/>
  <c r="AG14" i="10" s="1"/>
  <c r="A15" i="10"/>
  <c r="S15" i="3" s="1"/>
  <c r="A16" i="10"/>
  <c r="G16" i="10" s="1"/>
  <c r="A17" i="10"/>
  <c r="P17" i="10" s="1"/>
  <c r="A18" i="10"/>
  <c r="Q18" i="10" s="1"/>
  <c r="A19" i="10"/>
  <c r="A20" i="10"/>
  <c r="U20" i="10" s="1"/>
  <c r="A21" i="10"/>
  <c r="H21" i="10" s="1"/>
  <c r="A22" i="10"/>
  <c r="AA22" i="10" s="1"/>
  <c r="A23" i="10"/>
  <c r="S23" i="3" s="1"/>
  <c r="A24" i="10"/>
  <c r="AC24" i="10" s="1"/>
  <c r="A25" i="10"/>
  <c r="X25" i="10" s="1"/>
  <c r="A26" i="10"/>
  <c r="V26" i="10" s="1"/>
  <c r="A27" i="10"/>
  <c r="X27" i="10" s="1"/>
  <c r="A28" i="10"/>
  <c r="AB28" i="10" s="1"/>
  <c r="A29" i="10"/>
  <c r="S29" i="10" s="1"/>
  <c r="A30" i="10"/>
  <c r="AF30" i="10" s="1"/>
  <c r="A31" i="10"/>
  <c r="A32" i="10"/>
  <c r="AG32" i="10" s="1"/>
  <c r="A33" i="10"/>
  <c r="A33" i="5" s="1"/>
  <c r="C33" i="5" s="1"/>
  <c r="A34" i="10"/>
  <c r="AN34" i="10" s="1"/>
  <c r="A35" i="10"/>
  <c r="AA35" i="10" s="1"/>
  <c r="A36" i="10"/>
  <c r="B36" i="10" s="1"/>
  <c r="A37" i="10"/>
  <c r="S37" i="3" s="1"/>
  <c r="A38" i="10"/>
  <c r="I38" i="10" s="1"/>
  <c r="A39" i="10"/>
  <c r="AO39" i="10" s="1"/>
  <c r="A40" i="10"/>
  <c r="Y40" i="10" s="1"/>
  <c r="BP2" i="10"/>
  <c r="BK2" i="10"/>
  <c r="BF2" i="10"/>
  <c r="BA2" i="10"/>
  <c r="AV2" i="10"/>
  <c r="W13" i="3"/>
  <c r="W14" i="3"/>
  <c r="W15" i="3"/>
  <c r="W16" i="3"/>
  <c r="W17" i="3"/>
  <c r="W18" i="3"/>
  <c r="W19" i="3"/>
  <c r="W20" i="3"/>
  <c r="W21" i="3"/>
  <c r="W22" i="3"/>
  <c r="W23" i="3"/>
  <c r="W24" i="3"/>
  <c r="W25" i="3"/>
  <c r="W26" i="3"/>
  <c r="W27" i="3"/>
  <c r="W28" i="3"/>
  <c r="W29" i="3"/>
  <c r="W30" i="3"/>
  <c r="W31" i="3"/>
  <c r="W32" i="3"/>
  <c r="W33" i="3"/>
  <c r="W34" i="3"/>
  <c r="W35" i="3"/>
  <c r="W36" i="3"/>
  <c r="W37" i="3"/>
  <c r="W38" i="3"/>
  <c r="W39" i="3"/>
  <c r="W40" i="3"/>
  <c r="S13" i="3"/>
  <c r="Q28" i="3"/>
  <c r="R28" i="3"/>
  <c r="S28" i="3"/>
  <c r="T28" i="3"/>
  <c r="U28" i="3"/>
  <c r="Q40" i="3"/>
  <c r="R40" i="3"/>
  <c r="S40" i="3"/>
  <c r="T40" i="3"/>
  <c r="B34" i="2"/>
  <c r="BZ2" i="10" s="1"/>
  <c r="B9" i="2"/>
  <c r="E22" i="10" l="1"/>
  <c r="D22" i="9"/>
  <c r="AA34" i="10"/>
  <c r="AP32" i="10"/>
  <c r="T22" i="3"/>
  <c r="E23" i="9"/>
  <c r="T21" i="10"/>
  <c r="AB21" i="10"/>
  <c r="F36" i="9"/>
  <c r="U22" i="3"/>
  <c r="V21" i="3"/>
  <c r="T20" i="10"/>
  <c r="AS30" i="10"/>
  <c r="V22" i="3"/>
  <c r="AI34" i="10"/>
  <c r="E37" i="6"/>
  <c r="T37" i="3"/>
  <c r="B20" i="10"/>
  <c r="AB16" i="10"/>
  <c r="AS28" i="10"/>
  <c r="R34" i="10"/>
  <c r="AH34" i="10"/>
  <c r="Q22" i="3"/>
  <c r="B34" i="10"/>
  <c r="AB20" i="10"/>
  <c r="V18" i="3"/>
  <c r="I40" i="10"/>
  <c r="T16" i="10"/>
  <c r="AK34" i="10"/>
  <c r="S30" i="3"/>
  <c r="V16" i="3"/>
  <c r="C34" i="10"/>
  <c r="I28" i="10"/>
  <c r="W29" i="10"/>
  <c r="AC40" i="10"/>
  <c r="AK28" i="10"/>
  <c r="AS16" i="10"/>
  <c r="AP33" i="10"/>
  <c r="AM34" i="10"/>
  <c r="A20" i="4"/>
  <c r="E30" i="10"/>
  <c r="Y28" i="10"/>
  <c r="AM20" i="10"/>
  <c r="I40" i="4"/>
  <c r="E29" i="10"/>
  <c r="Q17" i="10"/>
  <c r="AF29" i="10"/>
  <c r="B23" i="9"/>
  <c r="B37" i="6"/>
  <c r="C28" i="9"/>
  <c r="V14" i="3"/>
  <c r="B25" i="10"/>
  <c r="T37" i="10"/>
  <c r="B331" i="7"/>
  <c r="B247" i="7"/>
  <c r="B184" i="7"/>
  <c r="B100" i="7"/>
  <c r="B41" i="7"/>
  <c r="K323" i="7"/>
  <c r="E323" i="7" s="1"/>
  <c r="K249" i="7"/>
  <c r="K176" i="7"/>
  <c r="K105" i="7"/>
  <c r="K31" i="7"/>
  <c r="D304" i="7"/>
  <c r="C27" i="9"/>
  <c r="D21" i="9"/>
  <c r="F28" i="9"/>
  <c r="H34" i="9"/>
  <c r="B316" i="7"/>
  <c r="B246" i="7"/>
  <c r="B164" i="7"/>
  <c r="B91" i="7"/>
  <c r="B40" i="7"/>
  <c r="K322" i="7"/>
  <c r="I322" i="7" s="1"/>
  <c r="K175" i="7"/>
  <c r="C175" i="7" s="1"/>
  <c r="K104" i="7"/>
  <c r="K30" i="7"/>
  <c r="D281" i="7"/>
  <c r="F293" i="7"/>
  <c r="J268" i="7"/>
  <c r="B37" i="9"/>
  <c r="C25" i="9"/>
  <c r="D10" i="9"/>
  <c r="F25" i="9"/>
  <c r="H23" i="9"/>
  <c r="B307" i="7"/>
  <c r="B223" i="7"/>
  <c r="B163" i="7"/>
  <c r="B73" i="7"/>
  <c r="B18" i="7"/>
  <c r="K306" i="7"/>
  <c r="K240" i="7"/>
  <c r="K151" i="7"/>
  <c r="K103" i="7"/>
  <c r="K19" i="7"/>
  <c r="E365" i="7"/>
  <c r="B36" i="9"/>
  <c r="C23" i="9"/>
  <c r="E40" i="9"/>
  <c r="F24" i="9"/>
  <c r="H22" i="9"/>
  <c r="B38" i="6"/>
  <c r="I37" i="10"/>
  <c r="AM36" i="10"/>
  <c r="B367" i="7"/>
  <c r="B221" i="7"/>
  <c r="B162" i="7"/>
  <c r="B68" i="7"/>
  <c r="B16" i="7"/>
  <c r="K299" i="7"/>
  <c r="K217" i="7"/>
  <c r="K150" i="7"/>
  <c r="K102" i="7"/>
  <c r="E354" i="7"/>
  <c r="G331" i="7"/>
  <c r="B35" i="9"/>
  <c r="C22" i="9"/>
  <c r="E35" i="9"/>
  <c r="F16" i="9"/>
  <c r="H13" i="9"/>
  <c r="U27" i="3"/>
  <c r="B366" i="7"/>
  <c r="B304" i="7"/>
  <c r="B210" i="7"/>
  <c r="B159" i="7"/>
  <c r="B66" i="7"/>
  <c r="B15" i="7"/>
  <c r="K295" i="7"/>
  <c r="K216" i="7"/>
  <c r="K147" i="7"/>
  <c r="C147" i="7" s="1"/>
  <c r="K72" i="7"/>
  <c r="K6" i="7"/>
  <c r="B28" i="9"/>
  <c r="D40" i="9"/>
  <c r="E34" i="9"/>
  <c r="D37" i="10"/>
  <c r="F16" i="10"/>
  <c r="I16" i="10"/>
  <c r="R16" i="10"/>
  <c r="U40" i="10"/>
  <c r="W22" i="10"/>
  <c r="Z27" i="10"/>
  <c r="AC28" i="10"/>
  <c r="AF12" i="10"/>
  <c r="AI16" i="10"/>
  <c r="AP16" i="10"/>
  <c r="A28" i="4"/>
  <c r="W40" i="4"/>
  <c r="F37" i="6"/>
  <c r="B365" i="7"/>
  <c r="B302" i="7"/>
  <c r="B208" i="7"/>
  <c r="B153" i="7"/>
  <c r="B65" i="7"/>
  <c r="B7" i="7"/>
  <c r="K288" i="7"/>
  <c r="J288" i="7" s="1"/>
  <c r="K215" i="7"/>
  <c r="K143" i="7"/>
  <c r="K71" i="7"/>
  <c r="C353" i="7"/>
  <c r="W23" i="10"/>
  <c r="U16" i="3"/>
  <c r="F15" i="10"/>
  <c r="AJ40" i="10"/>
  <c r="B354" i="7"/>
  <c r="B301" i="7"/>
  <c r="B201" i="7"/>
  <c r="B52" i="7"/>
  <c r="K287" i="7"/>
  <c r="D287" i="7" s="1"/>
  <c r="K211" i="7"/>
  <c r="C211" i="7" s="1"/>
  <c r="K132" i="7"/>
  <c r="C352" i="7"/>
  <c r="E341" i="7"/>
  <c r="H269" i="7"/>
  <c r="B16" i="9"/>
  <c r="D34" i="9"/>
  <c r="E22" i="9"/>
  <c r="G37" i="9"/>
  <c r="W25" i="10"/>
  <c r="V36" i="3"/>
  <c r="C25" i="10"/>
  <c r="Q36" i="3"/>
  <c r="D36" i="10"/>
  <c r="P40" i="10"/>
  <c r="W16" i="10"/>
  <c r="Z12" i="10"/>
  <c r="AN40" i="10"/>
  <c r="B353" i="7"/>
  <c r="B281" i="7"/>
  <c r="B199" i="7"/>
  <c r="B125" i="7"/>
  <c r="B51" i="7"/>
  <c r="K359" i="7"/>
  <c r="K275" i="7"/>
  <c r="K204" i="7"/>
  <c r="K131" i="7"/>
  <c r="C131" i="7" s="1"/>
  <c r="K67" i="7"/>
  <c r="C67" i="7" s="1"/>
  <c r="I352" i="7"/>
  <c r="E16" i="9"/>
  <c r="G33" i="9"/>
  <c r="F38" i="6"/>
  <c r="T27" i="3"/>
  <c r="T25" i="3"/>
  <c r="R11" i="10"/>
  <c r="U34" i="3"/>
  <c r="S25" i="3"/>
  <c r="D35" i="10"/>
  <c r="P24" i="10"/>
  <c r="S34" i="10"/>
  <c r="X40" i="10"/>
  <c r="AC16" i="10"/>
  <c r="AJ33" i="10"/>
  <c r="AQ28" i="10"/>
  <c r="R16" i="3"/>
  <c r="D34" i="10"/>
  <c r="G22" i="10"/>
  <c r="P23" i="10"/>
  <c r="S32" i="10"/>
  <c r="X28" i="10"/>
  <c r="AA36" i="10"/>
  <c r="AD40" i="10"/>
  <c r="AG28" i="10"/>
  <c r="AJ28" i="10"/>
  <c r="AN16" i="10"/>
  <c r="AQ16" i="10"/>
  <c r="A32" i="5"/>
  <c r="C32" i="5" s="1"/>
  <c r="C39" i="6"/>
  <c r="B352" i="7"/>
  <c r="B271" i="7"/>
  <c r="B198" i="7"/>
  <c r="B124" i="7"/>
  <c r="B50" i="7"/>
  <c r="K348" i="7"/>
  <c r="K270" i="7"/>
  <c r="K203" i="7"/>
  <c r="K120" i="7"/>
  <c r="K57" i="7"/>
  <c r="C281" i="7"/>
  <c r="E268" i="7"/>
  <c r="C39" i="9"/>
  <c r="D27" i="9"/>
  <c r="D38" i="6"/>
  <c r="V27" i="3"/>
  <c r="W24" i="10"/>
  <c r="V35" i="3"/>
  <c r="T16" i="3"/>
  <c r="U37" i="10"/>
  <c r="AC22" i="10"/>
  <c r="AG40" i="10"/>
  <c r="AQ40" i="10"/>
  <c r="C51" i="6"/>
  <c r="H51" i="6" s="1"/>
  <c r="S16" i="3"/>
  <c r="F14" i="10"/>
  <c r="U28" i="10"/>
  <c r="Z11" i="10"/>
  <c r="AN28" i="10"/>
  <c r="A14" i="4"/>
  <c r="M14" i="4" s="1"/>
  <c r="V40" i="3"/>
  <c r="T23" i="3"/>
  <c r="U40" i="3"/>
  <c r="V28" i="3"/>
  <c r="Q16" i="3"/>
  <c r="D28" i="10"/>
  <c r="H40" i="10"/>
  <c r="P22" i="10"/>
  <c r="U16" i="10"/>
  <c r="AD28" i="10"/>
  <c r="AG16" i="10"/>
  <c r="AJ22" i="10"/>
  <c r="AN13" i="10"/>
  <c r="AR40" i="10"/>
  <c r="A16" i="5"/>
  <c r="D51" i="6"/>
  <c r="I37" i="6"/>
  <c r="B342" i="7"/>
  <c r="B268" i="7"/>
  <c r="B197" i="7"/>
  <c r="B114" i="7"/>
  <c r="B49" i="7"/>
  <c r="K347" i="7"/>
  <c r="E347" i="7" s="1"/>
  <c r="K263" i="7"/>
  <c r="K191" i="7"/>
  <c r="C191" i="7" s="1"/>
  <c r="K119" i="7"/>
  <c r="K56" i="7"/>
  <c r="D354" i="7"/>
  <c r="I304" i="7"/>
  <c r="F40" i="9"/>
  <c r="G23" i="9"/>
  <c r="V40" i="10"/>
  <c r="X26" i="10"/>
  <c r="AE40" i="10"/>
  <c r="AJ16" i="10"/>
  <c r="AR28" i="10"/>
  <c r="B341" i="7"/>
  <c r="B257" i="7"/>
  <c r="B187" i="7"/>
  <c r="B113" i="7"/>
  <c r="B43" i="7"/>
  <c r="K335" i="7"/>
  <c r="K260" i="7"/>
  <c r="K179" i="7"/>
  <c r="C179" i="7" s="1"/>
  <c r="K118" i="7"/>
  <c r="K48" i="7"/>
  <c r="F365" i="7"/>
  <c r="D23" i="9"/>
  <c r="F37" i="9"/>
  <c r="G22" i="9"/>
  <c r="U15" i="3"/>
  <c r="H24" i="10"/>
  <c r="Q40" i="10"/>
  <c r="T40" i="10"/>
  <c r="V16" i="10"/>
  <c r="AE28" i="10"/>
  <c r="AK40" i="10"/>
  <c r="AO28" i="10"/>
  <c r="AR16" i="10"/>
  <c r="B338" i="7"/>
  <c r="B256" i="7"/>
  <c r="B185" i="7"/>
  <c r="B101" i="7"/>
  <c r="B42" i="7"/>
  <c r="K332" i="7"/>
  <c r="K259" i="7"/>
  <c r="K178" i="7"/>
  <c r="K106" i="7"/>
  <c r="K47" i="7"/>
  <c r="C47" i="7" s="1"/>
  <c r="D352" i="7"/>
  <c r="J341" i="7"/>
  <c r="I56" i="6"/>
  <c r="E56" i="6"/>
  <c r="Y6" i="4"/>
  <c r="B6" i="4"/>
  <c r="AJ30" i="10"/>
  <c r="W30" i="10"/>
  <c r="A30" i="4"/>
  <c r="R30" i="4" s="1"/>
  <c r="U30" i="10"/>
  <c r="AN30" i="10"/>
  <c r="AC30" i="10"/>
  <c r="X30" i="10"/>
  <c r="H30" i="10"/>
  <c r="F30" i="10"/>
  <c r="V30" i="3"/>
  <c r="I30" i="10"/>
  <c r="AR30" i="10"/>
  <c r="R30" i="10"/>
  <c r="AG30" i="10"/>
  <c r="Q30" i="10"/>
  <c r="AL30" i="10"/>
  <c r="C30" i="10"/>
  <c r="H26" i="11" s="1"/>
  <c r="T30" i="3"/>
  <c r="A30" i="5"/>
  <c r="AH30" i="10"/>
  <c r="AE30" i="10"/>
  <c r="U30" i="3"/>
  <c r="AP30" i="10"/>
  <c r="AQ18" i="10"/>
  <c r="AP18" i="10"/>
  <c r="Z18" i="10"/>
  <c r="R18" i="10"/>
  <c r="AL18" i="10"/>
  <c r="AE18" i="10"/>
  <c r="H18" i="10"/>
  <c r="AR18" i="10"/>
  <c r="AD18" i="10"/>
  <c r="R18" i="3"/>
  <c r="AO18" i="10"/>
  <c r="S18" i="10"/>
  <c r="U18" i="3"/>
  <c r="AS18" i="10"/>
  <c r="S18" i="3"/>
  <c r="T18" i="3"/>
  <c r="T18" i="10"/>
  <c r="A18" i="4"/>
  <c r="E18" i="4" s="1"/>
  <c r="A18" i="5"/>
  <c r="AA18" i="10"/>
  <c r="V18" i="10"/>
  <c r="P18" i="10"/>
  <c r="D18" i="10"/>
  <c r="I18" i="10"/>
  <c r="G18" i="10"/>
  <c r="AN18" i="10"/>
  <c r="AQ30" i="10"/>
  <c r="Q18" i="3"/>
  <c r="A29" i="5"/>
  <c r="AO29" i="10"/>
  <c r="A29" i="4"/>
  <c r="U29" i="10"/>
  <c r="AP29" i="10"/>
  <c r="AC29" i="10"/>
  <c r="AA29" i="10"/>
  <c r="Q29" i="10"/>
  <c r="P29" i="10"/>
  <c r="T29" i="3"/>
  <c r="AG29" i="10"/>
  <c r="AR29" i="10"/>
  <c r="R29" i="10"/>
  <c r="AH29" i="10"/>
  <c r="AD29" i="10"/>
  <c r="Q29" i="3"/>
  <c r="I29" i="10"/>
  <c r="AN29" i="10"/>
  <c r="AE29" i="10"/>
  <c r="AS29" i="10"/>
  <c r="AD30" i="10"/>
  <c r="C11" i="4"/>
  <c r="Y11" i="4"/>
  <c r="G30" i="10"/>
  <c r="U18" i="10"/>
  <c r="AB17" i="10"/>
  <c r="AF17" i="10"/>
  <c r="AO30" i="10"/>
  <c r="BN29" i="10"/>
  <c r="Q29" i="5" s="1"/>
  <c r="K346" i="7"/>
  <c r="B346" i="7"/>
  <c r="K310" i="7"/>
  <c r="B310" i="7"/>
  <c r="B226" i="7"/>
  <c r="K226" i="7"/>
  <c r="D226" i="7" s="1"/>
  <c r="B154" i="7"/>
  <c r="K154" i="7"/>
  <c r="B142" i="7"/>
  <c r="K142" i="7"/>
  <c r="K82" i="7"/>
  <c r="B82" i="7"/>
  <c r="B46" i="7"/>
  <c r="K46" i="7"/>
  <c r="C46" i="7" s="1"/>
  <c r="K22" i="7"/>
  <c r="B22" i="7"/>
  <c r="V29" i="3"/>
  <c r="F39" i="10"/>
  <c r="G39" i="10"/>
  <c r="X39" i="10"/>
  <c r="AF39" i="10"/>
  <c r="H39" i="10"/>
  <c r="E39" i="10"/>
  <c r="V39" i="3"/>
  <c r="T39" i="10"/>
  <c r="AG27" i="10"/>
  <c r="V27" i="10"/>
  <c r="S27" i="10"/>
  <c r="AS27" i="10"/>
  <c r="AH27" i="10"/>
  <c r="AR15" i="10"/>
  <c r="AI15" i="10"/>
  <c r="AG15" i="10"/>
  <c r="V15" i="3"/>
  <c r="AP15" i="10"/>
  <c r="AJ15" i="10"/>
  <c r="AF15" i="10"/>
  <c r="Y15" i="10"/>
  <c r="B30" i="10"/>
  <c r="E18" i="10"/>
  <c r="U17" i="10"/>
  <c r="AD17" i="10"/>
  <c r="AH18" i="10"/>
  <c r="AM30" i="10"/>
  <c r="C41" i="6"/>
  <c r="H41" i="6" s="1"/>
  <c r="B41" i="6"/>
  <c r="K237" i="7"/>
  <c r="B237" i="7"/>
  <c r="K165" i="7"/>
  <c r="B165" i="7"/>
  <c r="K129" i="7"/>
  <c r="B129" i="7"/>
  <c r="K81" i="7"/>
  <c r="B81" i="7"/>
  <c r="B69" i="7"/>
  <c r="K69" i="7"/>
  <c r="B33" i="7"/>
  <c r="K33" i="7"/>
  <c r="U29" i="3"/>
  <c r="AE38" i="10"/>
  <c r="X38" i="10"/>
  <c r="AK38" i="10"/>
  <c r="H38" i="10"/>
  <c r="G38" i="10"/>
  <c r="AA38" i="10"/>
  <c r="AR38" i="10"/>
  <c r="R38" i="10"/>
  <c r="AA14" i="10"/>
  <c r="AL14" i="10"/>
  <c r="AR14" i="10"/>
  <c r="AM14" i="10"/>
  <c r="AJ14" i="10"/>
  <c r="C14" i="10"/>
  <c r="BD14" i="10" s="1"/>
  <c r="L14" i="5" s="1"/>
  <c r="B14" i="10"/>
  <c r="Y14" i="10"/>
  <c r="G26" i="10"/>
  <c r="T30" i="10"/>
  <c r="X18" i="10"/>
  <c r="B42" i="6"/>
  <c r="C42" i="6"/>
  <c r="E42" i="6" s="1"/>
  <c r="S29" i="3"/>
  <c r="Q17" i="3"/>
  <c r="AK37" i="10"/>
  <c r="Y37" i="10"/>
  <c r="AM37" i="10"/>
  <c r="AA37" i="10"/>
  <c r="U37" i="3"/>
  <c r="AN37" i="10"/>
  <c r="AQ37" i="10"/>
  <c r="H37" i="10"/>
  <c r="G37" i="10"/>
  <c r="V37" i="3"/>
  <c r="AB37" i="10"/>
  <c r="AF25" i="10"/>
  <c r="BS25" i="10"/>
  <c r="BV25" i="10" s="1"/>
  <c r="AK25" i="10"/>
  <c r="T25" i="10"/>
  <c r="P25" i="10"/>
  <c r="J25" i="10"/>
  <c r="AQ25" i="10"/>
  <c r="A25" i="4"/>
  <c r="N25" i="10"/>
  <c r="D13" i="10"/>
  <c r="A13" i="4"/>
  <c r="AF13" i="10"/>
  <c r="AR13" i="10"/>
  <c r="T13" i="3"/>
  <c r="S13" i="10"/>
  <c r="B13" i="10"/>
  <c r="AL13" i="10"/>
  <c r="AJ13" i="10"/>
  <c r="AI13" i="10"/>
  <c r="C13" i="10"/>
  <c r="BN13" i="10" s="1"/>
  <c r="G25" i="10"/>
  <c r="R14" i="10"/>
  <c r="T29" i="10"/>
  <c r="X17" i="10"/>
  <c r="AA30" i="10"/>
  <c r="AJ18" i="10"/>
  <c r="AM25" i="10"/>
  <c r="B43" i="6"/>
  <c r="C43" i="6"/>
  <c r="E43" i="6" s="1"/>
  <c r="B55" i="6"/>
  <c r="C55" i="6"/>
  <c r="D55" i="6"/>
  <c r="G359" i="7"/>
  <c r="I359" i="7"/>
  <c r="Z36" i="10"/>
  <c r="AI36" i="10"/>
  <c r="AH36" i="10"/>
  <c r="E36" i="10"/>
  <c r="C36" i="10"/>
  <c r="J32" i="11" s="1"/>
  <c r="AB36" i="10"/>
  <c r="AG36" i="10"/>
  <c r="X36" i="10"/>
  <c r="AL36" i="10"/>
  <c r="U36" i="10"/>
  <c r="AR36" i="10"/>
  <c r="A12" i="5"/>
  <c r="V12" i="10"/>
  <c r="C12" i="10"/>
  <c r="B18" i="10"/>
  <c r="V30" i="10"/>
  <c r="W18" i="10"/>
  <c r="AE27" i="10"/>
  <c r="AR17" i="10"/>
  <c r="A35" i="5"/>
  <c r="AM35" i="10"/>
  <c r="AI35" i="10"/>
  <c r="AH35" i="10"/>
  <c r="AO35" i="10"/>
  <c r="B35" i="10"/>
  <c r="E35" i="10"/>
  <c r="AC35" i="10"/>
  <c r="F35" i="10"/>
  <c r="Y35" i="10"/>
  <c r="Q35" i="10"/>
  <c r="I35" i="10"/>
  <c r="AB35" i="10"/>
  <c r="V35" i="10"/>
  <c r="AP35" i="10"/>
  <c r="U35" i="10"/>
  <c r="AJ35" i="10"/>
  <c r="AL35" i="10"/>
  <c r="V11" i="10"/>
  <c r="B11" i="10"/>
  <c r="E132" i="7" s="1"/>
  <c r="B15" i="10"/>
  <c r="D30" i="10"/>
  <c r="V29" i="10"/>
  <c r="W17" i="10"/>
  <c r="AA17" i="10"/>
  <c r="AE26" i="10"/>
  <c r="AM18" i="10"/>
  <c r="BS29" i="10"/>
  <c r="BU29" i="10" s="1"/>
  <c r="K213" i="7"/>
  <c r="K10" i="7"/>
  <c r="B6" i="10"/>
  <c r="D29" i="10"/>
  <c r="Q27" i="10"/>
  <c r="AE25" i="10"/>
  <c r="AG18" i="10"/>
  <c r="AI30" i="10"/>
  <c r="AK36" i="10"/>
  <c r="B238" i="7"/>
  <c r="H263" i="7"/>
  <c r="G263" i="7"/>
  <c r="D263" i="7"/>
  <c r="C263" i="7"/>
  <c r="D14" i="4"/>
  <c r="U14" i="4"/>
  <c r="F14" i="4"/>
  <c r="H306" i="7"/>
  <c r="F306" i="7"/>
  <c r="C18" i="10"/>
  <c r="K18" i="10" s="1"/>
  <c r="Q30" i="3"/>
  <c r="AJ29" i="10"/>
  <c r="B286" i="7"/>
  <c r="K286" i="7"/>
  <c r="K274" i="7"/>
  <c r="B274" i="7"/>
  <c r="K250" i="7"/>
  <c r="B250" i="7"/>
  <c r="B190" i="7"/>
  <c r="K190" i="7"/>
  <c r="K166" i="7"/>
  <c r="B166" i="7"/>
  <c r="K130" i="7"/>
  <c r="B130" i="7"/>
  <c r="K70" i="7"/>
  <c r="B70" i="7"/>
  <c r="K298" i="7"/>
  <c r="H298" i="7" s="1"/>
  <c r="G29" i="10"/>
  <c r="B357" i="7"/>
  <c r="K357" i="7"/>
  <c r="K285" i="7"/>
  <c r="B285" i="7"/>
  <c r="B189" i="7"/>
  <c r="K189" i="7"/>
  <c r="C189" i="7" s="1"/>
  <c r="B11" i="4"/>
  <c r="C30" i="6"/>
  <c r="D30" i="6" s="1"/>
  <c r="B10" i="6" s="1"/>
  <c r="F29" i="10"/>
  <c r="U35" i="3"/>
  <c r="A6" i="5"/>
  <c r="AF6" i="10"/>
  <c r="C6" i="10"/>
  <c r="F6" i="10" s="1"/>
  <c r="H2" i="11" s="1"/>
  <c r="V6" i="10"/>
  <c r="Z6" i="10"/>
  <c r="P30" i="10"/>
  <c r="R30" i="3"/>
  <c r="A17" i="5"/>
  <c r="AS17" i="10"/>
  <c r="AJ17" i="10"/>
  <c r="AH17" i="10"/>
  <c r="AQ17" i="10"/>
  <c r="AE17" i="10"/>
  <c r="H17" i="10"/>
  <c r="S17" i="3"/>
  <c r="T17" i="10"/>
  <c r="S17" i="10"/>
  <c r="AI17" i="10"/>
  <c r="D17" i="10"/>
  <c r="AO17" i="10"/>
  <c r="R17" i="10"/>
  <c r="I17" i="10"/>
  <c r="G17" i="10"/>
  <c r="AM17" i="10"/>
  <c r="A17" i="4"/>
  <c r="AB18" i="10"/>
  <c r="AF18" i="10"/>
  <c r="AQ29" i="10"/>
  <c r="V17" i="3"/>
  <c r="C17" i="10"/>
  <c r="G13" i="11" s="1"/>
  <c r="B358" i="7"/>
  <c r="K358" i="7"/>
  <c r="G358" i="7" s="1"/>
  <c r="B334" i="7"/>
  <c r="K334" i="7"/>
  <c r="H334" i="7" s="1"/>
  <c r="B202" i="7"/>
  <c r="K202" i="7"/>
  <c r="B34" i="7"/>
  <c r="K34" i="7"/>
  <c r="U17" i="3"/>
  <c r="K369" i="7"/>
  <c r="B369" i="7"/>
  <c r="K345" i="7"/>
  <c r="B345" i="7"/>
  <c r="B333" i="7"/>
  <c r="K333" i="7"/>
  <c r="H333" i="7" s="1"/>
  <c r="B321" i="7"/>
  <c r="K321" i="7"/>
  <c r="K297" i="7"/>
  <c r="B297" i="7"/>
  <c r="K273" i="7"/>
  <c r="B273" i="7"/>
  <c r="K225" i="7"/>
  <c r="B225" i="7"/>
  <c r="K141" i="7"/>
  <c r="B141" i="7"/>
  <c r="B117" i="7"/>
  <c r="K117" i="7"/>
  <c r="D117" i="7" s="1"/>
  <c r="T17" i="3"/>
  <c r="AP26" i="10"/>
  <c r="Z26" i="10"/>
  <c r="V26" i="3"/>
  <c r="AD26" i="10"/>
  <c r="F26" i="10"/>
  <c r="AQ26" i="10"/>
  <c r="E17" i="10"/>
  <c r="R15" i="10"/>
  <c r="AM29" i="10"/>
  <c r="I306" i="7"/>
  <c r="AH24" i="10"/>
  <c r="R24" i="3"/>
  <c r="AS24" i="10"/>
  <c r="V24" i="3"/>
  <c r="S24" i="3"/>
  <c r="T24" i="3"/>
  <c r="A24" i="4"/>
  <c r="AB24" i="4" s="1"/>
  <c r="V24" i="10"/>
  <c r="E15" i="10"/>
  <c r="AI37" i="10"/>
  <c r="K214" i="7"/>
  <c r="AA23" i="10"/>
  <c r="AD23" i="10"/>
  <c r="AK23" i="10"/>
  <c r="AJ23" i="10"/>
  <c r="R6" i="10"/>
  <c r="H29" i="10"/>
  <c r="T35" i="3"/>
  <c r="C35" i="10"/>
  <c r="H31" i="11" s="1"/>
  <c r="F18" i="10"/>
  <c r="Q24" i="10"/>
  <c r="V25" i="10"/>
  <c r="AB30" i="10"/>
  <c r="AC18" i="10"/>
  <c r="AG17" i="10"/>
  <c r="AI29" i="10"/>
  <c r="AK35" i="10"/>
  <c r="AP17" i="10"/>
  <c r="AS36" i="10"/>
  <c r="B351" i="7"/>
  <c r="K351" i="7"/>
  <c r="H351" i="7" s="1"/>
  <c r="K339" i="7"/>
  <c r="B339" i="7"/>
  <c r="B315" i="7"/>
  <c r="K315" i="7"/>
  <c r="I315" i="7" s="1"/>
  <c r="K267" i="7"/>
  <c r="F267" i="7" s="1"/>
  <c r="B267" i="7"/>
  <c r="K255" i="7"/>
  <c r="B255" i="7"/>
  <c r="B231" i="7"/>
  <c r="K231" i="7"/>
  <c r="C231" i="7" s="1"/>
  <c r="B219" i="7"/>
  <c r="K219" i="7"/>
  <c r="K207" i="7"/>
  <c r="D207" i="7" s="1"/>
  <c r="B207" i="7"/>
  <c r="B183" i="7"/>
  <c r="K183" i="7"/>
  <c r="C183" i="7" s="1"/>
  <c r="K123" i="7"/>
  <c r="C123" i="7" s="1"/>
  <c r="B123" i="7"/>
  <c r="K99" i="7"/>
  <c r="B99" i="7"/>
  <c r="K87" i="7"/>
  <c r="C87" i="7" s="1"/>
  <c r="B87" i="7"/>
  <c r="B94" i="7"/>
  <c r="K262" i="7"/>
  <c r="S35" i="3"/>
  <c r="F17" i="10"/>
  <c r="H25" i="10"/>
  <c r="L25" i="10"/>
  <c r="Q23" i="10"/>
  <c r="S30" i="10"/>
  <c r="U38" i="10"/>
  <c r="V17" i="10"/>
  <c r="X29" i="10"/>
  <c r="Z30" i="10"/>
  <c r="AB29" i="10"/>
  <c r="AC17" i="10"/>
  <c r="AI18" i="10"/>
  <c r="AN17" i="10"/>
  <c r="AS35" i="10"/>
  <c r="B303" i="7"/>
  <c r="C323" i="7"/>
  <c r="K58" i="7"/>
  <c r="K21" i="7"/>
  <c r="B21" i="7"/>
  <c r="K9" i="7"/>
  <c r="B9" i="7"/>
  <c r="C295" i="7"/>
  <c r="F295" i="7"/>
  <c r="I51" i="6"/>
  <c r="K356" i="7"/>
  <c r="H356" i="7" s="1"/>
  <c r="B356" i="7"/>
  <c r="B320" i="7"/>
  <c r="K320" i="7"/>
  <c r="E320" i="7" s="1"/>
  <c r="B308" i="7"/>
  <c r="K308" i="7"/>
  <c r="D308" i="7" s="1"/>
  <c r="B284" i="7"/>
  <c r="K284" i="7"/>
  <c r="B236" i="7"/>
  <c r="K236" i="7"/>
  <c r="B200" i="7"/>
  <c r="K200" i="7"/>
  <c r="D200" i="7" s="1"/>
  <c r="K140" i="7"/>
  <c r="B140" i="7"/>
  <c r="B116" i="7"/>
  <c r="K116" i="7"/>
  <c r="C116" i="7" s="1"/>
  <c r="K20" i="7"/>
  <c r="B20" i="7"/>
  <c r="K8" i="7"/>
  <c r="C8" i="7" s="1"/>
  <c r="B8" i="7"/>
  <c r="B186" i="7"/>
  <c r="K294" i="7"/>
  <c r="K92" i="7"/>
  <c r="B355" i="7"/>
  <c r="K355" i="7"/>
  <c r="B343" i="7"/>
  <c r="K343" i="7"/>
  <c r="D331" i="7"/>
  <c r="C331" i="7"/>
  <c r="B319" i="7"/>
  <c r="K319" i="7"/>
  <c r="I319" i="7" s="1"/>
  <c r="K283" i="7"/>
  <c r="B283" i="7"/>
  <c r="B235" i="7"/>
  <c r="K235" i="7"/>
  <c r="C235" i="7" s="1"/>
  <c r="K139" i="7"/>
  <c r="C139" i="7" s="1"/>
  <c r="B139" i="7"/>
  <c r="B127" i="7"/>
  <c r="K127" i="7"/>
  <c r="K115" i="7"/>
  <c r="B115" i="7"/>
  <c r="B79" i="7"/>
  <c r="K79" i="7"/>
  <c r="C79" i="7" s="1"/>
  <c r="B55" i="7"/>
  <c r="K55" i="7"/>
  <c r="B224" i="7"/>
  <c r="C347" i="7"/>
  <c r="H347" i="7"/>
  <c r="D347" i="7"/>
  <c r="I347" i="7"/>
  <c r="G354" i="7"/>
  <c r="C354" i="7"/>
  <c r="D342" i="7"/>
  <c r="I342" i="7"/>
  <c r="H342" i="7"/>
  <c r="K330" i="7"/>
  <c r="B330" i="7"/>
  <c r="B318" i="7"/>
  <c r="K318" i="7"/>
  <c r="K282" i="7"/>
  <c r="I282" i="7" s="1"/>
  <c r="B282" i="7"/>
  <c r="B258" i="7"/>
  <c r="K258" i="7"/>
  <c r="B174" i="7"/>
  <c r="K174" i="7"/>
  <c r="C174" i="7" s="1"/>
  <c r="K138" i="7"/>
  <c r="C138" i="7" s="1"/>
  <c r="B138" i="7"/>
  <c r="B126" i="7"/>
  <c r="K126" i="7"/>
  <c r="B90" i="7"/>
  <c r="K90" i="7"/>
  <c r="D90" i="7" s="1"/>
  <c r="B272" i="7"/>
  <c r="K234" i="7"/>
  <c r="C234" i="7" s="1"/>
  <c r="K32" i="7"/>
  <c r="B222" i="7"/>
  <c r="B350" i="7"/>
  <c r="K350" i="7"/>
  <c r="H350" i="7" s="1"/>
  <c r="B26" i="7"/>
  <c r="K26" i="7"/>
  <c r="C26" i="7" s="1"/>
  <c r="T34" i="3"/>
  <c r="Q34" i="10"/>
  <c r="S34" i="3"/>
  <c r="AN32" i="10"/>
  <c r="AJ32" i="10"/>
  <c r="F32" i="10"/>
  <c r="P33" i="10"/>
  <c r="V10" i="10"/>
  <c r="AC34" i="10"/>
  <c r="T28" i="4"/>
  <c r="H28" i="4"/>
  <c r="D28" i="4"/>
  <c r="B181" i="7"/>
  <c r="K155" i="7"/>
  <c r="C155" i="7" s="1"/>
  <c r="K121" i="7"/>
  <c r="C121" i="7" s="1"/>
  <c r="H39" i="9"/>
  <c r="B39" i="9"/>
  <c r="H15" i="9"/>
  <c r="D15" i="9"/>
  <c r="E15" i="9"/>
  <c r="B15" i="9"/>
  <c r="G15" i="9"/>
  <c r="F39" i="9"/>
  <c r="G27" i="9"/>
  <c r="AO34" i="10"/>
  <c r="F34" i="10"/>
  <c r="V34" i="3"/>
  <c r="AD22" i="10"/>
  <c r="AB22" i="10"/>
  <c r="R22" i="3"/>
  <c r="Z10" i="10"/>
  <c r="AE22" i="10"/>
  <c r="AL34" i="10"/>
  <c r="B254" i="7"/>
  <c r="K254" i="7"/>
  <c r="I254" i="7" s="1"/>
  <c r="B158" i="7"/>
  <c r="K158" i="7"/>
  <c r="D158" i="7" s="1"/>
  <c r="K122" i="7"/>
  <c r="C122" i="7" s="1"/>
  <c r="B122" i="7"/>
  <c r="Y34" i="10"/>
  <c r="J40" i="4"/>
  <c r="T40" i="4"/>
  <c r="B205" i="7"/>
  <c r="K205" i="7"/>
  <c r="D205" i="7" s="1"/>
  <c r="B157" i="7"/>
  <c r="K157" i="7"/>
  <c r="D157" i="7" s="1"/>
  <c r="B133" i="7"/>
  <c r="K133" i="7"/>
  <c r="B25" i="7"/>
  <c r="K25" i="7"/>
  <c r="F25" i="7" s="1"/>
  <c r="B325" i="7"/>
  <c r="D37" i="9"/>
  <c r="H37" i="9"/>
  <c r="E25" i="9"/>
  <c r="H25" i="9"/>
  <c r="E13" i="9"/>
  <c r="B13" i="9"/>
  <c r="D13" i="9"/>
  <c r="C13" i="9"/>
  <c r="B27" i="9"/>
  <c r="E39" i="9"/>
  <c r="B10" i="10"/>
  <c r="E100" i="7" s="1"/>
  <c r="G34" i="10"/>
  <c r="P32" i="10"/>
  <c r="V34" i="10"/>
  <c r="AB34" i="10"/>
  <c r="AQ34" i="10"/>
  <c r="B251" i="7"/>
  <c r="K251" i="7"/>
  <c r="B227" i="7"/>
  <c r="K227" i="7"/>
  <c r="C227" i="7" s="1"/>
  <c r="B107" i="7"/>
  <c r="K107" i="7"/>
  <c r="C107" i="7" s="1"/>
  <c r="B83" i="7"/>
  <c r="K83" i="7"/>
  <c r="E83" i="7" s="1"/>
  <c r="B59" i="7"/>
  <c r="K59" i="7"/>
  <c r="B35" i="7"/>
  <c r="K35" i="7"/>
  <c r="B11" i="7"/>
  <c r="K11" i="7"/>
  <c r="B169" i="7"/>
  <c r="K349" i="7"/>
  <c r="F349" i="7" s="1"/>
  <c r="F27" i="9"/>
  <c r="G35" i="9"/>
  <c r="F35" i="9"/>
  <c r="G40" i="10"/>
  <c r="R28" i="10"/>
  <c r="S28" i="10"/>
  <c r="T28" i="10"/>
  <c r="V28" i="10"/>
  <c r="W40" i="10"/>
  <c r="C50" i="6"/>
  <c r="D50" i="6"/>
  <c r="D39" i="6"/>
  <c r="K209" i="7"/>
  <c r="C209" i="7" s="1"/>
  <c r="B209" i="7"/>
  <c r="K53" i="7"/>
  <c r="C53" i="7" s="1"/>
  <c r="B53" i="7"/>
  <c r="B149" i="7"/>
  <c r="B88" i="7"/>
  <c r="B5" i="7"/>
  <c r="K78" i="7"/>
  <c r="K54" i="7"/>
  <c r="B34" i="9"/>
  <c r="G34" i="9"/>
  <c r="F34" i="9"/>
  <c r="B10" i="9"/>
  <c r="C10" i="9"/>
  <c r="C11" i="9"/>
  <c r="F22" i="9"/>
  <c r="K340" i="7"/>
  <c r="B340" i="7"/>
  <c r="B317" i="7"/>
  <c r="D11" i="9"/>
  <c r="E11" i="9"/>
  <c r="H35" i="9"/>
  <c r="B40" i="9"/>
  <c r="K300" i="7"/>
  <c r="E300" i="7" s="1"/>
  <c r="K276" i="7"/>
  <c r="D276" i="7" s="1"/>
  <c r="BF14" i="10"/>
  <c r="BH14" i="10"/>
  <c r="BE14" i="10"/>
  <c r="J14" i="5"/>
  <c r="BG14" i="10"/>
  <c r="AI31" i="10"/>
  <c r="W31" i="10"/>
  <c r="Q31" i="3"/>
  <c r="AJ31" i="10"/>
  <c r="X31" i="10"/>
  <c r="R31" i="3"/>
  <c r="A31" i="4"/>
  <c r="AM31" i="10"/>
  <c r="S31" i="10"/>
  <c r="E31" i="10"/>
  <c r="V31" i="3"/>
  <c r="H31" i="10"/>
  <c r="D31" i="10"/>
  <c r="AD31" i="10"/>
  <c r="S31" i="3"/>
  <c r="V31" i="10"/>
  <c r="T31" i="3"/>
  <c r="AC31" i="10"/>
  <c r="I31" i="10"/>
  <c r="AS31" i="10"/>
  <c r="AK31" i="10"/>
  <c r="AA31" i="10"/>
  <c r="AH31" i="10"/>
  <c r="G31" i="10"/>
  <c r="U31" i="3"/>
  <c r="AQ31" i="10"/>
  <c r="AO31" i="10"/>
  <c r="Q31" i="10"/>
  <c r="B31" i="10"/>
  <c r="AE31" i="10"/>
  <c r="Y31" i="10"/>
  <c r="T31" i="10"/>
  <c r="M31" i="10"/>
  <c r="BX31" i="10"/>
  <c r="AL31" i="10"/>
  <c r="AF31" i="10"/>
  <c r="R31" i="10"/>
  <c r="U31" i="10"/>
  <c r="C31" i="10"/>
  <c r="K31" i="10" s="1"/>
  <c r="AB31" i="10"/>
  <c r="AN31" i="10"/>
  <c r="A31" i="5"/>
  <c r="AR31" i="10"/>
  <c r="BI31" i="10"/>
  <c r="AP31" i="10"/>
  <c r="AI19" i="10"/>
  <c r="W19" i="10"/>
  <c r="Q19" i="3"/>
  <c r="AJ19" i="10"/>
  <c r="X19" i="10"/>
  <c r="R19" i="3"/>
  <c r="AK19" i="10"/>
  <c r="AG19" i="10"/>
  <c r="Q19" i="10"/>
  <c r="C19" i="10"/>
  <c r="BS19" i="10" s="1"/>
  <c r="A19" i="4"/>
  <c r="I19" i="10"/>
  <c r="E19" i="10"/>
  <c r="A19" i="5"/>
  <c r="AR19" i="10"/>
  <c r="AH19" i="10"/>
  <c r="P19" i="10"/>
  <c r="AS19" i="10"/>
  <c r="AF19" i="10"/>
  <c r="AE19" i="10"/>
  <c r="AC19" i="10"/>
  <c r="R19" i="10"/>
  <c r="AL19" i="10"/>
  <c r="V19" i="10"/>
  <c r="T19" i="3"/>
  <c r="AP19" i="10"/>
  <c r="AN19" i="10"/>
  <c r="F19" i="10"/>
  <c r="S19" i="3"/>
  <c r="AD19" i="10"/>
  <c r="U19" i="3"/>
  <c r="S19" i="10"/>
  <c r="V19" i="3"/>
  <c r="AA19" i="10"/>
  <c r="J19" i="10"/>
  <c r="D19" i="10"/>
  <c r="Z19" i="10"/>
  <c r="G19" i="10"/>
  <c r="AB19" i="10"/>
  <c r="T19" i="10"/>
  <c r="AQ19" i="10"/>
  <c r="AM19" i="10"/>
  <c r="H19" i="10"/>
  <c r="I9" i="11"/>
  <c r="H9" i="11"/>
  <c r="F9" i="11"/>
  <c r="J9" i="11"/>
  <c r="Z7" i="10"/>
  <c r="C7" i="10"/>
  <c r="D43" i="7" s="1"/>
  <c r="R7" i="10"/>
  <c r="F56" i="7" s="1"/>
  <c r="B7" i="10"/>
  <c r="E57" i="7" s="1"/>
  <c r="AF7" i="10"/>
  <c r="A7" i="5"/>
  <c r="A7" i="4"/>
  <c r="V7" i="10"/>
  <c r="K10" i="11"/>
  <c r="I10" i="11"/>
  <c r="Y19" i="10"/>
  <c r="AO19" i="10"/>
  <c r="AC20" i="4"/>
  <c r="Q20" i="4"/>
  <c r="N20" i="4"/>
  <c r="B20" i="4"/>
  <c r="AD20" i="4"/>
  <c r="C20" i="4"/>
  <c r="K20" i="4"/>
  <c r="Y20" i="4"/>
  <c r="F20" i="4"/>
  <c r="R20" i="4"/>
  <c r="S20" i="4"/>
  <c r="AA20" i="4"/>
  <c r="T20" i="4"/>
  <c r="G20" i="4"/>
  <c r="O20" i="4"/>
  <c r="D20" i="4"/>
  <c r="V20" i="4"/>
  <c r="M20" i="4"/>
  <c r="W20" i="4"/>
  <c r="U20" i="4"/>
  <c r="I20" i="4"/>
  <c r="E20" i="4"/>
  <c r="L20" i="4"/>
  <c r="H20" i="4"/>
  <c r="AB20" i="4"/>
  <c r="P20" i="4"/>
  <c r="Z20" i="4"/>
  <c r="X20" i="4"/>
  <c r="E30" i="9"/>
  <c r="F30" i="9"/>
  <c r="C30" i="9"/>
  <c r="G30" i="9"/>
  <c r="H30" i="9"/>
  <c r="D30" i="9"/>
  <c r="B30" i="9"/>
  <c r="E18" i="9"/>
  <c r="F18" i="9"/>
  <c r="H18" i="9"/>
  <c r="B18" i="9"/>
  <c r="G18" i="9"/>
  <c r="C18" i="9"/>
  <c r="D18" i="9"/>
  <c r="E6" i="9"/>
  <c r="F6" i="9"/>
  <c r="D6" i="9"/>
  <c r="B6" i="9"/>
  <c r="C6" i="9"/>
  <c r="D162" i="7"/>
  <c r="D163" i="7"/>
  <c r="D247" i="7"/>
  <c r="D178" i="7"/>
  <c r="D179" i="7"/>
  <c r="D231" i="7"/>
  <c r="D169" i="7"/>
  <c r="D249" i="7"/>
  <c r="D203" i="7"/>
  <c r="D141" i="7"/>
  <c r="D204" i="7"/>
  <c r="D201" i="7"/>
  <c r="S29" i="5"/>
  <c r="BV29" i="10"/>
  <c r="U29" i="5"/>
  <c r="T29" i="5"/>
  <c r="F32" i="11"/>
  <c r="K32" i="11"/>
  <c r="K36" i="10"/>
  <c r="U19" i="10"/>
  <c r="F31" i="11"/>
  <c r="G31" i="11"/>
  <c r="K31" i="11"/>
  <c r="I31" i="11"/>
  <c r="J31" i="11"/>
  <c r="K35" i="10"/>
  <c r="AY35" i="10"/>
  <c r="AT35" i="10"/>
  <c r="P31" i="10"/>
  <c r="BU25" i="10"/>
  <c r="BT25" i="10"/>
  <c r="AE20" i="4"/>
  <c r="D31" i="6"/>
  <c r="D350" i="7"/>
  <c r="F350" i="7"/>
  <c r="F276" i="7"/>
  <c r="I276" i="7"/>
  <c r="E276" i="7"/>
  <c r="C276" i="7"/>
  <c r="C205" i="7"/>
  <c r="C186" i="7"/>
  <c r="D186" i="7"/>
  <c r="G30" i="11"/>
  <c r="H30" i="11"/>
  <c r="F30" i="11"/>
  <c r="K30" i="11"/>
  <c r="I30" i="11"/>
  <c r="J30" i="11"/>
  <c r="AY34" i="10"/>
  <c r="AT34" i="10"/>
  <c r="BX34" i="10"/>
  <c r="F31" i="10"/>
  <c r="Z31" i="10"/>
  <c r="J349" i="7"/>
  <c r="J299" i="7"/>
  <c r="F299" i="7"/>
  <c r="I299" i="7"/>
  <c r="E299" i="7"/>
  <c r="G299" i="7"/>
  <c r="D299" i="7"/>
  <c r="C299" i="7"/>
  <c r="H299" i="7"/>
  <c r="J275" i="7"/>
  <c r="F275" i="7"/>
  <c r="G275" i="7"/>
  <c r="E275" i="7"/>
  <c r="D275" i="7"/>
  <c r="H275" i="7"/>
  <c r="C275" i="7"/>
  <c r="I275" i="7"/>
  <c r="AT14" i="10"/>
  <c r="BW29" i="10"/>
  <c r="J20" i="4"/>
  <c r="AC33" i="5"/>
  <c r="B33" i="5"/>
  <c r="AA33" i="5"/>
  <c r="AB33" i="5"/>
  <c r="AD33" i="5"/>
  <c r="AE33" i="5"/>
  <c r="Y33" i="5"/>
  <c r="Z33" i="5"/>
  <c r="AD35" i="5"/>
  <c r="AE35" i="5"/>
  <c r="AA35" i="5"/>
  <c r="AB35" i="5"/>
  <c r="B19" i="10"/>
  <c r="AC32" i="5"/>
  <c r="B32" i="5"/>
  <c r="AE32" i="5"/>
  <c r="AA32" i="5"/>
  <c r="AD32" i="5"/>
  <c r="Y32" i="5"/>
  <c r="Z32" i="5"/>
  <c r="AB32" i="5"/>
  <c r="AG31" i="10"/>
  <c r="A33" i="4"/>
  <c r="AS33" i="10"/>
  <c r="AG33" i="10"/>
  <c r="U33" i="10"/>
  <c r="I33" i="10"/>
  <c r="Q33" i="3"/>
  <c r="AH33" i="10"/>
  <c r="V33" i="10"/>
  <c r="R33" i="3"/>
  <c r="AK33" i="10"/>
  <c r="AI33" i="10"/>
  <c r="Q33" i="10"/>
  <c r="C33" i="10"/>
  <c r="BX33" i="10"/>
  <c r="AR33" i="10"/>
  <c r="AN33" i="10"/>
  <c r="AF33" i="10"/>
  <c r="AB33" i="10"/>
  <c r="U33" i="3"/>
  <c r="AE33" i="10"/>
  <c r="V33" i="3"/>
  <c r="AD33" i="10"/>
  <c r="S33" i="10"/>
  <c r="F33" i="10"/>
  <c r="W33" i="10"/>
  <c r="D33" i="10"/>
  <c r="AA33" i="10"/>
  <c r="AQ33" i="10"/>
  <c r="AM33" i="10"/>
  <c r="X33" i="10"/>
  <c r="G33" i="10"/>
  <c r="AO33" i="10"/>
  <c r="B33" i="10"/>
  <c r="T33" i="10"/>
  <c r="H33" i="10"/>
  <c r="E33" i="10"/>
  <c r="Y33" i="10"/>
  <c r="AL33" i="10"/>
  <c r="AC33" i="10"/>
  <c r="R33" i="10"/>
  <c r="S33" i="3"/>
  <c r="A21" i="4"/>
  <c r="AS21" i="10"/>
  <c r="AG21" i="10"/>
  <c r="U21" i="10"/>
  <c r="I21" i="10"/>
  <c r="Q21" i="3"/>
  <c r="AH21" i="10"/>
  <c r="V21" i="10"/>
  <c r="R21" i="3"/>
  <c r="AE21" i="10"/>
  <c r="X21" i="10"/>
  <c r="A21" i="5"/>
  <c r="AC21" i="10"/>
  <c r="Y21" i="10"/>
  <c r="AP21" i="10"/>
  <c r="AO21" i="10"/>
  <c r="S21" i="10"/>
  <c r="R21" i="10"/>
  <c r="B21" i="10"/>
  <c r="AR21" i="10"/>
  <c r="AQ21" i="10"/>
  <c r="Q21" i="10"/>
  <c r="S21" i="3"/>
  <c r="P21" i="10"/>
  <c r="T21" i="3"/>
  <c r="AI21" i="10"/>
  <c r="AJ21" i="10"/>
  <c r="C21" i="10"/>
  <c r="BS21" i="10" s="1"/>
  <c r="E21" i="10"/>
  <c r="Z21" i="10"/>
  <c r="AN21" i="10"/>
  <c r="AL21" i="10"/>
  <c r="AA21" i="10"/>
  <c r="G21" i="10"/>
  <c r="AD21" i="10"/>
  <c r="W21" i="10"/>
  <c r="F21" i="10"/>
  <c r="D21" i="10"/>
  <c r="AK21" i="10"/>
  <c r="A9" i="4"/>
  <c r="V9" i="10"/>
  <c r="Z9" i="10"/>
  <c r="B9" i="10"/>
  <c r="F9" i="10" s="1"/>
  <c r="L9" i="10" s="1"/>
  <c r="S9" i="3" s="1"/>
  <c r="A9" i="5"/>
  <c r="AF9" i="10"/>
  <c r="R9" i="10"/>
  <c r="F70" i="7" s="1"/>
  <c r="C9" i="10"/>
  <c r="K9" i="10" s="1"/>
  <c r="R9" i="3" s="1"/>
  <c r="AF21" i="10"/>
  <c r="G25" i="4"/>
  <c r="W25" i="4"/>
  <c r="Q25" i="4"/>
  <c r="T25" i="4"/>
  <c r="T33" i="3"/>
  <c r="U21" i="3"/>
  <c r="AT32" i="10"/>
  <c r="AH32" i="10"/>
  <c r="V32" i="10"/>
  <c r="J32" i="10"/>
  <c r="BS32" i="10"/>
  <c r="AI32" i="10"/>
  <c r="W32" i="10"/>
  <c r="AR32" i="10"/>
  <c r="AB32" i="10"/>
  <c r="AQ32" i="10"/>
  <c r="AM32" i="10"/>
  <c r="U32" i="10"/>
  <c r="Q32" i="10"/>
  <c r="BI32" i="10"/>
  <c r="AE32" i="10"/>
  <c r="M32" i="10"/>
  <c r="AD32" i="10"/>
  <c r="AC32" i="10"/>
  <c r="D32" i="10"/>
  <c r="AS32" i="10"/>
  <c r="AK32" i="10"/>
  <c r="X32" i="10"/>
  <c r="G32" i="10"/>
  <c r="Q32" i="3"/>
  <c r="AO32" i="10"/>
  <c r="AA32" i="10"/>
  <c r="B32" i="10"/>
  <c r="R32" i="3"/>
  <c r="T32" i="10"/>
  <c r="O32" i="10"/>
  <c r="Y32" i="10"/>
  <c r="S32" i="3"/>
  <c r="T32" i="3"/>
  <c r="AY32" i="10"/>
  <c r="E32" i="10"/>
  <c r="U32" i="3"/>
  <c r="BX32" i="10"/>
  <c r="AL32" i="10"/>
  <c r="AF32" i="10"/>
  <c r="R32" i="10"/>
  <c r="V32" i="3"/>
  <c r="A32" i="4"/>
  <c r="H32" i="10"/>
  <c r="I32" i="10"/>
  <c r="C32" i="10"/>
  <c r="L32" i="10" s="1"/>
  <c r="AH20" i="10"/>
  <c r="V20" i="10"/>
  <c r="AI20" i="10"/>
  <c r="W20" i="10"/>
  <c r="AP20" i="10"/>
  <c r="Z20" i="10"/>
  <c r="H20" i="10"/>
  <c r="Q20" i="3"/>
  <c r="AR20" i="10"/>
  <c r="AN20" i="10"/>
  <c r="AJ20" i="10"/>
  <c r="R20" i="10"/>
  <c r="AQ20" i="10"/>
  <c r="X20" i="10"/>
  <c r="Q20" i="10"/>
  <c r="V20" i="3"/>
  <c r="AG20" i="10"/>
  <c r="P20" i="10"/>
  <c r="AS20" i="10"/>
  <c r="AF20" i="10"/>
  <c r="A20" i="5"/>
  <c r="I20" i="10"/>
  <c r="E20" i="10"/>
  <c r="AL20" i="10"/>
  <c r="AC20" i="10"/>
  <c r="C20" i="10"/>
  <c r="BI20" i="10" s="1"/>
  <c r="AD20" i="10"/>
  <c r="R20" i="3"/>
  <c r="F20" i="10"/>
  <c r="AA20" i="10"/>
  <c r="S20" i="10"/>
  <c r="G20" i="10"/>
  <c r="S20" i="3"/>
  <c r="AK20" i="10"/>
  <c r="AE20" i="10"/>
  <c r="D20" i="10"/>
  <c r="T20" i="3"/>
  <c r="U20" i="3"/>
  <c r="V8" i="10"/>
  <c r="B8" i="10"/>
  <c r="E65" i="7" s="1"/>
  <c r="Z8" i="10"/>
  <c r="C8" i="10"/>
  <c r="AF8" i="10"/>
  <c r="R8" i="10"/>
  <c r="F68" i="7" s="1"/>
  <c r="A8" i="5"/>
  <c r="A8" i="4"/>
  <c r="Y20" i="10"/>
  <c r="AM21" i="10"/>
  <c r="AO20" i="10"/>
  <c r="Y24" i="4"/>
  <c r="J24" i="4"/>
  <c r="AC24" i="4"/>
  <c r="Z24" i="4"/>
  <c r="K24" i="4"/>
  <c r="AE24" i="4"/>
  <c r="G24" i="4"/>
  <c r="V24" i="4"/>
  <c r="Q24" i="4"/>
  <c r="B24" i="4"/>
  <c r="W24" i="4"/>
  <c r="P24" i="4"/>
  <c r="X24" i="4"/>
  <c r="E24" i="4"/>
  <c r="C24" i="4"/>
  <c r="AD24" i="4"/>
  <c r="R24" i="4"/>
  <c r="T24" i="4"/>
  <c r="D24" i="4"/>
  <c r="N24" i="4"/>
  <c r="U24" i="4"/>
  <c r="I24" i="4"/>
  <c r="M24" i="4"/>
  <c r="F24" i="4"/>
  <c r="L24" i="4"/>
  <c r="AA24" i="4"/>
  <c r="S24" i="4"/>
  <c r="H24" i="4"/>
  <c r="O24" i="4"/>
  <c r="B34" i="6"/>
  <c r="C34" i="6"/>
  <c r="J298" i="7"/>
  <c r="E298" i="7"/>
  <c r="F29" i="9"/>
  <c r="G29" i="9"/>
  <c r="C29" i="9"/>
  <c r="H29" i="9"/>
  <c r="E29" i="9"/>
  <c r="B29" i="9"/>
  <c r="D29" i="9"/>
  <c r="F17" i="9"/>
  <c r="G17" i="9"/>
  <c r="B17" i="9"/>
  <c r="C17" i="9"/>
  <c r="H17" i="9"/>
  <c r="D17" i="9"/>
  <c r="E17" i="9"/>
  <c r="B58" i="6"/>
  <c r="C58" i="6"/>
  <c r="F348" i="7"/>
  <c r="I348" i="7"/>
  <c r="G348" i="7"/>
  <c r="J348" i="7"/>
  <c r="D348" i="7"/>
  <c r="H348" i="7"/>
  <c r="E348" i="7"/>
  <c r="C348" i="7"/>
  <c r="E7" i="7"/>
  <c r="C59" i="6"/>
  <c r="B59" i="6"/>
  <c r="J272" i="7"/>
  <c r="H272" i="7"/>
  <c r="C272" i="7"/>
  <c r="D272" i="7"/>
  <c r="G272" i="7"/>
  <c r="E272" i="7"/>
  <c r="F272" i="7"/>
  <c r="C56" i="7"/>
  <c r="E6" i="7"/>
  <c r="F6" i="7"/>
  <c r="D6" i="7"/>
  <c r="C6" i="7"/>
  <c r="D46" i="6"/>
  <c r="B46" i="6"/>
  <c r="C46" i="6"/>
  <c r="J322" i="7"/>
  <c r="H322" i="7"/>
  <c r="E322" i="7"/>
  <c r="G322" i="7"/>
  <c r="C322" i="7"/>
  <c r="D322" i="7"/>
  <c r="D78" i="7"/>
  <c r="D79" i="7"/>
  <c r="B35" i="6"/>
  <c r="D35" i="6"/>
  <c r="C35" i="6"/>
  <c r="E321" i="7"/>
  <c r="G321" i="7"/>
  <c r="C321" i="7"/>
  <c r="I321" i="7"/>
  <c r="D321" i="7"/>
  <c r="J321" i="7"/>
  <c r="AM15" i="10"/>
  <c r="AA15" i="10"/>
  <c r="C15" i="10"/>
  <c r="BX15" i="10" s="1"/>
  <c r="Q15" i="3"/>
  <c r="AN15" i="10"/>
  <c r="AB15" i="10"/>
  <c r="P15" i="10"/>
  <c r="D15" i="10"/>
  <c r="R15" i="3"/>
  <c r="AO15" i="10"/>
  <c r="U15" i="10"/>
  <c r="G15" i="10"/>
  <c r="T15" i="3"/>
  <c r="AQ15" i="10"/>
  <c r="AE15" i="10"/>
  <c r="A15" i="4"/>
  <c r="AD15" i="10"/>
  <c r="AC15" i="10"/>
  <c r="V15" i="10"/>
  <c r="I15" i="10"/>
  <c r="J25" i="11"/>
  <c r="I25" i="11"/>
  <c r="K25" i="11"/>
  <c r="G25" i="11"/>
  <c r="BX29" i="10"/>
  <c r="AY29" i="10"/>
  <c r="H25" i="11"/>
  <c r="F25" i="11"/>
  <c r="L29" i="10"/>
  <c r="J29" i="10"/>
  <c r="BD29" i="10"/>
  <c r="H15" i="10"/>
  <c r="K29" i="10"/>
  <c r="AT29" i="10"/>
  <c r="I48" i="6"/>
  <c r="E48" i="6"/>
  <c r="G48" i="6"/>
  <c r="F48" i="6"/>
  <c r="C216" i="7"/>
  <c r="D216" i="7"/>
  <c r="C71" i="7"/>
  <c r="D71" i="7"/>
  <c r="Q15" i="10"/>
  <c r="G11" i="9"/>
  <c r="F136" i="7"/>
  <c r="F137" i="7"/>
  <c r="Z18" i="5"/>
  <c r="C18" i="5"/>
  <c r="D59" i="6"/>
  <c r="D34" i="6"/>
  <c r="I367" i="7"/>
  <c r="H367" i="7"/>
  <c r="E367" i="7"/>
  <c r="J367" i="7"/>
  <c r="F367" i="7"/>
  <c r="D367" i="7"/>
  <c r="G367" i="7"/>
  <c r="J320" i="7"/>
  <c r="G320" i="7"/>
  <c r="H320" i="7"/>
  <c r="I320" i="7"/>
  <c r="D320" i="7"/>
  <c r="F320" i="7"/>
  <c r="D176" i="7"/>
  <c r="C176" i="7"/>
  <c r="C105" i="7"/>
  <c r="D105" i="7"/>
  <c r="C73" i="7"/>
  <c r="F55" i="7"/>
  <c r="C55" i="7"/>
  <c r="P29" i="5"/>
  <c r="BQ29" i="10"/>
  <c r="BR29" i="10"/>
  <c r="BP29" i="10"/>
  <c r="U40" i="4"/>
  <c r="AE40" i="4"/>
  <c r="AB40" i="4"/>
  <c r="Y40" i="4"/>
  <c r="V40" i="4"/>
  <c r="F40" i="4"/>
  <c r="S40" i="4"/>
  <c r="P40" i="4"/>
  <c r="G40" i="4"/>
  <c r="R40" i="4"/>
  <c r="E40" i="4"/>
  <c r="Z40" i="4"/>
  <c r="N40" i="4"/>
  <c r="X40" i="4"/>
  <c r="C40" i="4"/>
  <c r="O40" i="4"/>
  <c r="D40" i="4"/>
  <c r="AC40" i="4"/>
  <c r="M40" i="4"/>
  <c r="Q40" i="4"/>
  <c r="K40" i="4"/>
  <c r="W14" i="4"/>
  <c r="AE14" i="4"/>
  <c r="AB14" i="4"/>
  <c r="Y14" i="4"/>
  <c r="H14" i="4"/>
  <c r="V14" i="4"/>
  <c r="S14" i="4"/>
  <c r="P14" i="4"/>
  <c r="I14" i="4"/>
  <c r="O14" i="4"/>
  <c r="C14" i="4"/>
  <c r="L14" i="4"/>
  <c r="AA14" i="4"/>
  <c r="T14" i="4"/>
  <c r="N14" i="4"/>
  <c r="E14" i="4"/>
  <c r="Q14" i="4"/>
  <c r="B14" i="4"/>
  <c r="X14" i="4"/>
  <c r="G14" i="4"/>
  <c r="J14" i="4"/>
  <c r="Y16" i="5"/>
  <c r="Z16" i="5"/>
  <c r="AE16" i="5"/>
  <c r="B16" i="5"/>
  <c r="C16" i="5"/>
  <c r="AD16" i="5"/>
  <c r="AB16" i="5"/>
  <c r="AA16" i="5"/>
  <c r="D58" i="6"/>
  <c r="D217" i="7"/>
  <c r="C217" i="7"/>
  <c r="E126" i="7"/>
  <c r="C72" i="7"/>
  <c r="C367" i="7"/>
  <c r="E14" i="9"/>
  <c r="C14" i="9"/>
  <c r="H14" i="9"/>
  <c r="G14" i="9"/>
  <c r="F14" i="9"/>
  <c r="B14" i="9"/>
  <c r="AM27" i="10"/>
  <c r="AA27" i="10"/>
  <c r="C27" i="10"/>
  <c r="BX27" i="10" s="1"/>
  <c r="Q27" i="3"/>
  <c r="AN27" i="10"/>
  <c r="AB27" i="10"/>
  <c r="P27" i="10"/>
  <c r="D27" i="10"/>
  <c r="R27" i="3"/>
  <c r="AQ27" i="10"/>
  <c r="Y27" i="10"/>
  <c r="W27" i="10"/>
  <c r="I27" i="10"/>
  <c r="S27" i="3"/>
  <c r="AP27" i="10"/>
  <c r="AL27" i="10"/>
  <c r="AD27" i="10"/>
  <c r="BD27" i="10"/>
  <c r="U27" i="10"/>
  <c r="G27" i="10"/>
  <c r="F27" i="10"/>
  <c r="AK27" i="10"/>
  <c r="T27" i="10"/>
  <c r="AO27" i="10"/>
  <c r="AJ27" i="10"/>
  <c r="E27" i="10"/>
  <c r="A27" i="5"/>
  <c r="AE39" i="10"/>
  <c r="AK15" i="10"/>
  <c r="BS15" i="10"/>
  <c r="X13" i="4"/>
  <c r="V13" i="4"/>
  <c r="S13" i="4"/>
  <c r="P13" i="4"/>
  <c r="I13" i="4"/>
  <c r="J13" i="4"/>
  <c r="AB13" i="4"/>
  <c r="L13" i="4"/>
  <c r="W13" i="4"/>
  <c r="E13" i="4"/>
  <c r="T13" i="4"/>
  <c r="N13" i="4"/>
  <c r="AC13" i="4"/>
  <c r="U13" i="4"/>
  <c r="M13" i="4"/>
  <c r="K13" i="4"/>
  <c r="Q13" i="4"/>
  <c r="B13" i="4"/>
  <c r="AE13" i="4"/>
  <c r="Z13" i="4"/>
  <c r="C240" i="7"/>
  <c r="D103" i="7"/>
  <c r="C103" i="7"/>
  <c r="F26" i="7"/>
  <c r="E26" i="7"/>
  <c r="U39" i="3"/>
  <c r="AN38" i="10"/>
  <c r="AB38" i="10"/>
  <c r="P38" i="10"/>
  <c r="D38" i="10"/>
  <c r="AO38" i="10"/>
  <c r="AC38" i="10"/>
  <c r="Q38" i="10"/>
  <c r="E38" i="10"/>
  <c r="AL38" i="10"/>
  <c r="AJ38" i="10"/>
  <c r="T38" i="10"/>
  <c r="F38" i="10"/>
  <c r="V38" i="3"/>
  <c r="AS38" i="10"/>
  <c r="A38" i="4"/>
  <c r="AG38" i="10"/>
  <c r="V38" i="10"/>
  <c r="B38" i="10"/>
  <c r="AQ38" i="10"/>
  <c r="AM38" i="10"/>
  <c r="AI38" i="10"/>
  <c r="Z38" i="10"/>
  <c r="Y38" i="10"/>
  <c r="C38" i="10"/>
  <c r="BX38" i="10" s="1"/>
  <c r="U38" i="3"/>
  <c r="BS38" i="10"/>
  <c r="AH38" i="10"/>
  <c r="AF38" i="10"/>
  <c r="AN26" i="10"/>
  <c r="AB26" i="10"/>
  <c r="P26" i="10"/>
  <c r="D26" i="10"/>
  <c r="AO26" i="10"/>
  <c r="AC26" i="10"/>
  <c r="Q26" i="10"/>
  <c r="E26" i="10"/>
  <c r="AH26" i="10"/>
  <c r="R26" i="10"/>
  <c r="B26" i="10"/>
  <c r="AS26" i="10"/>
  <c r="W26" i="10"/>
  <c r="C26" i="10"/>
  <c r="AK26" i="10"/>
  <c r="T26" i="10"/>
  <c r="R26" i="3"/>
  <c r="AJ26" i="10"/>
  <c r="AA26" i="10"/>
  <c r="S26" i="3"/>
  <c r="AL26" i="10"/>
  <c r="S26" i="10"/>
  <c r="T26" i="3"/>
  <c r="A26" i="5"/>
  <c r="I21" i="11"/>
  <c r="J21" i="11"/>
  <c r="H21" i="11"/>
  <c r="F21" i="11"/>
  <c r="G21" i="11"/>
  <c r="K21" i="11"/>
  <c r="T15" i="10"/>
  <c r="W39" i="10"/>
  <c r="AC27" i="10"/>
  <c r="AG26" i="10"/>
  <c r="AH15" i="10"/>
  <c r="AT27" i="10"/>
  <c r="BD25" i="10"/>
  <c r="BI25" i="10"/>
  <c r="Y12" i="4"/>
  <c r="AA12" i="4"/>
  <c r="AE12" i="4"/>
  <c r="Z12" i="4"/>
  <c r="D13" i="4"/>
  <c r="R14" i="4"/>
  <c r="Z14" i="4"/>
  <c r="AC14" i="4"/>
  <c r="C12" i="5"/>
  <c r="C142" i="7"/>
  <c r="D142" i="7"/>
  <c r="U14" i="3"/>
  <c r="W38" i="10"/>
  <c r="AR26" i="10"/>
  <c r="E39" i="7"/>
  <c r="F39" i="7"/>
  <c r="D39" i="7"/>
  <c r="C39" i="7"/>
  <c r="C236" i="7"/>
  <c r="D236" i="7"/>
  <c r="S38" i="3"/>
  <c r="AE13" i="10"/>
  <c r="AH13" i="10"/>
  <c r="AR25" i="10"/>
  <c r="BS36" i="10"/>
  <c r="U28" i="4"/>
  <c r="F28" i="4"/>
  <c r="AE28" i="4"/>
  <c r="AB28" i="4"/>
  <c r="Y28" i="4"/>
  <c r="V28" i="4"/>
  <c r="G28" i="4"/>
  <c r="W28" i="4"/>
  <c r="C28" i="4"/>
  <c r="L28" i="4"/>
  <c r="N28" i="4"/>
  <c r="AC28" i="4"/>
  <c r="M28" i="4"/>
  <c r="K28" i="4"/>
  <c r="AD28" i="4"/>
  <c r="P28" i="4"/>
  <c r="O28" i="4"/>
  <c r="J28" i="4"/>
  <c r="H13" i="4"/>
  <c r="L40" i="4"/>
  <c r="AD13" i="4"/>
  <c r="A38" i="5"/>
  <c r="C50" i="7"/>
  <c r="F50" i="7"/>
  <c r="J333" i="7"/>
  <c r="F333" i="7"/>
  <c r="D333" i="7"/>
  <c r="E307" i="7"/>
  <c r="J307" i="7"/>
  <c r="D307" i="7"/>
  <c r="H307" i="7"/>
  <c r="C307" i="7"/>
  <c r="G307" i="7"/>
  <c r="I307" i="7"/>
  <c r="I284" i="7"/>
  <c r="J284" i="7"/>
  <c r="F284" i="7"/>
  <c r="E284" i="7"/>
  <c r="H284" i="7"/>
  <c r="G284" i="7"/>
  <c r="J259" i="7"/>
  <c r="E259" i="7"/>
  <c r="I259" i="7"/>
  <c r="G259" i="7"/>
  <c r="H259" i="7"/>
  <c r="D259" i="7"/>
  <c r="D91" i="7"/>
  <c r="F91" i="7"/>
  <c r="E68" i="7"/>
  <c r="C68" i="7"/>
  <c r="D104" i="7"/>
  <c r="C104" i="7"/>
  <c r="F54" i="7"/>
  <c r="C320" i="7"/>
  <c r="F124" i="7"/>
  <c r="F32" i="7"/>
  <c r="B38" i="9"/>
  <c r="D38" i="9"/>
  <c r="C38" i="9"/>
  <c r="F38" i="9"/>
  <c r="H38" i="9"/>
  <c r="G38" i="9"/>
  <c r="E38" i="9"/>
  <c r="G26" i="9"/>
  <c r="H26" i="9"/>
  <c r="F26" i="9"/>
  <c r="E26" i="9"/>
  <c r="D26" i="9"/>
  <c r="B26" i="9"/>
  <c r="C26" i="9"/>
  <c r="AM39" i="10"/>
  <c r="AA39" i="10"/>
  <c r="C39" i="10"/>
  <c r="N39" i="10" s="1"/>
  <c r="Q39" i="3"/>
  <c r="AN39" i="10"/>
  <c r="AB39" i="10"/>
  <c r="P39" i="10"/>
  <c r="D39" i="10"/>
  <c r="R39" i="3"/>
  <c r="AS39" i="10"/>
  <c r="AC39" i="10"/>
  <c r="A39" i="5"/>
  <c r="AK39" i="10"/>
  <c r="Z39" i="10"/>
  <c r="AR39" i="10"/>
  <c r="AP39" i="10"/>
  <c r="S39" i="10"/>
  <c r="R39" i="10"/>
  <c r="AG39" i="10"/>
  <c r="Y39" i="10"/>
  <c r="Q39" i="10"/>
  <c r="B39" i="10"/>
  <c r="S39" i="3"/>
  <c r="AH39" i="10"/>
  <c r="T39" i="3"/>
  <c r="AQ39" i="10"/>
  <c r="AI39" i="10"/>
  <c r="A39" i="4"/>
  <c r="AA13" i="4"/>
  <c r="A15" i="5"/>
  <c r="B47" i="6"/>
  <c r="C49" i="7"/>
  <c r="AN14" i="10"/>
  <c r="AB14" i="10"/>
  <c r="P14" i="10"/>
  <c r="D14" i="10"/>
  <c r="AO14" i="10"/>
  <c r="AC14" i="10"/>
  <c r="Q14" i="10"/>
  <c r="E14" i="10"/>
  <c r="A14" i="5"/>
  <c r="AF14" i="10"/>
  <c r="AP14" i="10"/>
  <c r="AI14" i="10"/>
  <c r="T14" i="10"/>
  <c r="L14" i="10"/>
  <c r="M14" i="10"/>
  <c r="K14" i="10"/>
  <c r="BI14" i="10"/>
  <c r="V14" i="10"/>
  <c r="I14" i="10"/>
  <c r="U14" i="10"/>
  <c r="H14" i="10"/>
  <c r="G14" i="10"/>
  <c r="Q14" i="3"/>
  <c r="I26" i="10"/>
  <c r="X15" i="10"/>
  <c r="AB10" i="10"/>
  <c r="AK14" i="10"/>
  <c r="AQ14" i="10"/>
  <c r="AR27" i="10"/>
  <c r="K14" i="4"/>
  <c r="C237" i="7"/>
  <c r="D237" i="7"/>
  <c r="F48" i="7"/>
  <c r="C48" i="7"/>
  <c r="D298" i="7"/>
  <c r="T38" i="3"/>
  <c r="AO37" i="10"/>
  <c r="AC37" i="10"/>
  <c r="Q37" i="10"/>
  <c r="E37" i="10"/>
  <c r="Q37" i="3"/>
  <c r="A37" i="5"/>
  <c r="AP37" i="10"/>
  <c r="AD37" i="10"/>
  <c r="R37" i="10"/>
  <c r="F37" i="10"/>
  <c r="R37" i="3"/>
  <c r="AE37" i="10"/>
  <c r="AR37" i="10"/>
  <c r="AS37" i="10"/>
  <c r="AH37" i="10"/>
  <c r="AG37" i="10"/>
  <c r="B37" i="10"/>
  <c r="A37" i="4"/>
  <c r="AF37" i="10"/>
  <c r="X37" i="10"/>
  <c r="AI27" i="10"/>
  <c r="AT25" i="10"/>
  <c r="AC16" i="5"/>
  <c r="C171" i="7"/>
  <c r="D171" i="7"/>
  <c r="J260" i="7"/>
  <c r="I260" i="7"/>
  <c r="D260" i="7"/>
  <c r="G260" i="7"/>
  <c r="E260" i="7"/>
  <c r="H260" i="7"/>
  <c r="C141" i="7"/>
  <c r="E141" i="7"/>
  <c r="E118" i="7"/>
  <c r="Q26" i="3"/>
  <c r="AP24" i="10"/>
  <c r="AD24" i="10"/>
  <c r="R24" i="10"/>
  <c r="F24" i="10"/>
  <c r="A24" i="5"/>
  <c r="AQ24" i="10"/>
  <c r="AE24" i="10"/>
  <c r="S24" i="10"/>
  <c r="G24" i="10"/>
  <c r="AL24" i="10"/>
  <c r="T24" i="10"/>
  <c r="D24" i="10"/>
  <c r="U24" i="3"/>
  <c r="AO24" i="10"/>
  <c r="AK24" i="10"/>
  <c r="Z24" i="10"/>
  <c r="AJ24" i="10"/>
  <c r="AA24" i="10"/>
  <c r="AN24" i="10"/>
  <c r="E24" i="10"/>
  <c r="AM24" i="10"/>
  <c r="AI24" i="10"/>
  <c r="AG24" i="10"/>
  <c r="Y24" i="10"/>
  <c r="C24" i="10"/>
  <c r="J24" i="10" s="1"/>
  <c r="B24" i="10"/>
  <c r="Q24" i="3"/>
  <c r="AR24" i="10"/>
  <c r="O29" i="10"/>
  <c r="AS14" i="10"/>
  <c r="A23" i="5"/>
  <c r="AQ23" i="10"/>
  <c r="AE23" i="10"/>
  <c r="S23" i="10"/>
  <c r="G23" i="10"/>
  <c r="Q23" i="3"/>
  <c r="BD23" i="10"/>
  <c r="AR23" i="10"/>
  <c r="AF23" i="10"/>
  <c r="T23" i="10"/>
  <c r="H23" i="10"/>
  <c r="R23" i="3"/>
  <c r="AC23" i="10"/>
  <c r="AS23" i="10"/>
  <c r="A23" i="4"/>
  <c r="AG23" i="10"/>
  <c r="V23" i="10"/>
  <c r="F23" i="10"/>
  <c r="B23" i="10"/>
  <c r="AN23" i="10"/>
  <c r="E23" i="10"/>
  <c r="U23" i="3"/>
  <c r="AO23" i="10"/>
  <c r="AM23" i="10"/>
  <c r="AL23" i="10"/>
  <c r="AI23" i="10"/>
  <c r="Z23" i="10"/>
  <c r="Y23" i="10"/>
  <c r="D23" i="10"/>
  <c r="C23" i="10"/>
  <c r="AT23" i="10" s="1"/>
  <c r="V23" i="3"/>
  <c r="R23" i="10"/>
  <c r="AP23" i="10"/>
  <c r="AH23" i="10"/>
  <c r="X23" i="10"/>
  <c r="I23" i="10"/>
  <c r="W15" i="10"/>
  <c r="AB24" i="10"/>
  <c r="H40" i="4"/>
  <c r="X28" i="4"/>
  <c r="AD40" i="4"/>
  <c r="H48" i="6"/>
  <c r="J332" i="7"/>
  <c r="I332" i="7"/>
  <c r="H332" i="7"/>
  <c r="E332" i="7"/>
  <c r="C332" i="7"/>
  <c r="G332" i="7"/>
  <c r="D332" i="7"/>
  <c r="J258" i="7"/>
  <c r="D258" i="7"/>
  <c r="G258" i="7"/>
  <c r="C18" i="7"/>
  <c r="C260" i="7"/>
  <c r="C92" i="7"/>
  <c r="C54" i="7"/>
  <c r="C7" i="7"/>
  <c r="D18" i="7"/>
  <c r="F332" i="7"/>
  <c r="F260" i="7"/>
  <c r="C47" i="6"/>
  <c r="C215" i="7"/>
  <c r="D215" i="7"/>
  <c r="C165" i="7"/>
  <c r="F120" i="7"/>
  <c r="C120" i="7"/>
  <c r="E120" i="7"/>
  <c r="C70" i="7"/>
  <c r="D102" i="7"/>
  <c r="F118" i="7"/>
  <c r="U26" i="3"/>
  <c r="AO25" i="10"/>
  <c r="AC25" i="10"/>
  <c r="Q25" i="10"/>
  <c r="E25" i="10"/>
  <c r="Q25" i="3"/>
  <c r="BN25" i="10"/>
  <c r="AP25" i="10"/>
  <c r="AD25" i="10"/>
  <c r="R25" i="10"/>
  <c r="F25" i="10"/>
  <c r="R25" i="3"/>
  <c r="AS25" i="10"/>
  <c r="AJ25" i="10"/>
  <c r="AA25" i="10"/>
  <c r="K25" i="10"/>
  <c r="AL25" i="10"/>
  <c r="A25" i="5"/>
  <c r="AH25" i="10"/>
  <c r="S25" i="10"/>
  <c r="O25" i="10"/>
  <c r="AB25" i="10"/>
  <c r="BX25" i="10"/>
  <c r="AN25" i="10"/>
  <c r="D25" i="10"/>
  <c r="Z25" i="10"/>
  <c r="AO13" i="10"/>
  <c r="AC13" i="10"/>
  <c r="Q13" i="10"/>
  <c r="E13" i="10"/>
  <c r="Q13" i="3"/>
  <c r="AP13" i="10"/>
  <c r="AD13" i="10"/>
  <c r="R13" i="10"/>
  <c r="F13" i="10"/>
  <c r="R13" i="3"/>
  <c r="A13" i="5"/>
  <c r="BX13" i="10"/>
  <c r="BS13" i="10"/>
  <c r="AQ13" i="10"/>
  <c r="Y13" i="10"/>
  <c r="W13" i="10"/>
  <c r="I13" i="10"/>
  <c r="AM13" i="10"/>
  <c r="AA13" i="10"/>
  <c r="P13" i="10"/>
  <c r="G13" i="10"/>
  <c r="V13" i="10"/>
  <c r="L13" i="10"/>
  <c r="J13" i="10"/>
  <c r="U13" i="3"/>
  <c r="U13" i="10"/>
  <c r="H13" i="10"/>
  <c r="V13" i="3"/>
  <c r="AB13" i="10"/>
  <c r="I25" i="10"/>
  <c r="L39" i="10"/>
  <c r="S38" i="10"/>
  <c r="T13" i="10"/>
  <c r="U26" i="10"/>
  <c r="X14" i="10"/>
  <c r="AD39" i="10"/>
  <c r="AE14" i="10"/>
  <c r="AF27" i="10"/>
  <c r="AG25" i="10"/>
  <c r="AH14" i="10"/>
  <c r="AK13" i="10"/>
  <c r="AS15" i="10"/>
  <c r="AY25" i="10"/>
  <c r="Z11" i="4"/>
  <c r="AA11" i="4"/>
  <c r="AE11" i="4"/>
  <c r="F11" i="4"/>
  <c r="D12" i="4"/>
  <c r="R13" i="4"/>
  <c r="AA40" i="4"/>
  <c r="AD14" i="4"/>
  <c r="I303" i="7"/>
  <c r="G303" i="7"/>
  <c r="F303" i="7"/>
  <c r="D303" i="7"/>
  <c r="E303" i="7"/>
  <c r="C303" i="7"/>
  <c r="C207" i="7"/>
  <c r="I308" i="7"/>
  <c r="J308" i="7"/>
  <c r="H308" i="7"/>
  <c r="E308" i="7"/>
  <c r="F308" i="7"/>
  <c r="C308" i="7"/>
  <c r="G308" i="7"/>
  <c r="C214" i="7"/>
  <c r="D214" i="7"/>
  <c r="D164" i="7"/>
  <c r="C164" i="7"/>
  <c r="H303" i="7"/>
  <c r="T14" i="3"/>
  <c r="A36" i="5"/>
  <c r="BN36" i="10"/>
  <c r="AP36" i="10"/>
  <c r="AD36" i="10"/>
  <c r="R36" i="10"/>
  <c r="F36" i="10"/>
  <c r="AQ36" i="10"/>
  <c r="AE36" i="10"/>
  <c r="S36" i="10"/>
  <c r="G36" i="10"/>
  <c r="BD36" i="10"/>
  <c r="AN36" i="10"/>
  <c r="V36" i="10"/>
  <c r="H36" i="10"/>
  <c r="T36" i="3"/>
  <c r="A36" i="4"/>
  <c r="AO36" i="10"/>
  <c r="AC36" i="10"/>
  <c r="Y36" i="10"/>
  <c r="I36" i="10"/>
  <c r="AF36" i="10"/>
  <c r="Q36" i="10"/>
  <c r="R36" i="3"/>
  <c r="S36" i="3"/>
  <c r="W36" i="10"/>
  <c r="O36" i="10"/>
  <c r="U36" i="3"/>
  <c r="P36" i="10"/>
  <c r="R12" i="10"/>
  <c r="F183" i="7" s="1"/>
  <c r="B12" i="10"/>
  <c r="J12" i="4" s="1"/>
  <c r="I12" i="10"/>
  <c r="K8" i="11" s="1"/>
  <c r="H12" i="10"/>
  <c r="AB12" i="10"/>
  <c r="I24" i="10"/>
  <c r="L38" i="10"/>
  <c r="R27" i="10"/>
  <c r="S37" i="10"/>
  <c r="U25" i="10"/>
  <c r="W37" i="10"/>
  <c r="X13" i="10"/>
  <c r="Z37" i="10"/>
  <c r="Z15" i="10"/>
  <c r="AD38" i="10"/>
  <c r="AF26" i="10"/>
  <c r="AI26" i="10"/>
  <c r="AJ39" i="10"/>
  <c r="BO29" i="10"/>
  <c r="R38" i="3"/>
  <c r="V25" i="3"/>
  <c r="S14" i="3"/>
  <c r="AQ35" i="10"/>
  <c r="AE35" i="10"/>
  <c r="S35" i="10"/>
  <c r="G35" i="10"/>
  <c r="Q35" i="3"/>
  <c r="BD35" i="10"/>
  <c r="AR35" i="10"/>
  <c r="AF35" i="10"/>
  <c r="T35" i="10"/>
  <c r="H35" i="10"/>
  <c r="R35" i="3"/>
  <c r="AG35" i="10"/>
  <c r="O35" i="10"/>
  <c r="BX35" i="10"/>
  <c r="BI35" i="10"/>
  <c r="AN35" i="10"/>
  <c r="R35" i="10"/>
  <c r="A35" i="4"/>
  <c r="X35" i="10"/>
  <c r="W35" i="10"/>
  <c r="P35" i="10"/>
  <c r="N35" i="10"/>
  <c r="L35" i="10"/>
  <c r="M35" i="10"/>
  <c r="A11" i="5"/>
  <c r="AF11" i="10"/>
  <c r="C11" i="10"/>
  <c r="D122" i="7" s="1"/>
  <c r="K14" i="11"/>
  <c r="H14" i="11"/>
  <c r="F14" i="11"/>
  <c r="AT18" i="10"/>
  <c r="O18" i="10"/>
  <c r="H27" i="10"/>
  <c r="J36" i="10"/>
  <c r="M25" i="10"/>
  <c r="N38" i="10"/>
  <c r="S15" i="10"/>
  <c r="U24" i="10"/>
  <c r="V39" i="10"/>
  <c r="Y26" i="10"/>
  <c r="Z14" i="10"/>
  <c r="AD35" i="10"/>
  <c r="AI25" i="10"/>
  <c r="AJ37" i="10"/>
  <c r="AL39" i="10"/>
  <c r="AS13" i="10"/>
  <c r="BS35" i="10"/>
  <c r="A27" i="4"/>
  <c r="R29" i="5"/>
  <c r="Q38" i="3"/>
  <c r="U25" i="3"/>
  <c r="R14" i="3"/>
  <c r="BD34" i="10"/>
  <c r="AR34" i="10"/>
  <c r="AF34" i="10"/>
  <c r="T34" i="10"/>
  <c r="H34" i="10"/>
  <c r="A34" i="4"/>
  <c r="AS34" i="10"/>
  <c r="AG34" i="10"/>
  <c r="U34" i="10"/>
  <c r="I34" i="10"/>
  <c r="AP34" i="10"/>
  <c r="Z34" i="10"/>
  <c r="X34" i="10"/>
  <c r="J34" i="10"/>
  <c r="R34" i="3"/>
  <c r="BN34" i="10"/>
  <c r="BS34" i="10"/>
  <c r="AJ34" i="10"/>
  <c r="M34" i="10"/>
  <c r="E34" i="10"/>
  <c r="W34" i="10"/>
  <c r="P34" i="10"/>
  <c r="BI34" i="10"/>
  <c r="O34" i="10"/>
  <c r="N34" i="10"/>
  <c r="L34" i="10"/>
  <c r="AE34" i="10"/>
  <c r="K34" i="10"/>
  <c r="Q34" i="3"/>
  <c r="AR22" i="10"/>
  <c r="AF22" i="10"/>
  <c r="T22" i="10"/>
  <c r="H22" i="10"/>
  <c r="A22" i="4"/>
  <c r="AS22" i="10"/>
  <c r="AG22" i="10"/>
  <c r="U22" i="10"/>
  <c r="I22" i="10"/>
  <c r="AN22" i="10"/>
  <c r="V22" i="10"/>
  <c r="F22" i="10"/>
  <c r="S22" i="3"/>
  <c r="AO22" i="10"/>
  <c r="AK22" i="10"/>
  <c r="A22" i="5"/>
  <c r="AM22" i="10"/>
  <c r="AL22" i="10"/>
  <c r="AI22" i="10"/>
  <c r="Z22" i="10"/>
  <c r="Y22" i="10"/>
  <c r="D22" i="10"/>
  <c r="C22" i="10"/>
  <c r="N22" i="10" s="1"/>
  <c r="AP22" i="10"/>
  <c r="AH22" i="10"/>
  <c r="X22" i="10"/>
  <c r="S22" i="10"/>
  <c r="R22" i="10"/>
  <c r="B22" i="10"/>
  <c r="Q22" i="10"/>
  <c r="AQ22" i="10"/>
  <c r="A10" i="5"/>
  <c r="AF10" i="10"/>
  <c r="A10" i="4"/>
  <c r="I10" i="10"/>
  <c r="K6" i="11" s="1"/>
  <c r="R10" i="10"/>
  <c r="F104" i="7" s="1"/>
  <c r="G10" i="10"/>
  <c r="F10" i="10"/>
  <c r="H6" i="11" s="1"/>
  <c r="B27" i="10"/>
  <c r="C37" i="10"/>
  <c r="N37" i="10" s="1"/>
  <c r="H13" i="11"/>
  <c r="K13" i="11"/>
  <c r="J13" i="11"/>
  <c r="BX17" i="10"/>
  <c r="BD17" i="10"/>
  <c r="BS17" i="10"/>
  <c r="AT17" i="10"/>
  <c r="O17" i="10"/>
  <c r="L17" i="10"/>
  <c r="I13" i="11"/>
  <c r="F13" i="11"/>
  <c r="H26" i="10"/>
  <c r="I39" i="10"/>
  <c r="J35" i="10"/>
  <c r="L36" i="10"/>
  <c r="M24" i="10"/>
  <c r="N36" i="10"/>
  <c r="P37" i="10"/>
  <c r="S14" i="10"/>
  <c r="U39" i="10"/>
  <c r="U23" i="10"/>
  <c r="V37" i="10"/>
  <c r="W14" i="10"/>
  <c r="Y25" i="10"/>
  <c r="Z35" i="10"/>
  <c r="Z13" i="10"/>
  <c r="AB23" i="10"/>
  <c r="AD34" i="10"/>
  <c r="AD14" i="10"/>
  <c r="AF24" i="10"/>
  <c r="AJ36" i="10"/>
  <c r="AL37" i="10"/>
  <c r="AL15" i="10"/>
  <c r="AM26" i="10"/>
  <c r="AP38" i="10"/>
  <c r="A26" i="4"/>
  <c r="B12" i="4"/>
  <c r="D29" i="4"/>
  <c r="Z29" i="4"/>
  <c r="A34" i="5"/>
  <c r="I351" i="7"/>
  <c r="D351" i="7"/>
  <c r="E351" i="7"/>
  <c r="J351" i="7"/>
  <c r="F351" i="7"/>
  <c r="G351" i="7"/>
  <c r="C351" i="7"/>
  <c r="F301" i="7"/>
  <c r="G301" i="7"/>
  <c r="C301" i="7"/>
  <c r="I301" i="7"/>
  <c r="J301" i="7"/>
  <c r="H301" i="7"/>
  <c r="D301" i="7"/>
  <c r="H255" i="7"/>
  <c r="E255" i="7"/>
  <c r="D255" i="7"/>
  <c r="C255" i="7"/>
  <c r="F255" i="7"/>
  <c r="G255" i="7"/>
  <c r="C187" i="7"/>
  <c r="D187" i="7"/>
  <c r="C158" i="7"/>
  <c r="E158" i="7"/>
  <c r="E116" i="7"/>
  <c r="F116" i="7"/>
  <c r="D116" i="7"/>
  <c r="D87" i="7"/>
  <c r="C259" i="7"/>
  <c r="C91" i="7"/>
  <c r="D240" i="7"/>
  <c r="F322" i="7"/>
  <c r="F259" i="7"/>
  <c r="F73" i="7"/>
  <c r="B40" i="6"/>
  <c r="C40" i="6"/>
  <c r="D52" i="6"/>
  <c r="C52" i="6"/>
  <c r="B52" i="6"/>
  <c r="B362" i="7"/>
  <c r="K362" i="7"/>
  <c r="I338" i="7"/>
  <c r="J338" i="7"/>
  <c r="H338" i="7"/>
  <c r="D338" i="7"/>
  <c r="G338" i="7"/>
  <c r="C338" i="7"/>
  <c r="E338" i="7"/>
  <c r="B326" i="7"/>
  <c r="K326" i="7"/>
  <c r="F302" i="7"/>
  <c r="D302" i="7"/>
  <c r="G302" i="7"/>
  <c r="C302" i="7"/>
  <c r="J302" i="7"/>
  <c r="I302" i="7"/>
  <c r="H302" i="7"/>
  <c r="B290" i="7"/>
  <c r="K290" i="7"/>
  <c r="B278" i="7"/>
  <c r="K278" i="7"/>
  <c r="K266" i="7"/>
  <c r="B266" i="7"/>
  <c r="B230" i="7"/>
  <c r="K230" i="7"/>
  <c r="B206" i="7"/>
  <c r="K206" i="7"/>
  <c r="K194" i="7"/>
  <c r="B194" i="7"/>
  <c r="B170" i="7"/>
  <c r="K170" i="7"/>
  <c r="B146" i="7"/>
  <c r="K146" i="7"/>
  <c r="B134" i="7"/>
  <c r="K134" i="7"/>
  <c r="B110" i="7"/>
  <c r="K110" i="7"/>
  <c r="K74" i="7"/>
  <c r="B74" i="7"/>
  <c r="B62" i="7"/>
  <c r="K62" i="7"/>
  <c r="K38" i="7"/>
  <c r="B38" i="7"/>
  <c r="I366" i="7"/>
  <c r="H366" i="7"/>
  <c r="G366" i="7"/>
  <c r="J366" i="7"/>
  <c r="D366" i="7"/>
  <c r="C366" i="7"/>
  <c r="E366" i="7"/>
  <c r="J343" i="7"/>
  <c r="F343" i="7"/>
  <c r="E343" i="7"/>
  <c r="G343" i="7"/>
  <c r="C343" i="7"/>
  <c r="D343" i="7"/>
  <c r="I271" i="7"/>
  <c r="E271" i="7"/>
  <c r="F271" i="7"/>
  <c r="H271" i="7"/>
  <c r="C271" i="7"/>
  <c r="J271" i="7"/>
  <c r="G271" i="7"/>
  <c r="D223" i="7"/>
  <c r="C204" i="7"/>
  <c r="D183" i="7"/>
  <c r="C157" i="7"/>
  <c r="F133" i="7"/>
  <c r="C133" i="7"/>
  <c r="K86" i="7"/>
  <c r="C15" i="7"/>
  <c r="E15" i="7"/>
  <c r="K98" i="7"/>
  <c r="B98" i="7"/>
  <c r="AE18" i="4"/>
  <c r="S18" i="4"/>
  <c r="F41" i="6"/>
  <c r="E41" i="6"/>
  <c r="G41" i="6"/>
  <c r="I41" i="6"/>
  <c r="D53" i="6"/>
  <c r="C53" i="6"/>
  <c r="B53" i="6"/>
  <c r="H45" i="6"/>
  <c r="F45" i="6"/>
  <c r="I45" i="6"/>
  <c r="E45" i="6"/>
  <c r="B361" i="7"/>
  <c r="K361" i="7"/>
  <c r="K337" i="7"/>
  <c r="B337" i="7"/>
  <c r="I325" i="7"/>
  <c r="H325" i="7"/>
  <c r="F325" i="7"/>
  <c r="D325" i="7"/>
  <c r="C325" i="7"/>
  <c r="J325" i="7"/>
  <c r="G325" i="7"/>
  <c r="B313" i="7"/>
  <c r="K313" i="7"/>
  <c r="B289" i="7"/>
  <c r="K289" i="7"/>
  <c r="B277" i="7"/>
  <c r="K277" i="7"/>
  <c r="K265" i="7"/>
  <c r="B265" i="7"/>
  <c r="K253" i="7"/>
  <c r="B253" i="7"/>
  <c r="B229" i="7"/>
  <c r="K229" i="7"/>
  <c r="K193" i="7"/>
  <c r="B193" i="7"/>
  <c r="D181" i="7"/>
  <c r="C181" i="7"/>
  <c r="C169" i="7"/>
  <c r="B145" i="7"/>
  <c r="K145" i="7"/>
  <c r="D109" i="7"/>
  <c r="C109" i="7"/>
  <c r="K97" i="7"/>
  <c r="B97" i="7"/>
  <c r="K85" i="7"/>
  <c r="B85" i="7"/>
  <c r="B61" i="7"/>
  <c r="K61" i="7"/>
  <c r="K37" i="7"/>
  <c r="B37" i="7"/>
  <c r="B13" i="7"/>
  <c r="K13" i="7"/>
  <c r="F342" i="7"/>
  <c r="J342" i="7"/>
  <c r="G342" i="7"/>
  <c r="C342" i="7"/>
  <c r="F288" i="7"/>
  <c r="H288" i="7"/>
  <c r="C288" i="7"/>
  <c r="I288" i="7"/>
  <c r="E288" i="7"/>
  <c r="D288" i="7"/>
  <c r="G288" i="7"/>
  <c r="C222" i="7"/>
  <c r="C203" i="7"/>
  <c r="E203" i="7"/>
  <c r="K182" i="7"/>
  <c r="F132" i="7"/>
  <c r="C132" i="7"/>
  <c r="K14" i="7"/>
  <c r="E133" i="7"/>
  <c r="F109" i="7"/>
  <c r="H44" i="6"/>
  <c r="F44" i="6"/>
  <c r="I44" i="6"/>
  <c r="E44" i="6"/>
  <c r="B360" i="7"/>
  <c r="K360" i="7"/>
  <c r="B336" i="7"/>
  <c r="K336" i="7"/>
  <c r="B324" i="7"/>
  <c r="K324" i="7"/>
  <c r="B312" i="7"/>
  <c r="K312" i="7"/>
  <c r="B264" i="7"/>
  <c r="K264" i="7"/>
  <c r="B252" i="7"/>
  <c r="K252" i="7"/>
  <c r="B228" i="7"/>
  <c r="K228" i="7"/>
  <c r="B192" i="7"/>
  <c r="K192" i="7"/>
  <c r="B180" i="7"/>
  <c r="K180" i="7"/>
  <c r="B168" i="7"/>
  <c r="K168" i="7"/>
  <c r="B156" i="7"/>
  <c r="K156" i="7"/>
  <c r="B108" i="7"/>
  <c r="K108" i="7"/>
  <c r="B96" i="7"/>
  <c r="K96" i="7"/>
  <c r="B84" i="7"/>
  <c r="K84" i="7"/>
  <c r="B60" i="7"/>
  <c r="K60" i="7"/>
  <c r="B36" i="7"/>
  <c r="K36" i="7"/>
  <c r="B24" i="7"/>
  <c r="K24" i="7"/>
  <c r="B12" i="7"/>
  <c r="K12" i="7"/>
  <c r="B109" i="7"/>
  <c r="H358" i="7"/>
  <c r="E358" i="7"/>
  <c r="C358" i="7"/>
  <c r="I358" i="7"/>
  <c r="D358" i="7"/>
  <c r="F358" i="7"/>
  <c r="K242" i="7"/>
  <c r="D219" i="7"/>
  <c r="C219" i="7"/>
  <c r="C82" i="7"/>
  <c r="D82" i="7"/>
  <c r="D271" i="7"/>
  <c r="E16" i="7"/>
  <c r="F338" i="7"/>
  <c r="B144" i="7"/>
  <c r="K144" i="7"/>
  <c r="H6" i="10"/>
  <c r="D6" i="10"/>
  <c r="J334" i="7"/>
  <c r="D334" i="7"/>
  <c r="K314" i="7"/>
  <c r="K241" i="7"/>
  <c r="K218" i="7"/>
  <c r="C201" i="7"/>
  <c r="D151" i="7"/>
  <c r="C151" i="7"/>
  <c r="C33" i="7"/>
  <c r="C10" i="7"/>
  <c r="D222" i="7"/>
  <c r="E302" i="7"/>
  <c r="F366" i="7"/>
  <c r="F34" i="7"/>
  <c r="AL40" i="10"/>
  <c r="Z40" i="10"/>
  <c r="B40" i="10"/>
  <c r="AM40" i="10"/>
  <c r="AA40" i="10"/>
  <c r="C40" i="10"/>
  <c r="BS40" i="10" s="1"/>
  <c r="BN40" i="10"/>
  <c r="AH40" i="10"/>
  <c r="R40" i="10"/>
  <c r="D40" i="10"/>
  <c r="AL28" i="10"/>
  <c r="Z28" i="10"/>
  <c r="B28" i="10"/>
  <c r="AM28" i="10"/>
  <c r="AA28" i="10"/>
  <c r="C28" i="10"/>
  <c r="A28" i="5"/>
  <c r="AF28" i="10"/>
  <c r="P28" i="10"/>
  <c r="AL16" i="10"/>
  <c r="Z16" i="10"/>
  <c r="B16" i="10"/>
  <c r="AM16" i="10"/>
  <c r="AA16" i="10"/>
  <c r="C16" i="10"/>
  <c r="AY16" i="10" s="1"/>
  <c r="A16" i="4"/>
  <c r="AD16" i="10"/>
  <c r="L16" i="10"/>
  <c r="D16" i="10"/>
  <c r="F40" i="10"/>
  <c r="G28" i="10"/>
  <c r="H16" i="10"/>
  <c r="S40" i="10"/>
  <c r="X16" i="10"/>
  <c r="AI28" i="10"/>
  <c r="AO40" i="10"/>
  <c r="AE6" i="4"/>
  <c r="AA6" i="4"/>
  <c r="E6" i="4"/>
  <c r="Z6" i="4"/>
  <c r="K6" i="4"/>
  <c r="F6" i="4"/>
  <c r="C6" i="4"/>
  <c r="B6" i="5"/>
  <c r="C36" i="6"/>
  <c r="D36" i="6"/>
  <c r="B48" i="6"/>
  <c r="D48" i="6"/>
  <c r="G43" i="6"/>
  <c r="F43" i="6"/>
  <c r="I43" i="6"/>
  <c r="J345" i="7"/>
  <c r="H345" i="7"/>
  <c r="E345" i="7"/>
  <c r="C345" i="7"/>
  <c r="I345" i="7"/>
  <c r="G345" i="7"/>
  <c r="D345" i="7"/>
  <c r="F345" i="7"/>
  <c r="J309" i="7"/>
  <c r="I309" i="7"/>
  <c r="H309" i="7"/>
  <c r="E309" i="7"/>
  <c r="C309" i="7"/>
  <c r="F309" i="7"/>
  <c r="D309" i="7"/>
  <c r="C177" i="7"/>
  <c r="D177" i="7"/>
  <c r="E93" i="7"/>
  <c r="C93" i="7"/>
  <c r="F93" i="7"/>
  <c r="D93" i="7"/>
  <c r="H357" i="7"/>
  <c r="E357" i="7"/>
  <c r="F357" i="7"/>
  <c r="J319" i="7"/>
  <c r="E319" i="7"/>
  <c r="G319" i="7"/>
  <c r="F319" i="7"/>
  <c r="H319" i="7"/>
  <c r="C319" i="7"/>
  <c r="J274" i="7"/>
  <c r="H274" i="7"/>
  <c r="C274" i="7"/>
  <c r="E150" i="7"/>
  <c r="C150" i="7"/>
  <c r="D150" i="7"/>
  <c r="A40" i="5"/>
  <c r="H42" i="6"/>
  <c r="G42" i="6"/>
  <c r="I42" i="6"/>
  <c r="F42" i="6"/>
  <c r="K368" i="7"/>
  <c r="B368" i="7"/>
  <c r="B344" i="7"/>
  <c r="K344" i="7"/>
  <c r="K296" i="7"/>
  <c r="B296" i="7"/>
  <c r="B248" i="7"/>
  <c r="K248" i="7"/>
  <c r="D224" i="7"/>
  <c r="C224" i="7"/>
  <c r="K212" i="7"/>
  <c r="B212" i="7"/>
  <c r="D152" i="7"/>
  <c r="C152" i="7"/>
  <c r="K80" i="7"/>
  <c r="B80" i="7"/>
  <c r="C20" i="7"/>
  <c r="E8" i="7"/>
  <c r="B152" i="7"/>
  <c r="F318" i="7"/>
  <c r="G318" i="7"/>
  <c r="D273" i="7"/>
  <c r="C250" i="7"/>
  <c r="K128" i="7"/>
  <c r="K44" i="7"/>
  <c r="D147" i="7"/>
  <c r="J335" i="7"/>
  <c r="F335" i="7"/>
  <c r="I335" i="7"/>
  <c r="E335" i="7"/>
  <c r="H335" i="7"/>
  <c r="D335" i="7"/>
  <c r="C315" i="7"/>
  <c r="H315" i="7"/>
  <c r="G315" i="7"/>
  <c r="K188" i="7"/>
  <c r="E127" i="7"/>
  <c r="F127" i="7"/>
  <c r="C127" i="7"/>
  <c r="C106" i="7"/>
  <c r="D106" i="7"/>
  <c r="E43" i="7"/>
  <c r="F43" i="7"/>
  <c r="C43" i="7"/>
  <c r="D319" i="7"/>
  <c r="B54" i="6"/>
  <c r="C54" i="6"/>
  <c r="H57" i="6"/>
  <c r="F57" i="6"/>
  <c r="G57" i="6"/>
  <c r="J365" i="7"/>
  <c r="G365" i="7"/>
  <c r="D365" i="7"/>
  <c r="J353" i="7"/>
  <c r="I353" i="7"/>
  <c r="G353" i="7"/>
  <c r="H353" i="7"/>
  <c r="F353" i="7"/>
  <c r="E353" i="7"/>
  <c r="G341" i="7"/>
  <c r="H341" i="7"/>
  <c r="C341" i="7"/>
  <c r="J329" i="7"/>
  <c r="G329" i="7"/>
  <c r="F329" i="7"/>
  <c r="E329" i="7"/>
  <c r="C329" i="7"/>
  <c r="D329" i="7"/>
  <c r="I329" i="7"/>
  <c r="G317" i="7"/>
  <c r="I317" i="7"/>
  <c r="J317" i="7"/>
  <c r="E317" i="7"/>
  <c r="K305" i="7"/>
  <c r="B305" i="7"/>
  <c r="J293" i="7"/>
  <c r="I293" i="7"/>
  <c r="G293" i="7"/>
  <c r="E293" i="7"/>
  <c r="H293" i="7"/>
  <c r="D293" i="7"/>
  <c r="G281" i="7"/>
  <c r="H281" i="7"/>
  <c r="E281" i="7"/>
  <c r="J281" i="7"/>
  <c r="I269" i="7"/>
  <c r="J269" i="7"/>
  <c r="G269" i="7"/>
  <c r="F269" i="7"/>
  <c r="J257" i="7"/>
  <c r="G257" i="7"/>
  <c r="F257" i="7"/>
  <c r="C257" i="7"/>
  <c r="I257" i="7"/>
  <c r="D257" i="7"/>
  <c r="K245" i="7"/>
  <c r="B245" i="7"/>
  <c r="K233" i="7"/>
  <c r="B233" i="7"/>
  <c r="D221" i="7"/>
  <c r="C221" i="7"/>
  <c r="D209" i="7"/>
  <c r="D197" i="7"/>
  <c r="D185" i="7"/>
  <c r="C185" i="7"/>
  <c r="E185" i="7"/>
  <c r="D173" i="7"/>
  <c r="K161" i="7"/>
  <c r="B161" i="7"/>
  <c r="D149" i="7"/>
  <c r="E137" i="7"/>
  <c r="E125" i="7"/>
  <c r="F125" i="7"/>
  <c r="F113" i="7"/>
  <c r="D113" i="7"/>
  <c r="C113" i="7"/>
  <c r="E113" i="7"/>
  <c r="D101" i="7"/>
  <c r="C101" i="7"/>
  <c r="K89" i="7"/>
  <c r="B89" i="7"/>
  <c r="E77" i="7"/>
  <c r="D77" i="7"/>
  <c r="F77" i="7"/>
  <c r="C65" i="7"/>
  <c r="F53" i="7"/>
  <c r="F41" i="7"/>
  <c r="C41" i="7"/>
  <c r="K29" i="7"/>
  <c r="B29" i="7"/>
  <c r="K17" i="7"/>
  <c r="B17" i="7"/>
  <c r="E5" i="7"/>
  <c r="D5" i="7"/>
  <c r="F5" i="7"/>
  <c r="B293" i="7"/>
  <c r="B173" i="7"/>
  <c r="B137" i="7"/>
  <c r="B39" i="7"/>
  <c r="K363" i="7"/>
  <c r="J306" i="7"/>
  <c r="G306" i="7"/>
  <c r="D306" i="7"/>
  <c r="E306" i="7"/>
  <c r="C306" i="7"/>
  <c r="J287" i="7"/>
  <c r="F287" i="7"/>
  <c r="C287" i="7"/>
  <c r="E287" i="7"/>
  <c r="H287" i="7"/>
  <c r="E270" i="7"/>
  <c r="J270" i="7"/>
  <c r="F270" i="7"/>
  <c r="H270" i="7"/>
  <c r="I270" i="7"/>
  <c r="G270" i="7"/>
  <c r="C270" i="7"/>
  <c r="C249" i="7"/>
  <c r="D175" i="7"/>
  <c r="F119" i="7"/>
  <c r="C119" i="7"/>
  <c r="E102" i="7"/>
  <c r="F102" i="7"/>
  <c r="C102" i="7"/>
  <c r="C42" i="7"/>
  <c r="D21" i="7"/>
  <c r="C137" i="7"/>
  <c r="D341" i="7"/>
  <c r="D270" i="7"/>
  <c r="E339" i="7"/>
  <c r="F317" i="7"/>
  <c r="G287" i="7"/>
  <c r="H257" i="7"/>
  <c r="I341" i="7"/>
  <c r="R17" i="4"/>
  <c r="O17" i="4"/>
  <c r="E17" i="4"/>
  <c r="F17" i="4"/>
  <c r="H56" i="6"/>
  <c r="F56" i="6"/>
  <c r="G56" i="6"/>
  <c r="K364" i="7"/>
  <c r="B364" i="7"/>
  <c r="G352" i="7"/>
  <c r="H352" i="7"/>
  <c r="F352" i="7"/>
  <c r="E352" i="7"/>
  <c r="G340" i="7"/>
  <c r="I340" i="7"/>
  <c r="K328" i="7"/>
  <c r="B328" i="7"/>
  <c r="G316" i="7"/>
  <c r="I316" i="7"/>
  <c r="J316" i="7"/>
  <c r="E316" i="7"/>
  <c r="C316" i="7"/>
  <c r="G304" i="7"/>
  <c r="H304" i="7"/>
  <c r="J304" i="7"/>
  <c r="F304" i="7"/>
  <c r="K292" i="7"/>
  <c r="B292" i="7"/>
  <c r="K280" i="7"/>
  <c r="B280" i="7"/>
  <c r="G268" i="7"/>
  <c r="D268" i="7"/>
  <c r="I268" i="7"/>
  <c r="F268" i="7"/>
  <c r="I256" i="7"/>
  <c r="G256" i="7"/>
  <c r="F256" i="7"/>
  <c r="D256" i="7"/>
  <c r="E256" i="7"/>
  <c r="C256" i="7"/>
  <c r="K244" i="7"/>
  <c r="B244" i="7"/>
  <c r="D232" i="7"/>
  <c r="K220" i="7"/>
  <c r="B220" i="7"/>
  <c r="D208" i="7"/>
  <c r="K196" i="7"/>
  <c r="B196" i="7"/>
  <c r="D184" i="7"/>
  <c r="C184" i="7"/>
  <c r="D172" i="7"/>
  <c r="C172" i="7"/>
  <c r="K160" i="7"/>
  <c r="B160" i="7"/>
  <c r="K148" i="7"/>
  <c r="B148" i="7"/>
  <c r="E136" i="7"/>
  <c r="C136" i="7"/>
  <c r="K112" i="7"/>
  <c r="B112" i="7"/>
  <c r="D100" i="7"/>
  <c r="C100" i="7"/>
  <c r="D88" i="7"/>
  <c r="E88" i="7"/>
  <c r="K76" i="7"/>
  <c r="B76" i="7"/>
  <c r="K64" i="7"/>
  <c r="B64" i="7"/>
  <c r="F52" i="7"/>
  <c r="F40" i="7"/>
  <c r="K28" i="7"/>
  <c r="B28" i="7"/>
  <c r="C16" i="7"/>
  <c r="B232" i="7"/>
  <c r="B172" i="7"/>
  <c r="B136" i="7"/>
  <c r="B77" i="7"/>
  <c r="J286" i="7"/>
  <c r="H286" i="7"/>
  <c r="G286" i="7"/>
  <c r="C286" i="7"/>
  <c r="E286" i="7"/>
  <c r="D191" i="7"/>
  <c r="D174" i="7"/>
  <c r="D155" i="7"/>
  <c r="K135" i="7"/>
  <c r="C118" i="7"/>
  <c r="F58" i="7"/>
  <c r="E58" i="7"/>
  <c r="C58" i="7"/>
  <c r="C365" i="7"/>
  <c r="C269" i="7"/>
  <c r="D317" i="7"/>
  <c r="D269" i="7"/>
  <c r="E304" i="7"/>
  <c r="F316" i="7"/>
  <c r="F281" i="7"/>
  <c r="F16" i="7"/>
  <c r="H256" i="7"/>
  <c r="I365" i="7"/>
  <c r="I287" i="7"/>
  <c r="C32" i="9"/>
  <c r="D32" i="9"/>
  <c r="H32" i="9"/>
  <c r="F32" i="9"/>
  <c r="G32" i="9"/>
  <c r="B32" i="9"/>
  <c r="C20" i="9"/>
  <c r="D20" i="9"/>
  <c r="F20" i="9"/>
  <c r="B20" i="9"/>
  <c r="H20" i="9"/>
  <c r="E20" i="9"/>
  <c r="G20" i="9"/>
  <c r="C8" i="9"/>
  <c r="D8" i="9"/>
  <c r="B8" i="9"/>
  <c r="E8" i="9"/>
  <c r="E30" i="4"/>
  <c r="X30" i="4"/>
  <c r="AB30" i="4"/>
  <c r="E57" i="6"/>
  <c r="I339" i="7"/>
  <c r="J339" i="7"/>
  <c r="H339" i="7"/>
  <c r="D339" i="7"/>
  <c r="K327" i="7"/>
  <c r="B327" i="7"/>
  <c r="B291" i="7"/>
  <c r="K291" i="7"/>
  <c r="B279" i="7"/>
  <c r="K279" i="7"/>
  <c r="K243" i="7"/>
  <c r="B243" i="7"/>
  <c r="K195" i="7"/>
  <c r="B195" i="7"/>
  <c r="D159" i="7"/>
  <c r="F123" i="7"/>
  <c r="K111" i="7"/>
  <c r="B111" i="7"/>
  <c r="B75" i="7"/>
  <c r="K75" i="7"/>
  <c r="B63" i="7"/>
  <c r="K63" i="7"/>
  <c r="F51" i="7"/>
  <c r="K27" i="7"/>
  <c r="B27" i="7"/>
  <c r="B329" i="7"/>
  <c r="B269" i="7"/>
  <c r="B171" i="7"/>
  <c r="J323" i="7"/>
  <c r="I323" i="7"/>
  <c r="F323" i="7"/>
  <c r="H323" i="7"/>
  <c r="G323" i="7"/>
  <c r="J285" i="7"/>
  <c r="F285" i="7"/>
  <c r="G285" i="7"/>
  <c r="C285" i="7"/>
  <c r="C226" i="7"/>
  <c r="C57" i="7"/>
  <c r="D57" i="7"/>
  <c r="E19" i="7"/>
  <c r="F19" i="7"/>
  <c r="C317" i="7"/>
  <c r="C268" i="7"/>
  <c r="C88" i="7"/>
  <c r="C40" i="7"/>
  <c r="C19" i="7"/>
  <c r="D316" i="7"/>
  <c r="H317" i="7"/>
  <c r="I286" i="7"/>
  <c r="D31" i="9"/>
  <c r="E31" i="9"/>
  <c r="G31" i="9"/>
  <c r="F31" i="9"/>
  <c r="B31" i="9"/>
  <c r="C31" i="9"/>
  <c r="D19" i="9"/>
  <c r="E19" i="9"/>
  <c r="H19" i="9"/>
  <c r="C19" i="9"/>
  <c r="B19" i="9"/>
  <c r="G19" i="9"/>
  <c r="F19" i="9"/>
  <c r="D7" i="9"/>
  <c r="E7" i="9"/>
  <c r="F7" i="9"/>
  <c r="B7" i="9"/>
  <c r="J331" i="7"/>
  <c r="F331" i="7"/>
  <c r="C199" i="7"/>
  <c r="C49" i="6"/>
  <c r="B49" i="6"/>
  <c r="D37" i="6"/>
  <c r="H37" i="6"/>
  <c r="J347" i="7"/>
  <c r="F347" i="7"/>
  <c r="G347" i="7"/>
  <c r="I295" i="7"/>
  <c r="J295" i="7"/>
  <c r="E295" i="7"/>
  <c r="H295" i="7"/>
  <c r="J263" i="7"/>
  <c r="F263" i="7"/>
  <c r="I263" i="7"/>
  <c r="E263" i="7"/>
  <c r="C213" i="7"/>
  <c r="D213" i="7"/>
  <c r="E179" i="7"/>
  <c r="E163" i="7"/>
  <c r="F131" i="7"/>
  <c r="E79" i="7"/>
  <c r="F47" i="7"/>
  <c r="D295" i="7"/>
  <c r="D199" i="7"/>
  <c r="D115" i="7"/>
  <c r="D31" i="7"/>
  <c r="F79" i="7"/>
  <c r="R29" i="3"/>
  <c r="R17" i="3"/>
  <c r="BU2" i="10"/>
  <c r="B29" i="10"/>
  <c r="B17" i="10"/>
  <c r="N29" i="10"/>
  <c r="N17" i="10"/>
  <c r="Y30" i="10"/>
  <c r="Y18" i="10"/>
  <c r="Z29" i="10"/>
  <c r="Z17" i="10"/>
  <c r="AK30" i="10"/>
  <c r="AK18" i="10"/>
  <c r="AL29" i="10"/>
  <c r="AL17" i="10"/>
  <c r="I38" i="6"/>
  <c r="G38" i="6"/>
  <c r="E38" i="6"/>
  <c r="I50" i="6"/>
  <c r="G50" i="6"/>
  <c r="E50" i="6"/>
  <c r="J310" i="7"/>
  <c r="I310" i="7"/>
  <c r="D238" i="7"/>
  <c r="C238" i="7"/>
  <c r="E94" i="7"/>
  <c r="D94" i="7"/>
  <c r="C94" i="7"/>
  <c r="E22" i="7"/>
  <c r="F22" i="7"/>
  <c r="B177" i="7"/>
  <c r="J346" i="7"/>
  <c r="H346" i="7"/>
  <c r="E346" i="7"/>
  <c r="C346" i="7"/>
  <c r="E330" i="7"/>
  <c r="F330" i="7"/>
  <c r="C330" i="7"/>
  <c r="E294" i="7"/>
  <c r="I294" i="7"/>
  <c r="J262" i="7"/>
  <c r="I262" i="7"/>
  <c r="H262" i="7"/>
  <c r="G262" i="7"/>
  <c r="C262" i="7"/>
  <c r="D246" i="7"/>
  <c r="E198" i="7"/>
  <c r="E178" i="7"/>
  <c r="C178" i="7"/>
  <c r="C130" i="7"/>
  <c r="E114" i="7"/>
  <c r="C114" i="7"/>
  <c r="C31" i="7"/>
  <c r="D310" i="7"/>
  <c r="D294" i="7"/>
  <c r="D198" i="7"/>
  <c r="D114" i="7"/>
  <c r="D30" i="7"/>
  <c r="E331" i="7"/>
  <c r="E310" i="7"/>
  <c r="F130" i="7"/>
  <c r="G295" i="7"/>
  <c r="Y17" i="5"/>
  <c r="AE17" i="5"/>
  <c r="M29" i="10"/>
  <c r="M17" i="10"/>
  <c r="Y29" i="10"/>
  <c r="Y17" i="10"/>
  <c r="AK29" i="10"/>
  <c r="AK17" i="10"/>
  <c r="BI29" i="10"/>
  <c r="BI17" i="10"/>
  <c r="D49" i="6"/>
  <c r="H369" i="7"/>
  <c r="E369" i="7"/>
  <c r="I369" i="7"/>
  <c r="C369" i="7"/>
  <c r="F369" i="7"/>
  <c r="I297" i="7"/>
  <c r="H297" i="7"/>
  <c r="C225" i="7"/>
  <c r="D225" i="7"/>
  <c r="C153" i="7"/>
  <c r="D153" i="7"/>
  <c r="C9" i="7"/>
  <c r="D9" i="7"/>
  <c r="E9" i="7"/>
  <c r="B309" i="7"/>
  <c r="B93" i="7"/>
  <c r="J359" i="7"/>
  <c r="F359" i="7"/>
  <c r="E359" i="7"/>
  <c r="H359" i="7"/>
  <c r="C359" i="7"/>
  <c r="K261" i="7"/>
  <c r="E143" i="7"/>
  <c r="C143" i="7"/>
  <c r="D143" i="7"/>
  <c r="K45" i="7"/>
  <c r="C30" i="7"/>
  <c r="D359" i="7"/>
  <c r="G294" i="7"/>
  <c r="H331" i="7"/>
  <c r="B33" i="9"/>
  <c r="C33" i="9"/>
  <c r="H33" i="9"/>
  <c r="D33" i="9"/>
  <c r="F33" i="9"/>
  <c r="B21" i="9"/>
  <c r="C21" i="9"/>
  <c r="F21" i="9"/>
  <c r="H21" i="9"/>
  <c r="E21" i="9"/>
  <c r="B9" i="9"/>
  <c r="C9" i="9"/>
  <c r="D9" i="9"/>
  <c r="G9" i="9"/>
  <c r="E9" i="9"/>
  <c r="B32" i="6"/>
  <c r="C32" i="6" s="1"/>
  <c r="D44" i="6"/>
  <c r="B44" i="6"/>
  <c r="D56" i="6"/>
  <c r="B56" i="6"/>
  <c r="K311" i="7"/>
  <c r="E283" i="7"/>
  <c r="J283" i="7"/>
  <c r="F283" i="7"/>
  <c r="K239" i="7"/>
  <c r="E211" i="7"/>
  <c r="D211" i="7"/>
  <c r="K167" i="7"/>
  <c r="K95" i="7"/>
  <c r="K23" i="7"/>
  <c r="B33" i="6"/>
  <c r="C33" i="6" s="1"/>
  <c r="D45" i="6"/>
  <c r="B45" i="6"/>
  <c r="D57" i="6"/>
  <c r="B57" i="6"/>
  <c r="J354" i="7"/>
  <c r="I354" i="7"/>
  <c r="D210" i="7"/>
  <c r="E66" i="7"/>
  <c r="H354" i="7"/>
  <c r="D36" i="9"/>
  <c r="H36" i="9"/>
  <c r="C36" i="9"/>
  <c r="G36" i="9"/>
  <c r="B24" i="9"/>
  <c r="E24" i="9"/>
  <c r="D24" i="9"/>
  <c r="H24" i="9"/>
  <c r="C24" i="9"/>
  <c r="E12" i="9"/>
  <c r="C12" i="9"/>
  <c r="D12" i="9"/>
  <c r="E51" i="6"/>
  <c r="E39" i="6"/>
  <c r="G51" i="6"/>
  <c r="G39" i="6"/>
  <c r="G13" i="9"/>
  <c r="G25" i="9"/>
  <c r="B25" i="9"/>
  <c r="C37" i="9"/>
  <c r="G40" i="9"/>
  <c r="H40" i="9"/>
  <c r="G28" i="9"/>
  <c r="H28" i="9"/>
  <c r="G16" i="9"/>
  <c r="H16" i="9"/>
  <c r="C16" i="9"/>
  <c r="E28" i="9"/>
  <c r="C15" i="9"/>
  <c r="E27" i="9"/>
  <c r="G39" i="9"/>
  <c r="E121" i="7" l="1"/>
  <c r="E105" i="7"/>
  <c r="AY20" i="10"/>
  <c r="D300" i="7"/>
  <c r="K22" i="10"/>
  <c r="J15" i="10"/>
  <c r="J20" i="10"/>
  <c r="C300" i="7"/>
  <c r="F197" i="7"/>
  <c r="AT22" i="10"/>
  <c r="D22" i="5" s="1"/>
  <c r="G254" i="7"/>
  <c r="J300" i="7"/>
  <c r="F71" i="7"/>
  <c r="M15" i="10"/>
  <c r="F254" i="7"/>
  <c r="G300" i="7"/>
  <c r="BN35" i="10"/>
  <c r="R35" i="5" s="1"/>
  <c r="D8" i="7"/>
  <c r="E82" i="7"/>
  <c r="BN22" i="10"/>
  <c r="M27" i="10"/>
  <c r="D25" i="7"/>
  <c r="E104" i="7"/>
  <c r="BX20" i="10"/>
  <c r="C254" i="7"/>
  <c r="F300" i="7"/>
  <c r="D323" i="7"/>
  <c r="E109" i="7"/>
  <c r="E87" i="7"/>
  <c r="BX24" i="10"/>
  <c r="BN27" i="10"/>
  <c r="E101" i="7"/>
  <c r="H254" i="7"/>
  <c r="G350" i="7"/>
  <c r="E117" i="7"/>
  <c r="E10" i="10"/>
  <c r="K10" i="10" s="1"/>
  <c r="R10" i="3" s="1"/>
  <c r="K32" i="10"/>
  <c r="C349" i="7"/>
  <c r="H276" i="7"/>
  <c r="E350" i="7"/>
  <c r="BT29" i="10"/>
  <c r="BD31" i="10"/>
  <c r="F51" i="6"/>
  <c r="AY22" i="10"/>
  <c r="E349" i="7"/>
  <c r="D190" i="7"/>
  <c r="D165" i="7"/>
  <c r="BN20" i="10"/>
  <c r="G349" i="7"/>
  <c r="F126" i="7"/>
  <c r="O24" i="10"/>
  <c r="D10" i="10"/>
  <c r="F6" i="11" s="1"/>
  <c r="E103" i="7"/>
  <c r="F72" i="7"/>
  <c r="F10" i="9"/>
  <c r="L20" i="10"/>
  <c r="BD20" i="10"/>
  <c r="D349" i="7"/>
  <c r="G276" i="7"/>
  <c r="J350" i="7"/>
  <c r="E90" i="7"/>
  <c r="BN24" i="10"/>
  <c r="E91" i="7"/>
  <c r="N20" i="10"/>
  <c r="K20" i="10"/>
  <c r="I349" i="7"/>
  <c r="D250" i="7"/>
  <c r="E254" i="7"/>
  <c r="BS31" i="10"/>
  <c r="BN17" i="10"/>
  <c r="R17" i="5" s="1"/>
  <c r="K24" i="10"/>
  <c r="AY24" i="10"/>
  <c r="E12" i="10"/>
  <c r="F92" i="7"/>
  <c r="E81" i="7"/>
  <c r="J11" i="4"/>
  <c r="C335" i="7"/>
  <c r="G335" i="7"/>
  <c r="I39" i="6"/>
  <c r="H39" i="6"/>
  <c r="F39" i="6"/>
  <c r="J38" i="10"/>
  <c r="H349" i="7"/>
  <c r="D254" i="7"/>
  <c r="H300" i="7"/>
  <c r="I350" i="7"/>
  <c r="E129" i="7"/>
  <c r="O10" i="10"/>
  <c r="E48" i="7"/>
  <c r="E49" i="7"/>
  <c r="B11" i="6"/>
  <c r="BS20" i="10"/>
  <c r="J254" i="7"/>
  <c r="I300" i="7"/>
  <c r="BN31" i="10"/>
  <c r="AT37" i="10"/>
  <c r="F103" i="7"/>
  <c r="K17" i="10"/>
  <c r="BN37" i="10"/>
  <c r="D9" i="10"/>
  <c r="I6" i="10"/>
  <c r="O6" i="10" s="1"/>
  <c r="V6" i="3" s="1"/>
  <c r="J17" i="10"/>
  <c r="L37" i="10"/>
  <c r="E55" i="7"/>
  <c r="F138" i="7"/>
  <c r="J276" i="7"/>
  <c r="C350" i="7"/>
  <c r="S25" i="5"/>
  <c r="D227" i="7"/>
  <c r="AY17" i="10"/>
  <c r="AT16" i="10"/>
  <c r="F87" i="7"/>
  <c r="F117" i="7"/>
  <c r="BS39" i="10"/>
  <c r="F356" i="7"/>
  <c r="AT9" i="10"/>
  <c r="U25" i="5"/>
  <c r="E28" i="4"/>
  <c r="B28" i="4"/>
  <c r="I28" i="4"/>
  <c r="AA28" i="4"/>
  <c r="S28" i="4"/>
  <c r="Z28" i="4"/>
  <c r="R28" i="4"/>
  <c r="Q28" i="4"/>
  <c r="C59" i="7"/>
  <c r="F59" i="7"/>
  <c r="E69" i="7"/>
  <c r="F69" i="7"/>
  <c r="C69" i="7"/>
  <c r="D69" i="7"/>
  <c r="Q29" i="4"/>
  <c r="Y29" i="4"/>
  <c r="H29" i="4"/>
  <c r="B29" i="4"/>
  <c r="AE29" i="4"/>
  <c r="R29" i="4"/>
  <c r="AA29" i="4"/>
  <c r="G29" i="4"/>
  <c r="E29" i="4"/>
  <c r="AC29" i="4"/>
  <c r="F29" i="4"/>
  <c r="M29" i="4"/>
  <c r="S29" i="4"/>
  <c r="K29" i="4"/>
  <c r="O29" i="4"/>
  <c r="I29" i="4"/>
  <c r="J29" i="4"/>
  <c r="P29" i="4"/>
  <c r="W29" i="4"/>
  <c r="AD29" i="4"/>
  <c r="X29" i="4"/>
  <c r="C29" i="5"/>
  <c r="AE29" i="5"/>
  <c r="AD29" i="5"/>
  <c r="B29" i="5"/>
  <c r="AC29" i="5"/>
  <c r="AB29" i="5"/>
  <c r="AA29" i="5"/>
  <c r="Y29" i="5"/>
  <c r="Z29" i="5"/>
  <c r="L10" i="10"/>
  <c r="S10" i="3" s="1"/>
  <c r="O30" i="10"/>
  <c r="N29" i="4"/>
  <c r="E166" i="7"/>
  <c r="D166" i="7"/>
  <c r="O25" i="4"/>
  <c r="X25" i="4"/>
  <c r="F25" i="4"/>
  <c r="E25" i="4"/>
  <c r="I25" i="4"/>
  <c r="D25" i="4"/>
  <c r="S25" i="4"/>
  <c r="J25" i="4"/>
  <c r="B25" i="4"/>
  <c r="K25" i="4"/>
  <c r="R25" i="4"/>
  <c r="AB25" i="4"/>
  <c r="AA25" i="4"/>
  <c r="AE25" i="4"/>
  <c r="AD25" i="4"/>
  <c r="Z25" i="4"/>
  <c r="Y25" i="4"/>
  <c r="N25" i="4"/>
  <c r="L25" i="4"/>
  <c r="AC25" i="4"/>
  <c r="T18" i="4"/>
  <c r="U29" i="4"/>
  <c r="C25" i="4"/>
  <c r="AY13" i="10"/>
  <c r="AZ13" i="10" s="1"/>
  <c r="Z35" i="5"/>
  <c r="AC35" i="5"/>
  <c r="Y35" i="5"/>
  <c r="C35" i="5"/>
  <c r="B35" i="5"/>
  <c r="H55" i="6"/>
  <c r="I55" i="6"/>
  <c r="F55" i="6"/>
  <c r="E55" i="6"/>
  <c r="G55" i="6"/>
  <c r="AA30" i="5"/>
  <c r="AB30" i="5"/>
  <c r="B30" i="5"/>
  <c r="Y30" i="5"/>
  <c r="C30" i="5"/>
  <c r="AD30" i="5"/>
  <c r="AC30" i="5"/>
  <c r="Z30" i="5"/>
  <c r="O26" i="10"/>
  <c r="K26" i="10"/>
  <c r="AC18" i="5"/>
  <c r="B18" i="5"/>
  <c r="AA18" i="5"/>
  <c r="Y18" i="5"/>
  <c r="AB18" i="5"/>
  <c r="D234" i="7"/>
  <c r="AY30" i="10"/>
  <c r="J26" i="11"/>
  <c r="J30" i="10"/>
  <c r="G26" i="11"/>
  <c r="M30" i="10"/>
  <c r="BX30" i="10"/>
  <c r="BY30" i="10" s="1"/>
  <c r="BI30" i="10"/>
  <c r="AT30" i="10"/>
  <c r="I26" i="11"/>
  <c r="L30" i="10"/>
  <c r="BN30" i="10"/>
  <c r="K30" i="10"/>
  <c r="BD18" i="10"/>
  <c r="J18" i="5" s="1"/>
  <c r="O30" i="4"/>
  <c r="V25" i="4"/>
  <c r="F273" i="7"/>
  <c r="G273" i="7"/>
  <c r="I273" i="7"/>
  <c r="C273" i="7"/>
  <c r="J273" i="7"/>
  <c r="H273" i="7"/>
  <c r="D34" i="7"/>
  <c r="C34" i="7"/>
  <c r="E285" i="7"/>
  <c r="I285" i="7"/>
  <c r="D285" i="7"/>
  <c r="H285" i="7"/>
  <c r="F81" i="7"/>
  <c r="D189" i="7"/>
  <c r="M18" i="4"/>
  <c r="AB29" i="4"/>
  <c r="G357" i="7"/>
  <c r="D357" i="7"/>
  <c r="C357" i="7"/>
  <c r="I357" i="7"/>
  <c r="J357" i="7"/>
  <c r="F9" i="9"/>
  <c r="H9" i="9" s="1"/>
  <c r="W9" i="3" s="1"/>
  <c r="D81" i="7"/>
  <c r="E34" i="7"/>
  <c r="P18" i="4"/>
  <c r="C29" i="4"/>
  <c r="D26" i="7"/>
  <c r="AD18" i="5"/>
  <c r="N30" i="10"/>
  <c r="G356" i="7"/>
  <c r="M25" i="4"/>
  <c r="F50" i="6"/>
  <c r="H50" i="6"/>
  <c r="C11" i="7"/>
  <c r="F11" i="7"/>
  <c r="D11" i="7"/>
  <c r="E251" i="7"/>
  <c r="D251" i="7"/>
  <c r="C251" i="7"/>
  <c r="C115" i="7"/>
  <c r="E115" i="7"/>
  <c r="E20" i="7"/>
  <c r="F20" i="7"/>
  <c r="D20" i="7"/>
  <c r="F21" i="7"/>
  <c r="E21" i="7"/>
  <c r="C21" i="7"/>
  <c r="F9" i="7"/>
  <c r="F7" i="7"/>
  <c r="G6" i="9"/>
  <c r="F30" i="7"/>
  <c r="F18" i="7"/>
  <c r="F15" i="7"/>
  <c r="F8" i="7"/>
  <c r="F31" i="7"/>
  <c r="J297" i="7"/>
  <c r="G297" i="7"/>
  <c r="D297" i="7"/>
  <c r="C297" i="7"/>
  <c r="E297" i="7"/>
  <c r="F297" i="7"/>
  <c r="C202" i="7"/>
  <c r="D202" i="7"/>
  <c r="BS30" i="10"/>
  <c r="BU30" i="10" s="1"/>
  <c r="C356" i="7"/>
  <c r="U25" i="4"/>
  <c r="AB17" i="4"/>
  <c r="U17" i="4"/>
  <c r="L17" i="4"/>
  <c r="Y17" i="4"/>
  <c r="J17" i="4"/>
  <c r="B17" i="4"/>
  <c r="S17" i="4"/>
  <c r="I17" i="4"/>
  <c r="AE17" i="4"/>
  <c r="N17" i="4"/>
  <c r="AD17" i="4"/>
  <c r="Z17" i="4"/>
  <c r="Q17" i="4"/>
  <c r="C17" i="4"/>
  <c r="X17" i="4"/>
  <c r="K17" i="4"/>
  <c r="D17" i="4"/>
  <c r="AA17" i="4"/>
  <c r="G17" i="4"/>
  <c r="V17" i="4"/>
  <c r="P17" i="4"/>
  <c r="W17" i="4"/>
  <c r="M17" i="4"/>
  <c r="AC17" i="4"/>
  <c r="H17" i="4"/>
  <c r="E6" i="10"/>
  <c r="K6" i="10" s="1"/>
  <c r="D15" i="7"/>
  <c r="AB6" i="10"/>
  <c r="BS6" i="10"/>
  <c r="BW6" i="10" s="1"/>
  <c r="AD6" i="5" s="1"/>
  <c r="D10" i="7"/>
  <c r="D7" i="7"/>
  <c r="K2" i="11"/>
  <c r="D16" i="7"/>
  <c r="D19" i="7"/>
  <c r="L6" i="10"/>
  <c r="D6" i="4"/>
  <c r="G6" i="10"/>
  <c r="D22" i="7"/>
  <c r="D40" i="7"/>
  <c r="T17" i="4"/>
  <c r="C81" i="7"/>
  <c r="C166" i="7"/>
  <c r="D41" i="7"/>
  <c r="V18" i="4"/>
  <c r="T29" i="4"/>
  <c r="K26" i="11"/>
  <c r="H25" i="4"/>
  <c r="H9" i="10"/>
  <c r="H258" i="7"/>
  <c r="F258" i="7"/>
  <c r="E258" i="7"/>
  <c r="I258" i="7"/>
  <c r="C258" i="7"/>
  <c r="I343" i="7"/>
  <c r="H343" i="7"/>
  <c r="F321" i="7"/>
  <c r="H321" i="7"/>
  <c r="I17" i="5"/>
  <c r="AZ17" i="10"/>
  <c r="BB17" i="10"/>
  <c r="BC17" i="10"/>
  <c r="G355" i="7"/>
  <c r="J355" i="7"/>
  <c r="I355" i="7"/>
  <c r="E355" i="7"/>
  <c r="C355" i="7"/>
  <c r="F355" i="7"/>
  <c r="D355" i="7"/>
  <c r="H355" i="7"/>
  <c r="H6" i="9"/>
  <c r="W6" i="3" s="1"/>
  <c r="AT19" i="10"/>
  <c r="K19" i="10"/>
  <c r="BN19" i="10"/>
  <c r="BR19" i="10" s="1"/>
  <c r="BD19" i="10"/>
  <c r="BE19" i="10" s="1"/>
  <c r="BX19" i="10"/>
  <c r="O19" i="10"/>
  <c r="M19" i="10"/>
  <c r="N19" i="10"/>
  <c r="L19" i="10"/>
  <c r="BI19" i="10"/>
  <c r="N19" i="5" s="1"/>
  <c r="G282" i="7"/>
  <c r="C282" i="7"/>
  <c r="H282" i="7"/>
  <c r="D282" i="7"/>
  <c r="E282" i="7"/>
  <c r="J282" i="7"/>
  <c r="F282" i="7"/>
  <c r="C140" i="7"/>
  <c r="D140" i="7"/>
  <c r="D356" i="7"/>
  <c r="J356" i="7"/>
  <c r="BP17" i="10"/>
  <c r="C154" i="7"/>
  <c r="D154" i="7"/>
  <c r="I18" i="4"/>
  <c r="K18" i="4"/>
  <c r="AB18" i="4"/>
  <c r="N18" i="4"/>
  <c r="F18" i="4"/>
  <c r="J18" i="4"/>
  <c r="B18" i="4"/>
  <c r="Q18" i="4"/>
  <c r="C18" i="4"/>
  <c r="W18" i="4"/>
  <c r="L18" i="4"/>
  <c r="G18" i="4"/>
  <c r="AA18" i="4"/>
  <c r="Y18" i="4"/>
  <c r="D18" i="4"/>
  <c r="X18" i="4"/>
  <c r="Z18" i="4"/>
  <c r="U18" i="4"/>
  <c r="R18" i="4"/>
  <c r="O18" i="4"/>
  <c r="AE30" i="5"/>
  <c r="E356" i="7"/>
  <c r="L29" i="4"/>
  <c r="BX18" i="10"/>
  <c r="L18" i="10"/>
  <c r="J14" i="11"/>
  <c r="M18" i="10"/>
  <c r="BS18" i="10"/>
  <c r="G14" i="11"/>
  <c r="J18" i="10"/>
  <c r="BN18" i="10"/>
  <c r="BR18" i="10" s="1"/>
  <c r="BI18" i="10"/>
  <c r="N18" i="5" s="1"/>
  <c r="BO35" i="10"/>
  <c r="BP35" i="10"/>
  <c r="BR35" i="10"/>
  <c r="BQ35" i="10"/>
  <c r="Q35" i="5"/>
  <c r="P35" i="5"/>
  <c r="H18" i="4"/>
  <c r="J10" i="10"/>
  <c r="Q10" i="3" s="1"/>
  <c r="F26" i="11"/>
  <c r="AY19" i="10"/>
  <c r="I19" i="5" s="1"/>
  <c r="K13" i="10"/>
  <c r="BD13" i="10"/>
  <c r="L13" i="5" s="1"/>
  <c r="M13" i="10"/>
  <c r="AT13" i="10"/>
  <c r="N13" i="10"/>
  <c r="G9" i="11"/>
  <c r="BI13" i="10"/>
  <c r="N13" i="5" s="1"/>
  <c r="K9" i="11"/>
  <c r="J30" i="4"/>
  <c r="C30" i="4"/>
  <c r="AC30" i="4"/>
  <c r="P30" i="4"/>
  <c r="B30" i="4"/>
  <c r="T30" i="4"/>
  <c r="K30" i="4"/>
  <c r="G30" i="4"/>
  <c r="N30" i="4"/>
  <c r="F30" i="4"/>
  <c r="Z30" i="4"/>
  <c r="U30" i="4"/>
  <c r="Y30" i="4"/>
  <c r="I30" i="4"/>
  <c r="AA30" i="4"/>
  <c r="H30" i="4"/>
  <c r="M30" i="4"/>
  <c r="L30" i="4"/>
  <c r="V30" i="4"/>
  <c r="W30" i="4"/>
  <c r="Q30" i="4"/>
  <c r="AD30" i="4"/>
  <c r="AE30" i="4"/>
  <c r="S30" i="4"/>
  <c r="D30" i="4"/>
  <c r="AY18" i="10"/>
  <c r="D139" i="7"/>
  <c r="AC18" i="4"/>
  <c r="V29" i="4"/>
  <c r="BD30" i="10"/>
  <c r="J30" i="5" s="1"/>
  <c r="C190" i="7"/>
  <c r="E273" i="7"/>
  <c r="BX6" i="10"/>
  <c r="AD18" i="4"/>
  <c r="I14" i="11"/>
  <c r="N18" i="10"/>
  <c r="M26" i="10"/>
  <c r="AE18" i="5"/>
  <c r="I356" i="7"/>
  <c r="P25" i="4"/>
  <c r="O13" i="10"/>
  <c r="C78" i="7"/>
  <c r="E78" i="7"/>
  <c r="F78" i="7"/>
  <c r="C35" i="7"/>
  <c r="E35" i="7"/>
  <c r="F35" i="7"/>
  <c r="D35" i="7"/>
  <c r="C32" i="7"/>
  <c r="E32" i="7"/>
  <c r="D32" i="7"/>
  <c r="E99" i="7"/>
  <c r="C99" i="7"/>
  <c r="D99" i="7"/>
  <c r="I255" i="7"/>
  <c r="J255" i="7"/>
  <c r="C6" i="5"/>
  <c r="F10" i="7"/>
  <c r="H43" i="6"/>
  <c r="D315" i="7"/>
  <c r="E140" i="7"/>
  <c r="BN14" i="10"/>
  <c r="P14" i="5" s="1"/>
  <c r="M36" i="10"/>
  <c r="O14" i="10"/>
  <c r="K14" i="5"/>
  <c r="E25" i="7"/>
  <c r="C25" i="7"/>
  <c r="F294" i="7"/>
  <c r="J294" i="7"/>
  <c r="C294" i="7"/>
  <c r="G274" i="7"/>
  <c r="F274" i="7"/>
  <c r="I274" i="7"/>
  <c r="F340" i="7"/>
  <c r="J340" i="7"/>
  <c r="E340" i="7"/>
  <c r="I318" i="7"/>
  <c r="J318" i="7"/>
  <c r="E318" i="7"/>
  <c r="E267" i="7"/>
  <c r="C267" i="7"/>
  <c r="J267" i="7"/>
  <c r="C334" i="7"/>
  <c r="E11" i="7"/>
  <c r="E41" i="7"/>
  <c r="G310" i="7"/>
  <c r="F310" i="7"/>
  <c r="E138" i="7"/>
  <c r="C83" i="7"/>
  <c r="F129" i="7"/>
  <c r="F334" i="7"/>
  <c r="AT36" i="10"/>
  <c r="D36" i="5" s="1"/>
  <c r="C333" i="7"/>
  <c r="F105" i="7"/>
  <c r="E130" i="7"/>
  <c r="E30" i="7"/>
  <c r="E31" i="7"/>
  <c r="E174" i="7"/>
  <c r="E172" i="7"/>
  <c r="E221" i="7"/>
  <c r="F83" i="7"/>
  <c r="C129" i="7"/>
  <c r="I334" i="7"/>
  <c r="AY14" i="10"/>
  <c r="H14" i="5" s="1"/>
  <c r="O39" i="10"/>
  <c r="BD15" i="10"/>
  <c r="F10" i="11"/>
  <c r="D330" i="7"/>
  <c r="J330" i="7"/>
  <c r="H330" i="7"/>
  <c r="I330" i="7"/>
  <c r="G330" i="7"/>
  <c r="I283" i="7"/>
  <c r="G283" i="7"/>
  <c r="C283" i="7"/>
  <c r="H283" i="7"/>
  <c r="D283" i="7"/>
  <c r="AA17" i="5"/>
  <c r="AD17" i="5"/>
  <c r="C17" i="5"/>
  <c r="AC17" i="5"/>
  <c r="B17" i="5"/>
  <c r="AB17" i="5"/>
  <c r="Z17" i="5"/>
  <c r="F286" i="7"/>
  <c r="D286" i="7"/>
  <c r="G346" i="7"/>
  <c r="F346" i="7"/>
  <c r="D346" i="7"/>
  <c r="I346" i="7"/>
  <c r="J6" i="4"/>
  <c r="I333" i="7"/>
  <c r="O15" i="10"/>
  <c r="I32" i="11"/>
  <c r="D83" i="7"/>
  <c r="F122" i="7"/>
  <c r="F202" i="7"/>
  <c r="E124" i="7"/>
  <c r="F88" i="7"/>
  <c r="BS14" i="10"/>
  <c r="BW14" i="10" s="1"/>
  <c r="BX14" i="10"/>
  <c r="BY14" i="10" s="1"/>
  <c r="E200" i="7"/>
  <c r="D235" i="7"/>
  <c r="E333" i="7"/>
  <c r="D92" i="7"/>
  <c r="E123" i="7"/>
  <c r="G298" i="7"/>
  <c r="F298" i="7"/>
  <c r="BX36" i="10"/>
  <c r="BZ36" i="10" s="1"/>
  <c r="AT20" i="10"/>
  <c r="I9" i="10"/>
  <c r="T25" i="5"/>
  <c r="E31" i="6"/>
  <c r="H32" i="11"/>
  <c r="H10" i="11"/>
  <c r="D284" i="7"/>
  <c r="C284" i="7"/>
  <c r="D262" i="7"/>
  <c r="F262" i="7"/>
  <c r="E262" i="7"/>
  <c r="C339" i="7"/>
  <c r="G339" i="7"/>
  <c r="F339" i="7"/>
  <c r="D267" i="7"/>
  <c r="C117" i="7"/>
  <c r="I267" i="7"/>
  <c r="F42" i="7"/>
  <c r="E106" i="7"/>
  <c r="F315" i="7"/>
  <c r="D107" i="7"/>
  <c r="D318" i="7"/>
  <c r="BS16" i="10"/>
  <c r="S16" i="5" s="1"/>
  <c r="BX16" i="10"/>
  <c r="X16" i="5" s="1"/>
  <c r="AY40" i="10"/>
  <c r="E334" i="7"/>
  <c r="J358" i="7"/>
  <c r="E67" i="7"/>
  <c r="C22" i="7"/>
  <c r="C310" i="7"/>
  <c r="E131" i="7"/>
  <c r="E199" i="7"/>
  <c r="D340" i="7"/>
  <c r="C340" i="7"/>
  <c r="F101" i="7"/>
  <c r="J315" i="7"/>
  <c r="E107" i="7"/>
  <c r="C318" i="7"/>
  <c r="E274" i="7"/>
  <c r="G334" i="7"/>
  <c r="F82" i="7"/>
  <c r="E122" i="7"/>
  <c r="E30" i="6"/>
  <c r="H10" i="10"/>
  <c r="N10" i="10" s="1"/>
  <c r="BN10" i="10" s="1"/>
  <c r="AT24" i="10"/>
  <c r="D24" i="5" s="1"/>
  <c r="C90" i="7"/>
  <c r="N14" i="10"/>
  <c r="F49" i="7"/>
  <c r="C200" i="7"/>
  <c r="G333" i="7"/>
  <c r="E92" i="7"/>
  <c r="O27" i="10"/>
  <c r="C126" i="7"/>
  <c r="E176" i="7"/>
  <c r="E119" i="7"/>
  <c r="I298" i="7"/>
  <c r="E186" i="7"/>
  <c r="G32" i="11"/>
  <c r="J10" i="11"/>
  <c r="AY36" i="10"/>
  <c r="E33" i="7"/>
  <c r="D33" i="7"/>
  <c r="F33" i="7"/>
  <c r="G267" i="7"/>
  <c r="E10" i="7"/>
  <c r="H267" i="7"/>
  <c r="E149" i="7"/>
  <c r="E315" i="7"/>
  <c r="G12" i="10"/>
  <c r="I8" i="11" s="1"/>
  <c r="E18" i="7"/>
  <c r="E11" i="4"/>
  <c r="C298" i="7"/>
  <c r="H294" i="7"/>
  <c r="H310" i="7"/>
  <c r="E40" i="7"/>
  <c r="E184" i="7"/>
  <c r="H340" i="7"/>
  <c r="F107" i="7"/>
  <c r="H318" i="7"/>
  <c r="D274" i="7"/>
  <c r="E177" i="7"/>
  <c r="N40" i="10"/>
  <c r="BI36" i="10"/>
  <c r="BJ36" i="10" s="1"/>
  <c r="J14" i="10"/>
  <c r="B14" i="6"/>
  <c r="F121" i="7"/>
  <c r="BW25" i="10"/>
  <c r="G10" i="11"/>
  <c r="G369" i="7"/>
  <c r="D369" i="7"/>
  <c r="J369" i="7"/>
  <c r="G13" i="4"/>
  <c r="Y13" i="4"/>
  <c r="F13" i="4"/>
  <c r="O13" i="4"/>
  <c r="C13" i="4"/>
  <c r="AX16" i="10"/>
  <c r="F16" i="5"/>
  <c r="D16" i="5"/>
  <c r="AU16" i="10"/>
  <c r="E16" i="5"/>
  <c r="AV16" i="10"/>
  <c r="AW16" i="10"/>
  <c r="F239" i="7"/>
  <c r="D239" i="7"/>
  <c r="E239" i="7"/>
  <c r="C239" i="7"/>
  <c r="Z35" i="4"/>
  <c r="W35" i="4"/>
  <c r="T35" i="4"/>
  <c r="Q35" i="4"/>
  <c r="K35" i="4"/>
  <c r="L35" i="4"/>
  <c r="D35" i="4"/>
  <c r="Y35" i="4"/>
  <c r="P35" i="4"/>
  <c r="M35" i="4"/>
  <c r="S35" i="4"/>
  <c r="AA35" i="4"/>
  <c r="H35" i="4"/>
  <c r="AE35" i="4"/>
  <c r="E35" i="4"/>
  <c r="AB35" i="4"/>
  <c r="B35" i="4"/>
  <c r="O35" i="4"/>
  <c r="AC35" i="4"/>
  <c r="N35" i="4"/>
  <c r="X35" i="4"/>
  <c r="J35" i="4"/>
  <c r="G35" i="4"/>
  <c r="F35" i="4"/>
  <c r="C35" i="4"/>
  <c r="V35" i="4"/>
  <c r="U35" i="4"/>
  <c r="I35" i="4"/>
  <c r="AD35" i="4"/>
  <c r="R35" i="4"/>
  <c r="H11" i="10"/>
  <c r="E49" i="6"/>
  <c r="G49" i="6"/>
  <c r="H49" i="6"/>
  <c r="F49" i="6"/>
  <c r="I49" i="6"/>
  <c r="D89" i="7"/>
  <c r="E89" i="7"/>
  <c r="C89" i="7"/>
  <c r="F89" i="7"/>
  <c r="P40" i="5"/>
  <c r="R40" i="5"/>
  <c r="BP40" i="10"/>
  <c r="BO40" i="10"/>
  <c r="BR40" i="10"/>
  <c r="BQ40" i="10"/>
  <c r="Q40" i="5"/>
  <c r="J336" i="7"/>
  <c r="I336" i="7"/>
  <c r="F336" i="7"/>
  <c r="E336" i="7"/>
  <c r="H336" i="7"/>
  <c r="D336" i="7"/>
  <c r="G336" i="7"/>
  <c r="C336" i="7"/>
  <c r="D133" i="7"/>
  <c r="D124" i="7"/>
  <c r="D65" i="7"/>
  <c r="E296" i="7"/>
  <c r="I296" i="7"/>
  <c r="G296" i="7"/>
  <c r="D296" i="7"/>
  <c r="C296" i="7"/>
  <c r="H296" i="7"/>
  <c r="J296" i="7"/>
  <c r="F296" i="7"/>
  <c r="Y28" i="5"/>
  <c r="Z28" i="5"/>
  <c r="AB28" i="5"/>
  <c r="B28" i="5"/>
  <c r="C28" i="5"/>
  <c r="AE28" i="5"/>
  <c r="AC28" i="5"/>
  <c r="AA28" i="5"/>
  <c r="AD28" i="5"/>
  <c r="F206" i="7"/>
  <c r="E206" i="7"/>
  <c r="C206" i="7"/>
  <c r="D206" i="7"/>
  <c r="AA22" i="4"/>
  <c r="O22" i="4"/>
  <c r="Z22" i="4"/>
  <c r="W22" i="4"/>
  <c r="T22" i="4"/>
  <c r="Q22" i="4"/>
  <c r="L22" i="4"/>
  <c r="M22" i="4"/>
  <c r="AD22" i="4"/>
  <c r="I22" i="4"/>
  <c r="U22" i="4"/>
  <c r="D22" i="4"/>
  <c r="AE22" i="4"/>
  <c r="X22" i="4"/>
  <c r="G22" i="4"/>
  <c r="E22" i="4"/>
  <c r="C22" i="4"/>
  <c r="Y22" i="4"/>
  <c r="R22" i="4"/>
  <c r="J22" i="4"/>
  <c r="F22" i="4"/>
  <c r="V22" i="4"/>
  <c r="B22" i="4"/>
  <c r="H22" i="4"/>
  <c r="S22" i="4"/>
  <c r="AC22" i="4"/>
  <c r="AB22" i="4"/>
  <c r="P22" i="4"/>
  <c r="K22" i="4"/>
  <c r="N22" i="4"/>
  <c r="D11" i="10"/>
  <c r="F7" i="11" s="1"/>
  <c r="F24" i="5"/>
  <c r="E24" i="5"/>
  <c r="AU24" i="10"/>
  <c r="L36" i="5"/>
  <c r="BH36" i="10"/>
  <c r="J36" i="5"/>
  <c r="K36" i="5"/>
  <c r="BF36" i="10"/>
  <c r="BE36" i="10"/>
  <c r="BG36" i="10"/>
  <c r="U13" i="5"/>
  <c r="T13" i="5"/>
  <c r="BV13" i="10"/>
  <c r="BT13" i="10"/>
  <c r="BW13" i="10"/>
  <c r="S13" i="5"/>
  <c r="BU13" i="10"/>
  <c r="O14" i="5"/>
  <c r="BL14" i="10"/>
  <c r="BM14" i="10"/>
  <c r="BJ14" i="10"/>
  <c r="M14" i="5"/>
  <c r="BK14" i="10"/>
  <c r="N14" i="5"/>
  <c r="G35" i="5"/>
  <c r="I35" i="5"/>
  <c r="BC35" i="10"/>
  <c r="H35" i="5"/>
  <c r="BA35" i="10"/>
  <c r="AZ35" i="10"/>
  <c r="BB35" i="10"/>
  <c r="O12" i="10"/>
  <c r="V12" i="3" s="1"/>
  <c r="D76" i="7"/>
  <c r="F76" i="7"/>
  <c r="E76" i="7"/>
  <c r="C76" i="7"/>
  <c r="K24" i="11"/>
  <c r="I24" i="11"/>
  <c r="G24" i="11"/>
  <c r="J24" i="11"/>
  <c r="H24" i="11"/>
  <c r="F24" i="11"/>
  <c r="BD28" i="10"/>
  <c r="BX28" i="10"/>
  <c r="K28" i="10"/>
  <c r="M28" i="10"/>
  <c r="BI28" i="10"/>
  <c r="BN28" i="10"/>
  <c r="J28" i="10"/>
  <c r="BS28" i="10"/>
  <c r="L28" i="10"/>
  <c r="O28" i="10"/>
  <c r="N28" i="10"/>
  <c r="AY28" i="10"/>
  <c r="M29" i="5"/>
  <c r="BJ29" i="10"/>
  <c r="N29" i="5"/>
  <c r="BL29" i="10"/>
  <c r="BK29" i="10"/>
  <c r="O29" i="5"/>
  <c r="BM29" i="10"/>
  <c r="I327" i="7"/>
  <c r="J327" i="7"/>
  <c r="D327" i="7"/>
  <c r="F327" i="7"/>
  <c r="E327" i="7"/>
  <c r="H327" i="7"/>
  <c r="G327" i="7"/>
  <c r="C327" i="7"/>
  <c r="L35" i="5"/>
  <c r="BE35" i="10"/>
  <c r="J35" i="5"/>
  <c r="K35" i="5"/>
  <c r="BH35" i="10"/>
  <c r="BG35" i="10"/>
  <c r="BF35" i="10"/>
  <c r="F153" i="7"/>
  <c r="F211" i="7"/>
  <c r="F174" i="7"/>
  <c r="F190" i="7"/>
  <c r="F210" i="7"/>
  <c r="F166" i="7"/>
  <c r="F221" i="7"/>
  <c r="F169" i="7"/>
  <c r="F172" i="7"/>
  <c r="F173" i="7"/>
  <c r="F208" i="7"/>
  <c r="F209" i="7"/>
  <c r="F12" i="4"/>
  <c r="F237" i="7"/>
  <c r="F238" i="7"/>
  <c r="F139" i="7"/>
  <c r="F158" i="7"/>
  <c r="F159" i="7"/>
  <c r="F205" i="7"/>
  <c r="F216" i="7"/>
  <c r="F235" i="7"/>
  <c r="F203" i="7"/>
  <c r="F249" i="7"/>
  <c r="F226" i="7"/>
  <c r="F199" i="7"/>
  <c r="F236" i="7"/>
  <c r="F171" i="7"/>
  <c r="F165" i="7"/>
  <c r="F214" i="7"/>
  <c r="F187" i="7"/>
  <c r="F162" i="7"/>
  <c r="F225" i="7"/>
  <c r="F200" i="7"/>
  <c r="F141" i="7"/>
  <c r="F201" i="7"/>
  <c r="F185" i="7"/>
  <c r="F149" i="7"/>
  <c r="F179" i="7"/>
  <c r="F240" i="7"/>
  <c r="F142" i="7"/>
  <c r="F164" i="7"/>
  <c r="F204" i="7"/>
  <c r="F157" i="7"/>
  <c r="F177" i="7"/>
  <c r="F186" i="7"/>
  <c r="F217" i="7"/>
  <c r="F232" i="7"/>
  <c r="F191" i="7"/>
  <c r="F223" i="7"/>
  <c r="F224" i="7"/>
  <c r="F219" i="7"/>
  <c r="F184" i="7"/>
  <c r="F154" i="7"/>
  <c r="F215" i="7"/>
  <c r="F222" i="7"/>
  <c r="F250" i="7"/>
  <c r="F213" i="7"/>
  <c r="F246" i="7"/>
  <c r="F151" i="7"/>
  <c r="F231" i="7"/>
  <c r="F143" i="7"/>
  <c r="F176" i="7"/>
  <c r="F207" i="7"/>
  <c r="F181" i="7"/>
  <c r="F150" i="7"/>
  <c r="F152" i="7"/>
  <c r="F247" i="7"/>
  <c r="BK13" i="10"/>
  <c r="D121" i="7"/>
  <c r="F4" i="11"/>
  <c r="H8" i="10"/>
  <c r="J4" i="11" s="1"/>
  <c r="I8" i="10"/>
  <c r="K4" i="11" s="1"/>
  <c r="F8" i="10"/>
  <c r="AB8" i="10"/>
  <c r="AT8" i="10"/>
  <c r="D8" i="10"/>
  <c r="D68" i="7"/>
  <c r="E8" i="10"/>
  <c r="K8" i="10" s="1"/>
  <c r="J8" i="10"/>
  <c r="Q8" i="3" s="1"/>
  <c r="F8" i="9"/>
  <c r="G8" i="10"/>
  <c r="I4" i="11" s="1"/>
  <c r="AU9" i="10"/>
  <c r="E9" i="5"/>
  <c r="AX9" i="10"/>
  <c r="Y9" i="5" s="1"/>
  <c r="AW9" i="10"/>
  <c r="D9" i="5"/>
  <c r="F9" i="5"/>
  <c r="AV9" i="10"/>
  <c r="D244" i="7"/>
  <c r="C244" i="7"/>
  <c r="F244" i="7"/>
  <c r="E244" i="7"/>
  <c r="F189" i="7"/>
  <c r="I6" i="11"/>
  <c r="M10" i="10"/>
  <c r="T10" i="3" s="1"/>
  <c r="F243" i="7"/>
  <c r="C243" i="7"/>
  <c r="E243" i="7"/>
  <c r="D243" i="7"/>
  <c r="G16" i="5"/>
  <c r="I16" i="5"/>
  <c r="BA16" i="10"/>
  <c r="BB16" i="10"/>
  <c r="BC16" i="10"/>
  <c r="H16" i="5"/>
  <c r="AZ16" i="10"/>
  <c r="U10" i="3"/>
  <c r="X15" i="5"/>
  <c r="V15" i="5"/>
  <c r="BZ15" i="10"/>
  <c r="CB15" i="10"/>
  <c r="CA15" i="10"/>
  <c r="W15" i="5"/>
  <c r="BY15" i="10"/>
  <c r="V33" i="5"/>
  <c r="CA33" i="10"/>
  <c r="CB33" i="10"/>
  <c r="BZ33" i="10"/>
  <c r="W33" i="5"/>
  <c r="BY33" i="10"/>
  <c r="X33" i="5"/>
  <c r="J292" i="7"/>
  <c r="G292" i="7"/>
  <c r="I292" i="7"/>
  <c r="H292" i="7"/>
  <c r="D292" i="7"/>
  <c r="C292" i="7"/>
  <c r="E292" i="7"/>
  <c r="F292" i="7"/>
  <c r="E44" i="7"/>
  <c r="C44" i="7"/>
  <c r="F44" i="7"/>
  <c r="D44" i="7"/>
  <c r="F212" i="7"/>
  <c r="D212" i="7"/>
  <c r="E212" i="7"/>
  <c r="C212" i="7"/>
  <c r="F242" i="7"/>
  <c r="E242" i="7"/>
  <c r="D242" i="7"/>
  <c r="C242" i="7"/>
  <c r="BU17" i="10"/>
  <c r="U17" i="5"/>
  <c r="S17" i="5"/>
  <c r="BV17" i="10"/>
  <c r="T17" i="5"/>
  <c r="BT17" i="10"/>
  <c r="BW17" i="10"/>
  <c r="W38" i="5"/>
  <c r="BY38" i="10"/>
  <c r="X38" i="5"/>
  <c r="V38" i="5"/>
  <c r="CA38" i="10"/>
  <c r="BZ38" i="10"/>
  <c r="CB38" i="10"/>
  <c r="H35" i="6"/>
  <c r="E35" i="6"/>
  <c r="I35" i="6"/>
  <c r="G35" i="6"/>
  <c r="F35" i="6"/>
  <c r="I20" i="5"/>
  <c r="H20" i="5"/>
  <c r="BA20" i="10"/>
  <c r="AZ20" i="10"/>
  <c r="G20" i="5"/>
  <c r="BC20" i="10"/>
  <c r="BB20" i="10"/>
  <c r="U32" i="5"/>
  <c r="S32" i="5"/>
  <c r="T32" i="5"/>
  <c r="BV32" i="10"/>
  <c r="BW32" i="10"/>
  <c r="BU32" i="10"/>
  <c r="BT32" i="10"/>
  <c r="C9" i="5"/>
  <c r="B9" i="5"/>
  <c r="H29" i="11"/>
  <c r="I29" i="11"/>
  <c r="F29" i="11"/>
  <c r="G29" i="11"/>
  <c r="K29" i="11"/>
  <c r="J29" i="11"/>
  <c r="BN33" i="10"/>
  <c r="BI33" i="10"/>
  <c r="AT33" i="10"/>
  <c r="BS33" i="10"/>
  <c r="BD33" i="10"/>
  <c r="J33" i="10"/>
  <c r="O33" i="10"/>
  <c r="N33" i="10"/>
  <c r="AY33" i="10"/>
  <c r="L33" i="10"/>
  <c r="AB33" i="4"/>
  <c r="P33" i="4"/>
  <c r="M33" i="4"/>
  <c r="AD33" i="4"/>
  <c r="N33" i="4"/>
  <c r="B33" i="4"/>
  <c r="AC33" i="4"/>
  <c r="F33" i="4"/>
  <c r="X33" i="4"/>
  <c r="T33" i="4"/>
  <c r="AA33" i="4"/>
  <c r="Z33" i="4"/>
  <c r="U33" i="4"/>
  <c r="S33" i="4"/>
  <c r="I33" i="4"/>
  <c r="Q33" i="4"/>
  <c r="W33" i="4"/>
  <c r="Y33" i="4"/>
  <c r="C33" i="4"/>
  <c r="K33" i="4"/>
  <c r="J33" i="4"/>
  <c r="G33" i="4"/>
  <c r="D33" i="4"/>
  <c r="V33" i="4"/>
  <c r="R33" i="4"/>
  <c r="L33" i="4"/>
  <c r="O33" i="4"/>
  <c r="H33" i="4"/>
  <c r="E33" i="4"/>
  <c r="AE33" i="4"/>
  <c r="J31" i="5"/>
  <c r="K31" i="5"/>
  <c r="L31" i="5"/>
  <c r="BG31" i="10"/>
  <c r="BH31" i="10"/>
  <c r="BE31" i="10"/>
  <c r="BF31" i="10"/>
  <c r="F198" i="7"/>
  <c r="F75" i="7"/>
  <c r="E75" i="7"/>
  <c r="D75" i="7"/>
  <c r="C75" i="7"/>
  <c r="D127" i="7"/>
  <c r="F182" i="7"/>
  <c r="D182" i="7"/>
  <c r="C182" i="7"/>
  <c r="E182" i="7"/>
  <c r="C86" i="7"/>
  <c r="E86" i="7"/>
  <c r="F86" i="7"/>
  <c r="D86" i="7"/>
  <c r="F22" i="5"/>
  <c r="AV22" i="10"/>
  <c r="E22" i="5"/>
  <c r="AU22" i="10"/>
  <c r="AX22" i="10"/>
  <c r="E37" i="5"/>
  <c r="D37" i="5"/>
  <c r="AU37" i="10"/>
  <c r="AW37" i="10"/>
  <c r="AX37" i="10"/>
  <c r="F37" i="5"/>
  <c r="AV37" i="10"/>
  <c r="BT30" i="10"/>
  <c r="S30" i="5"/>
  <c r="BV30" i="10"/>
  <c r="BW30" i="10"/>
  <c r="AW29" i="10"/>
  <c r="F29" i="5"/>
  <c r="AX29" i="10"/>
  <c r="E29" i="5"/>
  <c r="AU29" i="10"/>
  <c r="D29" i="5"/>
  <c r="AV29" i="10"/>
  <c r="U20" i="5"/>
  <c r="T20" i="5"/>
  <c r="BT20" i="10"/>
  <c r="S20" i="5"/>
  <c r="BV20" i="10"/>
  <c r="BU20" i="10"/>
  <c r="BW20" i="10"/>
  <c r="M32" i="5"/>
  <c r="O32" i="5"/>
  <c r="BJ32" i="10"/>
  <c r="N32" i="5"/>
  <c r="BM32" i="10"/>
  <c r="BL32" i="10"/>
  <c r="BK32" i="10"/>
  <c r="Q14" i="5"/>
  <c r="BQ14" i="10"/>
  <c r="R14" i="5"/>
  <c r="BP14" i="10"/>
  <c r="D46" i="7"/>
  <c r="D42" i="7"/>
  <c r="D58" i="7"/>
  <c r="D59" i="7"/>
  <c r="L7" i="10"/>
  <c r="S7" i="3" s="1"/>
  <c r="BX7" i="10"/>
  <c r="D48" i="7"/>
  <c r="D53" i="7"/>
  <c r="D52" i="7"/>
  <c r="D55" i="7"/>
  <c r="D54" i="7"/>
  <c r="F7" i="10"/>
  <c r="H3" i="11" s="1"/>
  <c r="D56" i="7"/>
  <c r="D51" i="7"/>
  <c r="D47" i="7"/>
  <c r="H7" i="10"/>
  <c r="N7" i="10" s="1"/>
  <c r="G7" i="10"/>
  <c r="I3" i="11" s="1"/>
  <c r="AB7" i="10"/>
  <c r="E7" i="10"/>
  <c r="G3" i="11" s="1"/>
  <c r="I7" i="10"/>
  <c r="K3" i="11" s="1"/>
  <c r="D49" i="7"/>
  <c r="M31" i="5"/>
  <c r="BM31" i="10"/>
  <c r="O31" i="5"/>
  <c r="BL31" i="10"/>
  <c r="BJ31" i="10"/>
  <c r="N31" i="5"/>
  <c r="BK31" i="10"/>
  <c r="V31" i="5"/>
  <c r="W31" i="5"/>
  <c r="X31" i="5"/>
  <c r="BY31" i="10"/>
  <c r="BZ31" i="10"/>
  <c r="CB31" i="10"/>
  <c r="CA31" i="10"/>
  <c r="D160" i="7"/>
  <c r="E160" i="7"/>
  <c r="C160" i="7"/>
  <c r="F160" i="7"/>
  <c r="F251" i="7"/>
  <c r="J361" i="7"/>
  <c r="G361" i="7"/>
  <c r="H361" i="7"/>
  <c r="C361" i="7"/>
  <c r="D361" i="7"/>
  <c r="E361" i="7"/>
  <c r="F361" i="7"/>
  <c r="I361" i="7"/>
  <c r="X17" i="5"/>
  <c r="V17" i="5"/>
  <c r="W17" i="5"/>
  <c r="CB17" i="10"/>
  <c r="BZ17" i="10"/>
  <c r="CA17" i="10"/>
  <c r="BY17" i="10"/>
  <c r="BW39" i="10"/>
  <c r="T39" i="5"/>
  <c r="BU39" i="10"/>
  <c r="BV39" i="10"/>
  <c r="U39" i="5"/>
  <c r="S39" i="5"/>
  <c r="BT39" i="10"/>
  <c r="BZ27" i="10"/>
  <c r="W27" i="5"/>
  <c r="CA27" i="10"/>
  <c r="V27" i="5"/>
  <c r="BY27" i="10"/>
  <c r="CB27" i="10"/>
  <c r="X27" i="5"/>
  <c r="T21" i="5"/>
  <c r="U21" i="5"/>
  <c r="S21" i="5"/>
  <c r="BV21" i="10"/>
  <c r="BT21" i="10"/>
  <c r="BU21" i="10"/>
  <c r="BW21" i="10"/>
  <c r="D7" i="10"/>
  <c r="J7" i="10" s="1"/>
  <c r="BA19" i="10"/>
  <c r="BC19" i="10"/>
  <c r="BB19" i="10"/>
  <c r="F175" i="7"/>
  <c r="F60" i="7"/>
  <c r="E60" i="7"/>
  <c r="C60" i="7"/>
  <c r="D60" i="7"/>
  <c r="F180" i="7"/>
  <c r="E180" i="7"/>
  <c r="D180" i="7"/>
  <c r="C180" i="7"/>
  <c r="I324" i="7"/>
  <c r="F324" i="7"/>
  <c r="H324" i="7"/>
  <c r="G324" i="7"/>
  <c r="C324" i="7"/>
  <c r="J324" i="7"/>
  <c r="E324" i="7"/>
  <c r="D324" i="7"/>
  <c r="C14" i="7"/>
  <c r="E14" i="7"/>
  <c r="F14" i="7"/>
  <c r="D14" i="7"/>
  <c r="J313" i="7"/>
  <c r="I313" i="7"/>
  <c r="H313" i="7"/>
  <c r="F313" i="7"/>
  <c r="G313" i="7"/>
  <c r="E313" i="7"/>
  <c r="C313" i="7"/>
  <c r="D313" i="7"/>
  <c r="F170" i="7"/>
  <c r="C170" i="7"/>
  <c r="D170" i="7"/>
  <c r="E170" i="7"/>
  <c r="J290" i="7"/>
  <c r="G290" i="7"/>
  <c r="D290" i="7"/>
  <c r="I290" i="7"/>
  <c r="F290" i="7"/>
  <c r="C290" i="7"/>
  <c r="H290" i="7"/>
  <c r="E290" i="7"/>
  <c r="N12" i="10"/>
  <c r="U12" i="3" s="1"/>
  <c r="J8" i="11"/>
  <c r="F234" i="7"/>
  <c r="V39" i="4"/>
  <c r="S39" i="4"/>
  <c r="P39" i="4"/>
  <c r="G39" i="4"/>
  <c r="H39" i="4"/>
  <c r="AE39" i="4"/>
  <c r="Z39" i="4"/>
  <c r="N39" i="4"/>
  <c r="Q39" i="4"/>
  <c r="I39" i="4"/>
  <c r="F39" i="4"/>
  <c r="D39" i="4"/>
  <c r="B39" i="4"/>
  <c r="Y39" i="4"/>
  <c r="R39" i="4"/>
  <c r="AC39" i="4"/>
  <c r="M39" i="4"/>
  <c r="K39" i="4"/>
  <c r="X39" i="4"/>
  <c r="AD39" i="4"/>
  <c r="E39" i="4"/>
  <c r="L39" i="4"/>
  <c r="AB39" i="4"/>
  <c r="O39" i="4"/>
  <c r="AA39" i="4"/>
  <c r="W39" i="4"/>
  <c r="J39" i="4"/>
  <c r="U39" i="4"/>
  <c r="T39" i="4"/>
  <c r="C39" i="4"/>
  <c r="AV30" i="10"/>
  <c r="AW30" i="10"/>
  <c r="D30" i="5"/>
  <c r="AX30" i="10"/>
  <c r="AU30" i="10"/>
  <c r="E30" i="5"/>
  <c r="F30" i="5"/>
  <c r="BD9" i="10"/>
  <c r="K33" i="10"/>
  <c r="J6" i="10"/>
  <c r="F2" i="11"/>
  <c r="AE22" i="5"/>
  <c r="Y22" i="5"/>
  <c r="AC22" i="5"/>
  <c r="AA22" i="5"/>
  <c r="B22" i="5"/>
  <c r="C22" i="5"/>
  <c r="Z22" i="5"/>
  <c r="AD22" i="5"/>
  <c r="AB22" i="5"/>
  <c r="E195" i="7"/>
  <c r="D195" i="7"/>
  <c r="F195" i="7"/>
  <c r="C195" i="7"/>
  <c r="AT28" i="10"/>
  <c r="J314" i="7"/>
  <c r="F314" i="7"/>
  <c r="E314" i="7"/>
  <c r="D314" i="7"/>
  <c r="I314" i="7"/>
  <c r="H314" i="7"/>
  <c r="G314" i="7"/>
  <c r="C314" i="7"/>
  <c r="D37" i="7"/>
  <c r="E37" i="7"/>
  <c r="F37" i="7"/>
  <c r="C37" i="7"/>
  <c r="AB13" i="5"/>
  <c r="AC13" i="5"/>
  <c r="Z13" i="5"/>
  <c r="AE13" i="5"/>
  <c r="AD13" i="5"/>
  <c r="AA13" i="5"/>
  <c r="Y13" i="5"/>
  <c r="B13" i="5"/>
  <c r="C13" i="5"/>
  <c r="N6" i="10"/>
  <c r="J2" i="11"/>
  <c r="F61" i="7"/>
  <c r="E61" i="7"/>
  <c r="C61" i="7"/>
  <c r="D61" i="7"/>
  <c r="AA10" i="4"/>
  <c r="Z10" i="4"/>
  <c r="AE10" i="4"/>
  <c r="B10" i="4"/>
  <c r="J10" i="4"/>
  <c r="F10" i="4"/>
  <c r="C10" i="4"/>
  <c r="E10" i="4"/>
  <c r="D10" i="4"/>
  <c r="Y10" i="4"/>
  <c r="T38" i="5"/>
  <c r="BU38" i="10"/>
  <c r="BV38" i="10"/>
  <c r="U38" i="5"/>
  <c r="BW38" i="10"/>
  <c r="S38" i="5"/>
  <c r="BT38" i="10"/>
  <c r="F23" i="7"/>
  <c r="E23" i="7"/>
  <c r="D23" i="7"/>
  <c r="C23" i="7"/>
  <c r="F227" i="7"/>
  <c r="D28" i="7"/>
  <c r="E28" i="7"/>
  <c r="C28" i="7"/>
  <c r="F28" i="7"/>
  <c r="BN12" i="10"/>
  <c r="T31" i="5"/>
  <c r="BT31" i="10"/>
  <c r="BV31" i="10"/>
  <c r="U31" i="5"/>
  <c r="BW31" i="10"/>
  <c r="BU31" i="10"/>
  <c r="S31" i="5"/>
  <c r="D67" i="7"/>
  <c r="D196" i="7"/>
  <c r="F196" i="7"/>
  <c r="E196" i="7"/>
  <c r="C196" i="7"/>
  <c r="D66" i="7"/>
  <c r="F111" i="7"/>
  <c r="E111" i="7"/>
  <c r="D111" i="7"/>
  <c r="C111" i="7"/>
  <c r="F155" i="7"/>
  <c r="E193" i="7"/>
  <c r="D193" i="7"/>
  <c r="C193" i="7"/>
  <c r="F193" i="7"/>
  <c r="P25" i="5"/>
  <c r="Q25" i="5"/>
  <c r="R25" i="5"/>
  <c r="BR25" i="10"/>
  <c r="BQ25" i="10"/>
  <c r="BP25" i="10"/>
  <c r="BO25" i="10"/>
  <c r="I35" i="11"/>
  <c r="G35" i="11"/>
  <c r="H35" i="11"/>
  <c r="F35" i="11"/>
  <c r="J35" i="11"/>
  <c r="K35" i="11"/>
  <c r="M39" i="10"/>
  <c r="BD39" i="10"/>
  <c r="BI39" i="10"/>
  <c r="AT39" i="10"/>
  <c r="BX39" i="10"/>
  <c r="J39" i="10"/>
  <c r="BN39" i="10"/>
  <c r="K39" i="10"/>
  <c r="AY39" i="10"/>
  <c r="D50" i="7"/>
  <c r="BZ30" i="10"/>
  <c r="L29" i="5"/>
  <c r="J29" i="5"/>
  <c r="K29" i="5"/>
  <c r="BH29" i="10"/>
  <c r="BE29" i="10"/>
  <c r="BG29" i="10"/>
  <c r="BF29" i="10"/>
  <c r="I58" i="6"/>
  <c r="H58" i="6"/>
  <c r="G58" i="6"/>
  <c r="E58" i="6"/>
  <c r="F58" i="6"/>
  <c r="M33" i="10"/>
  <c r="M17" i="5"/>
  <c r="BJ17" i="10"/>
  <c r="O17" i="5"/>
  <c r="BK17" i="10"/>
  <c r="BM17" i="10"/>
  <c r="N17" i="5"/>
  <c r="BL17" i="10"/>
  <c r="F11" i="9"/>
  <c r="H11" i="9" s="1"/>
  <c r="W11" i="3" s="1"/>
  <c r="J7" i="11"/>
  <c r="D130" i="7"/>
  <c r="D118" i="7"/>
  <c r="D129" i="7"/>
  <c r="D119" i="7"/>
  <c r="E11" i="10"/>
  <c r="K11" i="10" s="1"/>
  <c r="R11" i="3" s="1"/>
  <c r="D120" i="7"/>
  <c r="I11" i="10"/>
  <c r="O11" i="10" s="1"/>
  <c r="V11" i="3" s="1"/>
  <c r="G11" i="10"/>
  <c r="I7" i="11" s="1"/>
  <c r="J11" i="10"/>
  <c r="Q11" i="3" s="1"/>
  <c r="N11" i="10"/>
  <c r="U11" i="3" s="1"/>
  <c r="D136" i="7"/>
  <c r="D125" i="7"/>
  <c r="D11" i="4"/>
  <c r="D132" i="7"/>
  <c r="AB11" i="10"/>
  <c r="D131" i="7"/>
  <c r="D137" i="7"/>
  <c r="F11" i="10"/>
  <c r="H7" i="11" s="1"/>
  <c r="D123" i="7"/>
  <c r="D138" i="7"/>
  <c r="BY13" i="10"/>
  <c r="BZ13" i="10"/>
  <c r="X13" i="5"/>
  <c r="V13" i="5"/>
  <c r="W13" i="5"/>
  <c r="CA13" i="10"/>
  <c r="CB13" i="10"/>
  <c r="G34" i="5"/>
  <c r="I34" i="5"/>
  <c r="AZ34" i="10"/>
  <c r="BA34" i="10"/>
  <c r="H34" i="5"/>
  <c r="BB34" i="10"/>
  <c r="BC34" i="10"/>
  <c r="G280" i="7"/>
  <c r="H280" i="7"/>
  <c r="D280" i="7"/>
  <c r="I280" i="7"/>
  <c r="E280" i="7"/>
  <c r="J280" i="7"/>
  <c r="F280" i="7"/>
  <c r="C280" i="7"/>
  <c r="U16" i="4"/>
  <c r="F16" i="4"/>
  <c r="G16" i="4"/>
  <c r="T16" i="4"/>
  <c r="AB16" i="4"/>
  <c r="X16" i="4"/>
  <c r="J16" i="4"/>
  <c r="Z16" i="4"/>
  <c r="AA16" i="4"/>
  <c r="M16" i="4"/>
  <c r="H16" i="4"/>
  <c r="AC16" i="4"/>
  <c r="K16" i="4"/>
  <c r="E16" i="4"/>
  <c r="AE16" i="4"/>
  <c r="L16" i="4"/>
  <c r="B16" i="4"/>
  <c r="Q16" i="4"/>
  <c r="S16" i="4"/>
  <c r="P16" i="4"/>
  <c r="R16" i="4"/>
  <c r="N16" i="4"/>
  <c r="O16" i="4"/>
  <c r="D16" i="4"/>
  <c r="AD16" i="4"/>
  <c r="W16" i="4"/>
  <c r="Y16" i="4"/>
  <c r="I16" i="4"/>
  <c r="C16" i="4"/>
  <c r="V16" i="4"/>
  <c r="F178" i="7"/>
  <c r="G328" i="7"/>
  <c r="F328" i="7"/>
  <c r="E328" i="7"/>
  <c r="I328" i="7"/>
  <c r="D328" i="7"/>
  <c r="J328" i="7"/>
  <c r="H328" i="7"/>
  <c r="C328" i="7"/>
  <c r="I368" i="7"/>
  <c r="F368" i="7"/>
  <c r="E368" i="7"/>
  <c r="G368" i="7"/>
  <c r="J368" i="7"/>
  <c r="D368" i="7"/>
  <c r="H368" i="7"/>
  <c r="C368" i="7"/>
  <c r="AW17" i="10"/>
  <c r="AX17" i="10"/>
  <c r="F17" i="5"/>
  <c r="AV17" i="10"/>
  <c r="D17" i="5"/>
  <c r="AU17" i="10"/>
  <c r="E17" i="5"/>
  <c r="G12" i="9"/>
  <c r="F147" i="7"/>
  <c r="F144" i="7"/>
  <c r="E144" i="7"/>
  <c r="C144" i="7"/>
  <c r="D144" i="7"/>
  <c r="F84" i="7"/>
  <c r="E84" i="7"/>
  <c r="C84" i="7"/>
  <c r="D84" i="7"/>
  <c r="F192" i="7"/>
  <c r="D192" i="7"/>
  <c r="E192" i="7"/>
  <c r="C192" i="7"/>
  <c r="F229" i="7"/>
  <c r="E229" i="7"/>
  <c r="C229" i="7"/>
  <c r="D229" i="7"/>
  <c r="F110" i="7"/>
  <c r="E110" i="7"/>
  <c r="C110" i="7"/>
  <c r="D110" i="7"/>
  <c r="F140" i="7"/>
  <c r="D126" i="7"/>
  <c r="Q9" i="10"/>
  <c r="AB21" i="4"/>
  <c r="P21" i="4"/>
  <c r="M21" i="4"/>
  <c r="N21" i="4"/>
  <c r="B21" i="4"/>
  <c r="Z21" i="4"/>
  <c r="U21" i="4"/>
  <c r="Q21" i="4"/>
  <c r="D21" i="4"/>
  <c r="K21" i="4"/>
  <c r="Y21" i="4"/>
  <c r="R21" i="4"/>
  <c r="AA21" i="4"/>
  <c r="T21" i="4"/>
  <c r="G21" i="4"/>
  <c r="O21" i="4"/>
  <c r="V21" i="4"/>
  <c r="F21" i="4"/>
  <c r="C21" i="4"/>
  <c r="W21" i="4"/>
  <c r="L21" i="4"/>
  <c r="I21" i="4"/>
  <c r="S21" i="4"/>
  <c r="E21" i="4"/>
  <c r="H21" i="4"/>
  <c r="AE21" i="4"/>
  <c r="AD21" i="4"/>
  <c r="AC21" i="4"/>
  <c r="X21" i="4"/>
  <c r="J21" i="4"/>
  <c r="K12" i="10"/>
  <c r="R12" i="3" s="1"/>
  <c r="G8" i="11"/>
  <c r="C7" i="4"/>
  <c r="D7" i="4"/>
  <c r="B7" i="4"/>
  <c r="Z7" i="4"/>
  <c r="F7" i="4"/>
  <c r="AE7" i="4"/>
  <c r="Y7" i="4"/>
  <c r="AA7" i="4"/>
  <c r="J7" i="4"/>
  <c r="E7" i="4"/>
  <c r="F167" i="7"/>
  <c r="D167" i="7"/>
  <c r="E167" i="7"/>
  <c r="C167" i="7"/>
  <c r="E32" i="6"/>
  <c r="D32" i="6"/>
  <c r="F163" i="7"/>
  <c r="J291" i="7"/>
  <c r="I291" i="7"/>
  <c r="D291" i="7"/>
  <c r="F291" i="7"/>
  <c r="C291" i="7"/>
  <c r="E291" i="7"/>
  <c r="G291" i="7"/>
  <c r="H291" i="7"/>
  <c r="D233" i="7"/>
  <c r="F233" i="7"/>
  <c r="E233" i="7"/>
  <c r="C233" i="7"/>
  <c r="J305" i="7"/>
  <c r="G305" i="7"/>
  <c r="H305" i="7"/>
  <c r="F305" i="7"/>
  <c r="E305" i="7"/>
  <c r="I305" i="7"/>
  <c r="C305" i="7"/>
  <c r="D305" i="7"/>
  <c r="U40" i="5"/>
  <c r="BV40" i="10"/>
  <c r="BW40" i="10"/>
  <c r="T40" i="5"/>
  <c r="S40" i="5"/>
  <c r="BT40" i="10"/>
  <c r="BU40" i="10"/>
  <c r="E194" i="7"/>
  <c r="D194" i="7"/>
  <c r="C194" i="7"/>
  <c r="F194" i="7"/>
  <c r="G22" i="5"/>
  <c r="BB22" i="10"/>
  <c r="I22" i="5"/>
  <c r="BA22" i="10"/>
  <c r="AZ22" i="10"/>
  <c r="H22" i="5"/>
  <c r="BC22" i="10"/>
  <c r="M34" i="5"/>
  <c r="BM34" i="10"/>
  <c r="BJ34" i="10"/>
  <c r="N34" i="5"/>
  <c r="BL34" i="10"/>
  <c r="O34" i="5"/>
  <c r="BK34" i="10"/>
  <c r="I25" i="5"/>
  <c r="BA25" i="10"/>
  <c r="BB25" i="10"/>
  <c r="H25" i="5"/>
  <c r="G25" i="5"/>
  <c r="BC25" i="10"/>
  <c r="AZ25" i="10"/>
  <c r="BB24" i="10"/>
  <c r="G24" i="5"/>
  <c r="BC24" i="10"/>
  <c r="AZ24" i="10"/>
  <c r="H24" i="5"/>
  <c r="I24" i="5"/>
  <c r="BA24" i="10"/>
  <c r="AA14" i="5"/>
  <c r="AB14" i="5"/>
  <c r="Z14" i="5"/>
  <c r="C14" i="5"/>
  <c r="AD14" i="5"/>
  <c r="AE14" i="5"/>
  <c r="AC14" i="5"/>
  <c r="Y14" i="5"/>
  <c r="B14" i="5"/>
  <c r="AW35" i="10"/>
  <c r="E35" i="5"/>
  <c r="D35" i="5"/>
  <c r="AU35" i="10"/>
  <c r="AX35" i="10"/>
  <c r="F35" i="5"/>
  <c r="AV35" i="10"/>
  <c r="O7" i="10"/>
  <c r="V7" i="3" s="1"/>
  <c r="M20" i="5"/>
  <c r="O20" i="5"/>
  <c r="N20" i="5"/>
  <c r="BL20" i="10"/>
  <c r="BM20" i="10"/>
  <c r="BK20" i="10"/>
  <c r="BJ20" i="10"/>
  <c r="K13" i="5"/>
  <c r="BE13" i="10"/>
  <c r="BG13" i="10"/>
  <c r="BF13" i="10"/>
  <c r="V34" i="5"/>
  <c r="W34" i="5"/>
  <c r="CB34" i="10"/>
  <c r="BY34" i="10"/>
  <c r="CA34" i="10"/>
  <c r="BZ34" i="10"/>
  <c r="X34" i="5"/>
  <c r="E46" i="7"/>
  <c r="E51" i="7"/>
  <c r="E53" i="7"/>
  <c r="E59" i="7"/>
  <c r="E52" i="7"/>
  <c r="E42" i="7"/>
  <c r="E47" i="7"/>
  <c r="E50" i="7"/>
  <c r="E19" i="5"/>
  <c r="AU19" i="10"/>
  <c r="AV19" i="10"/>
  <c r="F19" i="5"/>
  <c r="D19" i="5"/>
  <c r="AX19" i="10"/>
  <c r="AW19" i="10"/>
  <c r="AD19" i="4"/>
  <c r="R19" i="4"/>
  <c r="C19" i="4"/>
  <c r="AA19" i="4"/>
  <c r="X19" i="4"/>
  <c r="U19" i="4"/>
  <c r="D19" i="4"/>
  <c r="Y19" i="4"/>
  <c r="F19" i="4"/>
  <c r="P19" i="4"/>
  <c r="M19" i="4"/>
  <c r="Q19" i="4"/>
  <c r="B19" i="4"/>
  <c r="S19" i="4"/>
  <c r="O19" i="4"/>
  <c r="V19" i="4"/>
  <c r="H19" i="4"/>
  <c r="I19" i="4"/>
  <c r="T19" i="4"/>
  <c r="L19" i="4"/>
  <c r="E19" i="4"/>
  <c r="AE19" i="4"/>
  <c r="AC19" i="4"/>
  <c r="AB19" i="4"/>
  <c r="Z19" i="4"/>
  <c r="K19" i="4"/>
  <c r="J19" i="4"/>
  <c r="N19" i="4"/>
  <c r="G19" i="4"/>
  <c r="W19" i="4"/>
  <c r="D64" i="7"/>
  <c r="E64" i="7"/>
  <c r="C64" i="7"/>
  <c r="F64" i="7"/>
  <c r="F112" i="7"/>
  <c r="D112" i="7"/>
  <c r="E112" i="7"/>
  <c r="C112" i="7"/>
  <c r="M30" i="5"/>
  <c r="BJ30" i="10"/>
  <c r="O30" i="5"/>
  <c r="N30" i="5"/>
  <c r="BK30" i="10"/>
  <c r="BM30" i="10"/>
  <c r="BL30" i="10"/>
  <c r="BI16" i="10"/>
  <c r="H36" i="6"/>
  <c r="E36" i="6"/>
  <c r="I36" i="6"/>
  <c r="G36" i="6"/>
  <c r="F36" i="6"/>
  <c r="E241" i="7"/>
  <c r="C241" i="7"/>
  <c r="D241" i="7"/>
  <c r="F241" i="7"/>
  <c r="F36" i="7"/>
  <c r="E36" i="7"/>
  <c r="D36" i="7"/>
  <c r="C36" i="7"/>
  <c r="F168" i="7"/>
  <c r="C168" i="7"/>
  <c r="E168" i="7"/>
  <c r="D168" i="7"/>
  <c r="J312" i="7"/>
  <c r="F312" i="7"/>
  <c r="H312" i="7"/>
  <c r="G312" i="7"/>
  <c r="E312" i="7"/>
  <c r="C312" i="7"/>
  <c r="I312" i="7"/>
  <c r="D312" i="7"/>
  <c r="E74" i="7"/>
  <c r="D74" i="7"/>
  <c r="C74" i="7"/>
  <c r="F74" i="7"/>
  <c r="F40" i="6"/>
  <c r="E40" i="6"/>
  <c r="G40" i="6"/>
  <c r="H40" i="6"/>
  <c r="I40" i="6"/>
  <c r="W26" i="4"/>
  <c r="V26" i="4"/>
  <c r="S26" i="4"/>
  <c r="P26" i="4"/>
  <c r="H26" i="4"/>
  <c r="I26" i="4"/>
  <c r="AA26" i="4"/>
  <c r="E26" i="4"/>
  <c r="R26" i="4"/>
  <c r="N26" i="4"/>
  <c r="AD26" i="4"/>
  <c r="O26" i="4"/>
  <c r="L26" i="4"/>
  <c r="J26" i="4"/>
  <c r="AE26" i="4"/>
  <c r="Q26" i="4"/>
  <c r="G26" i="4"/>
  <c r="C26" i="4"/>
  <c r="AB26" i="4"/>
  <c r="Y26" i="4"/>
  <c r="F26" i="4"/>
  <c r="U26" i="4"/>
  <c r="M26" i="4"/>
  <c r="T26" i="4"/>
  <c r="B26" i="4"/>
  <c r="Z26" i="4"/>
  <c r="D26" i="4"/>
  <c r="X26" i="4"/>
  <c r="AC26" i="4"/>
  <c r="K26" i="4"/>
  <c r="BE34" i="10"/>
  <c r="BF34" i="10"/>
  <c r="J34" i="5"/>
  <c r="K34" i="5"/>
  <c r="L34" i="5"/>
  <c r="BH34" i="10"/>
  <c r="BG34" i="10"/>
  <c r="F12" i="10"/>
  <c r="BI37" i="10"/>
  <c r="BP27" i="10"/>
  <c r="BQ27" i="10"/>
  <c r="Q27" i="5"/>
  <c r="BR27" i="10"/>
  <c r="BO27" i="10"/>
  <c r="P27" i="5"/>
  <c r="R27" i="5"/>
  <c r="W38" i="4"/>
  <c r="H38" i="4"/>
  <c r="I38" i="4"/>
  <c r="V38" i="4"/>
  <c r="Q38" i="4"/>
  <c r="G38" i="4"/>
  <c r="AD38" i="4"/>
  <c r="B38" i="4"/>
  <c r="Y38" i="4"/>
  <c r="E38" i="4"/>
  <c r="C38" i="4"/>
  <c r="R38" i="4"/>
  <c r="Z38" i="4"/>
  <c r="K38" i="4"/>
  <c r="X38" i="4"/>
  <c r="AE38" i="4"/>
  <c r="AB38" i="4"/>
  <c r="L38" i="4"/>
  <c r="AA38" i="4"/>
  <c r="O38" i="4"/>
  <c r="AC38" i="4"/>
  <c r="P38" i="4"/>
  <c r="J38" i="4"/>
  <c r="D38" i="4"/>
  <c r="N38" i="4"/>
  <c r="T38" i="4"/>
  <c r="M38" i="4"/>
  <c r="U38" i="4"/>
  <c r="F38" i="4"/>
  <c r="S38" i="4"/>
  <c r="K30" i="5"/>
  <c r="L30" i="5"/>
  <c r="BR20" i="10"/>
  <c r="R20" i="5"/>
  <c r="P20" i="5"/>
  <c r="Q20" i="5"/>
  <c r="BQ20" i="10"/>
  <c r="BP20" i="10"/>
  <c r="BO20" i="10"/>
  <c r="E189" i="7"/>
  <c r="E190" i="7"/>
  <c r="E249" i="7"/>
  <c r="E197" i="7"/>
  <c r="E183" i="7"/>
  <c r="E201" i="7"/>
  <c r="E227" i="7"/>
  <c r="E219" i="7"/>
  <c r="E225" i="7"/>
  <c r="E226" i="7"/>
  <c r="E155" i="7"/>
  <c r="E231" i="7"/>
  <c r="E147" i="7"/>
  <c r="E169" i="7"/>
  <c r="E142" i="7"/>
  <c r="E187" i="7"/>
  <c r="E204" i="7"/>
  <c r="E157" i="7"/>
  <c r="E202" i="7"/>
  <c r="E152" i="7"/>
  <c r="E250" i="7"/>
  <c r="E159" i="7"/>
  <c r="E139" i="7"/>
  <c r="E210" i="7"/>
  <c r="F12" i="9"/>
  <c r="E217" i="7"/>
  <c r="E237" i="7"/>
  <c r="E205" i="7"/>
  <c r="E216" i="7"/>
  <c r="E240" i="7"/>
  <c r="E12" i="4"/>
  <c r="B12" i="5"/>
  <c r="E171" i="7"/>
  <c r="E234" i="7"/>
  <c r="E214" i="7"/>
  <c r="E181" i="7"/>
  <c r="E222" i="7"/>
  <c r="E224" i="7"/>
  <c r="E175" i="7"/>
  <c r="E208" i="7"/>
  <c r="E247" i="7"/>
  <c r="E236" i="7"/>
  <c r="E165" i="7"/>
  <c r="Y36" i="4"/>
  <c r="AC36" i="4"/>
  <c r="Z36" i="4"/>
  <c r="J36" i="4"/>
  <c r="W36" i="4"/>
  <c r="T36" i="4"/>
  <c r="Q36" i="4"/>
  <c r="K36" i="4"/>
  <c r="U36" i="4"/>
  <c r="I36" i="4"/>
  <c r="D36" i="4"/>
  <c r="S36" i="4"/>
  <c r="AA36" i="4"/>
  <c r="X36" i="4"/>
  <c r="H36" i="4"/>
  <c r="E36" i="4"/>
  <c r="AE36" i="4"/>
  <c r="AB36" i="4"/>
  <c r="R36" i="4"/>
  <c r="P36" i="4"/>
  <c r="O36" i="4"/>
  <c r="N36" i="4"/>
  <c r="G36" i="4"/>
  <c r="M36" i="4"/>
  <c r="F36" i="4"/>
  <c r="C36" i="4"/>
  <c r="V36" i="4"/>
  <c r="AD36" i="4"/>
  <c r="B36" i="4"/>
  <c r="L36" i="4"/>
  <c r="E215" i="7"/>
  <c r="K23" i="5"/>
  <c r="J23" i="5"/>
  <c r="BF23" i="10"/>
  <c r="BG23" i="10"/>
  <c r="BH23" i="10"/>
  <c r="L23" i="5"/>
  <c r="BE23" i="10"/>
  <c r="P37" i="5"/>
  <c r="Q37" i="5"/>
  <c r="R37" i="5"/>
  <c r="BO37" i="10"/>
  <c r="BP37" i="10"/>
  <c r="BR37" i="10"/>
  <c r="BQ37" i="10"/>
  <c r="Z39" i="5"/>
  <c r="AA39" i="5"/>
  <c r="AD39" i="5"/>
  <c r="C39" i="5"/>
  <c r="AE39" i="5"/>
  <c r="AC39" i="5"/>
  <c r="AB39" i="5"/>
  <c r="B39" i="5"/>
  <c r="Y39" i="5"/>
  <c r="AA38" i="5"/>
  <c r="AB38" i="5"/>
  <c r="AE38" i="5"/>
  <c r="AC38" i="5"/>
  <c r="AD38" i="5"/>
  <c r="Y38" i="5"/>
  <c r="Z38" i="5"/>
  <c r="B38" i="5"/>
  <c r="C38" i="5"/>
  <c r="K27" i="5"/>
  <c r="BE27" i="10"/>
  <c r="L27" i="5"/>
  <c r="J27" i="5"/>
  <c r="BG27" i="10"/>
  <c r="BF27" i="10"/>
  <c r="BH27" i="10"/>
  <c r="F46" i="6"/>
  <c r="E46" i="6"/>
  <c r="I46" i="6"/>
  <c r="G46" i="6"/>
  <c r="H46" i="6"/>
  <c r="E34" i="6"/>
  <c r="H34" i="6"/>
  <c r="G34" i="6"/>
  <c r="F34" i="6"/>
  <c r="I34" i="6"/>
  <c r="B8" i="4"/>
  <c r="C8" i="4"/>
  <c r="D8" i="4"/>
  <c r="J8" i="4"/>
  <c r="E8" i="4"/>
  <c r="Z8" i="4"/>
  <c r="F8" i="4"/>
  <c r="AA8" i="4"/>
  <c r="AE8" i="4"/>
  <c r="Y8" i="4"/>
  <c r="V32" i="5"/>
  <c r="X32" i="5"/>
  <c r="CA32" i="10"/>
  <c r="BY32" i="10"/>
  <c r="BZ32" i="10"/>
  <c r="W32" i="5"/>
  <c r="CB32" i="10"/>
  <c r="E71" i="7"/>
  <c r="E70" i="7"/>
  <c r="H17" i="11"/>
  <c r="I17" i="11"/>
  <c r="F17" i="11"/>
  <c r="K17" i="11"/>
  <c r="G17" i="11"/>
  <c r="J17" i="11"/>
  <c r="M21" i="10"/>
  <c r="K21" i="10"/>
  <c r="O21" i="10"/>
  <c r="BX21" i="10"/>
  <c r="N21" i="10"/>
  <c r="BN21" i="10"/>
  <c r="L21" i="10"/>
  <c r="J21" i="10"/>
  <c r="E153" i="7"/>
  <c r="E213" i="7"/>
  <c r="E154" i="7"/>
  <c r="F27" i="7"/>
  <c r="E27" i="7"/>
  <c r="C27" i="7"/>
  <c r="D27" i="7"/>
  <c r="D220" i="7"/>
  <c r="C220" i="7"/>
  <c r="F220" i="7"/>
  <c r="E220" i="7"/>
  <c r="E245" i="7"/>
  <c r="D245" i="7"/>
  <c r="F245" i="7"/>
  <c r="C245" i="7"/>
  <c r="E230" i="7"/>
  <c r="C230" i="7"/>
  <c r="F230" i="7"/>
  <c r="D230" i="7"/>
  <c r="I362" i="7"/>
  <c r="J362" i="7"/>
  <c r="G362" i="7"/>
  <c r="D362" i="7"/>
  <c r="H362" i="7"/>
  <c r="C362" i="7"/>
  <c r="E362" i="7"/>
  <c r="F362" i="7"/>
  <c r="D23" i="5"/>
  <c r="AU23" i="10"/>
  <c r="F23" i="5"/>
  <c r="AX23" i="10"/>
  <c r="AW23" i="10"/>
  <c r="AV23" i="10"/>
  <c r="E23" i="5"/>
  <c r="B11" i="5"/>
  <c r="C11" i="5"/>
  <c r="E207" i="7"/>
  <c r="F19" i="11"/>
  <c r="G19" i="11"/>
  <c r="K19" i="11"/>
  <c r="J19" i="11"/>
  <c r="H19" i="11"/>
  <c r="I19" i="11"/>
  <c r="BN23" i="10"/>
  <c r="L23" i="10"/>
  <c r="BS23" i="10"/>
  <c r="J23" i="10"/>
  <c r="BX23" i="10"/>
  <c r="N23" i="10"/>
  <c r="O23" i="10"/>
  <c r="BI23" i="10"/>
  <c r="AY23" i="10"/>
  <c r="M23" i="10"/>
  <c r="K23" i="10"/>
  <c r="E54" i="7"/>
  <c r="E235" i="7"/>
  <c r="BM25" i="10"/>
  <c r="O25" i="5"/>
  <c r="N25" i="5"/>
  <c r="M25" i="5"/>
  <c r="BL25" i="10"/>
  <c r="BJ25" i="10"/>
  <c r="BK25" i="10"/>
  <c r="G22" i="11"/>
  <c r="K22" i="11"/>
  <c r="I22" i="11"/>
  <c r="J22" i="11"/>
  <c r="H22" i="11"/>
  <c r="F22" i="11"/>
  <c r="BD26" i="10"/>
  <c r="BI26" i="10"/>
  <c r="N26" i="10"/>
  <c r="L26" i="10"/>
  <c r="J26" i="10"/>
  <c r="BS26" i="10"/>
  <c r="BN26" i="10"/>
  <c r="AY26" i="10"/>
  <c r="H29" i="5"/>
  <c r="BC29" i="10"/>
  <c r="I29" i="5"/>
  <c r="G29" i="5"/>
  <c r="AZ29" i="10"/>
  <c r="BB29" i="10"/>
  <c r="BA29" i="10"/>
  <c r="V15" i="4"/>
  <c r="G15" i="4"/>
  <c r="AE15" i="4"/>
  <c r="AB15" i="4"/>
  <c r="Y15" i="4"/>
  <c r="H15" i="4"/>
  <c r="X15" i="4"/>
  <c r="J15" i="4"/>
  <c r="S15" i="4"/>
  <c r="O15" i="4"/>
  <c r="C15" i="4"/>
  <c r="AA15" i="4"/>
  <c r="T15" i="4"/>
  <c r="AC15" i="4"/>
  <c r="K15" i="4"/>
  <c r="E15" i="4"/>
  <c r="Q15" i="4"/>
  <c r="I15" i="4"/>
  <c r="B15" i="4"/>
  <c r="AD15" i="4"/>
  <c r="P15" i="4"/>
  <c r="Z15" i="4"/>
  <c r="R15" i="4"/>
  <c r="D15" i="4"/>
  <c r="W15" i="4"/>
  <c r="N15" i="4"/>
  <c r="F15" i="4"/>
  <c r="L15" i="4"/>
  <c r="M15" i="4"/>
  <c r="U15" i="4"/>
  <c r="C8" i="5"/>
  <c r="B8" i="5"/>
  <c r="AA20" i="5"/>
  <c r="AE20" i="5"/>
  <c r="AC20" i="5"/>
  <c r="AD20" i="5"/>
  <c r="AB20" i="5"/>
  <c r="Z20" i="5"/>
  <c r="B20" i="5"/>
  <c r="Y20" i="5"/>
  <c r="C20" i="5"/>
  <c r="O19" i="5"/>
  <c r="M19" i="5"/>
  <c r="BM19" i="10"/>
  <c r="BJ19" i="10"/>
  <c r="BL19" i="10"/>
  <c r="Q31" i="5"/>
  <c r="R31" i="5"/>
  <c r="P31" i="5"/>
  <c r="BO31" i="10"/>
  <c r="BR31" i="10"/>
  <c r="BQ31" i="10"/>
  <c r="BP31" i="10"/>
  <c r="AD31" i="4"/>
  <c r="R31" i="4"/>
  <c r="AA31" i="4"/>
  <c r="X31" i="4"/>
  <c r="U31" i="4"/>
  <c r="C31" i="4"/>
  <c r="O31" i="4"/>
  <c r="D31" i="4"/>
  <c r="H31" i="4"/>
  <c r="AB31" i="4"/>
  <c r="S31" i="4"/>
  <c r="T31" i="4"/>
  <c r="V31" i="4"/>
  <c r="I31" i="4"/>
  <c r="B31" i="4"/>
  <c r="Z31" i="4"/>
  <c r="W31" i="4"/>
  <c r="N31" i="4"/>
  <c r="P31" i="4"/>
  <c r="L31" i="4"/>
  <c r="F31" i="4"/>
  <c r="AC31" i="4"/>
  <c r="K31" i="4"/>
  <c r="J31" i="4"/>
  <c r="G31" i="4"/>
  <c r="Y31" i="4"/>
  <c r="M31" i="4"/>
  <c r="E31" i="4"/>
  <c r="AE31" i="4"/>
  <c r="Q31" i="4"/>
  <c r="E162" i="7"/>
  <c r="E209" i="7"/>
  <c r="F54" i="6"/>
  <c r="E54" i="6"/>
  <c r="H54" i="6"/>
  <c r="I54" i="6"/>
  <c r="G54" i="6"/>
  <c r="E151" i="7"/>
  <c r="F85" i="7"/>
  <c r="C85" i="7"/>
  <c r="E85" i="7"/>
  <c r="D85" i="7"/>
  <c r="F38" i="7"/>
  <c r="D38" i="7"/>
  <c r="E38" i="7"/>
  <c r="C38" i="7"/>
  <c r="S34" i="5"/>
  <c r="T34" i="5"/>
  <c r="U34" i="5"/>
  <c r="BT34" i="10"/>
  <c r="BW34" i="10"/>
  <c r="BU34" i="10"/>
  <c r="BV34" i="10"/>
  <c r="AV18" i="10"/>
  <c r="AW18" i="10"/>
  <c r="F18" i="5"/>
  <c r="D18" i="5"/>
  <c r="E18" i="5"/>
  <c r="AX18" i="10"/>
  <c r="AU18" i="10"/>
  <c r="X35" i="5"/>
  <c r="V35" i="5"/>
  <c r="CA35" i="10"/>
  <c r="W35" i="5"/>
  <c r="CB35" i="10"/>
  <c r="BY35" i="10"/>
  <c r="BZ35" i="10"/>
  <c r="J37" i="10"/>
  <c r="J25" i="5"/>
  <c r="BG25" i="10"/>
  <c r="K25" i="5"/>
  <c r="BF25" i="10"/>
  <c r="L25" i="5"/>
  <c r="BE25" i="10"/>
  <c r="BH25" i="10"/>
  <c r="E73" i="7"/>
  <c r="X29" i="5"/>
  <c r="V29" i="5"/>
  <c r="CA29" i="10"/>
  <c r="W29" i="5"/>
  <c r="BZ29" i="10"/>
  <c r="BY29" i="10"/>
  <c r="CB29" i="10"/>
  <c r="J6" i="11"/>
  <c r="G8" i="9"/>
  <c r="F65" i="7"/>
  <c r="F66" i="7"/>
  <c r="F67" i="7"/>
  <c r="V20" i="5"/>
  <c r="X20" i="5"/>
  <c r="W20" i="5"/>
  <c r="BY20" i="10"/>
  <c r="CA20" i="10"/>
  <c r="CB20" i="10"/>
  <c r="BZ20" i="10"/>
  <c r="AY21" i="10"/>
  <c r="F228" i="7"/>
  <c r="D228" i="7"/>
  <c r="C228" i="7"/>
  <c r="E228" i="7"/>
  <c r="S15" i="5"/>
  <c r="T15" i="5"/>
  <c r="BW15" i="10"/>
  <c r="BV15" i="10"/>
  <c r="BT15" i="10"/>
  <c r="U15" i="5"/>
  <c r="BU15" i="10"/>
  <c r="E238" i="7"/>
  <c r="E191" i="7"/>
  <c r="D148" i="7"/>
  <c r="F148" i="7"/>
  <c r="C148" i="7"/>
  <c r="E148" i="7"/>
  <c r="E232" i="7"/>
  <c r="E80" i="7"/>
  <c r="D80" i="7"/>
  <c r="F80" i="7"/>
  <c r="C80" i="7"/>
  <c r="E223" i="7"/>
  <c r="K33" i="11"/>
  <c r="G33" i="11"/>
  <c r="J33" i="11"/>
  <c r="F33" i="11"/>
  <c r="H33" i="11"/>
  <c r="I33" i="11"/>
  <c r="O37" i="10"/>
  <c r="K37" i="10"/>
  <c r="BD37" i="10"/>
  <c r="BX37" i="10"/>
  <c r="AY37" i="10"/>
  <c r="BS37" i="10"/>
  <c r="B10" i="5"/>
  <c r="C10" i="5"/>
  <c r="BP34" i="10"/>
  <c r="BQ34" i="10"/>
  <c r="Q34" i="5"/>
  <c r="R34" i="5"/>
  <c r="P34" i="5"/>
  <c r="BO34" i="10"/>
  <c r="BR34" i="10"/>
  <c r="Q10" i="10"/>
  <c r="K10" i="4" s="1"/>
  <c r="BT18" i="10"/>
  <c r="BU18" i="10"/>
  <c r="U18" i="5"/>
  <c r="S18" i="5"/>
  <c r="BV18" i="10"/>
  <c r="BW18" i="10"/>
  <c r="T18" i="5"/>
  <c r="W24" i="5"/>
  <c r="BZ24" i="10"/>
  <c r="CA24" i="10"/>
  <c r="X24" i="5"/>
  <c r="CB24" i="10"/>
  <c r="BY24" i="10"/>
  <c r="V24" i="5"/>
  <c r="E25" i="5"/>
  <c r="D25" i="5"/>
  <c r="F25" i="5"/>
  <c r="AX25" i="10"/>
  <c r="AW25" i="10"/>
  <c r="AV25" i="10"/>
  <c r="AU25" i="10"/>
  <c r="E27" i="5"/>
  <c r="AX27" i="10"/>
  <c r="AW27" i="10"/>
  <c r="AU27" i="10"/>
  <c r="D27" i="5"/>
  <c r="AV27" i="10"/>
  <c r="F27" i="5"/>
  <c r="AA26" i="5"/>
  <c r="AB26" i="5"/>
  <c r="AD26" i="5"/>
  <c r="Y26" i="5"/>
  <c r="AC26" i="5"/>
  <c r="Z26" i="5"/>
  <c r="C26" i="5"/>
  <c r="B26" i="5"/>
  <c r="AE26" i="5"/>
  <c r="Z27" i="5"/>
  <c r="AA27" i="5"/>
  <c r="AB27" i="5"/>
  <c r="C27" i="5"/>
  <c r="Y27" i="5"/>
  <c r="AE27" i="5"/>
  <c r="AC27" i="5"/>
  <c r="AD27" i="5"/>
  <c r="B27" i="5"/>
  <c r="E72" i="7"/>
  <c r="I59" i="6"/>
  <c r="H59" i="6"/>
  <c r="G59" i="6"/>
  <c r="E59" i="6"/>
  <c r="F59" i="6"/>
  <c r="AT10" i="10"/>
  <c r="BD21" i="10"/>
  <c r="AT21" i="10"/>
  <c r="V19" i="5"/>
  <c r="W19" i="5"/>
  <c r="X19" i="5"/>
  <c r="CA19" i="10"/>
  <c r="CB19" i="10"/>
  <c r="BZ19" i="10"/>
  <c r="BY19" i="10"/>
  <c r="J27" i="11"/>
  <c r="K27" i="11"/>
  <c r="H27" i="11"/>
  <c r="F27" i="11"/>
  <c r="I27" i="11"/>
  <c r="G27" i="11"/>
  <c r="AT31" i="10"/>
  <c r="L31" i="10"/>
  <c r="N31" i="10"/>
  <c r="AY31" i="10"/>
  <c r="O31" i="10"/>
  <c r="J31" i="10"/>
  <c r="J12" i="11"/>
  <c r="H12" i="11"/>
  <c r="K12" i="11"/>
  <c r="G12" i="11"/>
  <c r="I12" i="11"/>
  <c r="M16" i="10"/>
  <c r="K16" i="10"/>
  <c r="F12" i="11"/>
  <c r="BN16" i="10"/>
  <c r="J16" i="10"/>
  <c r="BD16" i="10"/>
  <c r="O16" i="10"/>
  <c r="N16" i="10"/>
  <c r="F96" i="7"/>
  <c r="C96" i="7"/>
  <c r="D96" i="7"/>
  <c r="E96" i="7"/>
  <c r="F360" i="7"/>
  <c r="J360" i="7"/>
  <c r="E360" i="7"/>
  <c r="C360" i="7"/>
  <c r="D360" i="7"/>
  <c r="H360" i="7"/>
  <c r="G360" i="7"/>
  <c r="I360" i="7"/>
  <c r="E246" i="7"/>
  <c r="E173" i="7"/>
  <c r="E135" i="7"/>
  <c r="C135" i="7"/>
  <c r="D135" i="7"/>
  <c r="F135" i="7"/>
  <c r="F128" i="7"/>
  <c r="E128" i="7"/>
  <c r="C128" i="7"/>
  <c r="D128" i="7"/>
  <c r="C97" i="7"/>
  <c r="F97" i="7"/>
  <c r="D97" i="7"/>
  <c r="E97" i="7"/>
  <c r="J277" i="7"/>
  <c r="I277" i="7"/>
  <c r="D277" i="7"/>
  <c r="F277" i="7"/>
  <c r="C277" i="7"/>
  <c r="H277" i="7"/>
  <c r="E277" i="7"/>
  <c r="G277" i="7"/>
  <c r="Q18" i="5"/>
  <c r="BO18" i="10"/>
  <c r="P18" i="5"/>
  <c r="BP18" i="10"/>
  <c r="BQ18" i="10"/>
  <c r="D12" i="10"/>
  <c r="E164" i="7"/>
  <c r="P13" i="5"/>
  <c r="Q13" i="5"/>
  <c r="R13" i="5"/>
  <c r="BR13" i="10"/>
  <c r="BP13" i="10"/>
  <c r="BO13" i="10"/>
  <c r="BQ13" i="10"/>
  <c r="Z23" i="4"/>
  <c r="AC23" i="4"/>
  <c r="K23" i="4"/>
  <c r="W23" i="4"/>
  <c r="T23" i="4"/>
  <c r="Q23" i="4"/>
  <c r="L23" i="4"/>
  <c r="V23" i="4"/>
  <c r="B23" i="4"/>
  <c r="AD23" i="4"/>
  <c r="I23" i="4"/>
  <c r="H23" i="4"/>
  <c r="F23" i="4"/>
  <c r="D23" i="4"/>
  <c r="AE23" i="4"/>
  <c r="X23" i="4"/>
  <c r="Y23" i="4"/>
  <c r="R23" i="4"/>
  <c r="J23" i="4"/>
  <c r="AA23" i="4"/>
  <c r="G23" i="4"/>
  <c r="C23" i="4"/>
  <c r="M23" i="4"/>
  <c r="E23" i="4"/>
  <c r="U23" i="4"/>
  <c r="S23" i="4"/>
  <c r="O23" i="4"/>
  <c r="AB23" i="4"/>
  <c r="P23" i="4"/>
  <c r="N23" i="4"/>
  <c r="M37" i="10"/>
  <c r="U14" i="5"/>
  <c r="BV14" i="10"/>
  <c r="Z15" i="5"/>
  <c r="AA15" i="5"/>
  <c r="C15" i="5"/>
  <c r="B15" i="5"/>
  <c r="Y15" i="5"/>
  <c r="AB15" i="5"/>
  <c r="AE15" i="5"/>
  <c r="AD15" i="5"/>
  <c r="AC15" i="5"/>
  <c r="AT26" i="10"/>
  <c r="BX26" i="10"/>
  <c r="G23" i="11"/>
  <c r="K23" i="11"/>
  <c r="I23" i="11"/>
  <c r="J23" i="11"/>
  <c r="H23" i="11"/>
  <c r="F23" i="11"/>
  <c r="BI27" i="10"/>
  <c r="L27" i="10"/>
  <c r="J27" i="10"/>
  <c r="N27" i="10"/>
  <c r="AY27" i="10"/>
  <c r="BS27" i="10"/>
  <c r="K27" i="10"/>
  <c r="E56" i="7"/>
  <c r="L15" i="5"/>
  <c r="BH15" i="10"/>
  <c r="K15" i="5"/>
  <c r="BF15" i="10"/>
  <c r="BE15" i="10"/>
  <c r="J15" i="5"/>
  <c r="BG15" i="10"/>
  <c r="J11" i="11"/>
  <c r="K11" i="11"/>
  <c r="G11" i="11"/>
  <c r="I11" i="11"/>
  <c r="H11" i="11"/>
  <c r="F11" i="11"/>
  <c r="AT15" i="10"/>
  <c r="AY15" i="10"/>
  <c r="L15" i="10"/>
  <c r="K15" i="10"/>
  <c r="BI15" i="10"/>
  <c r="BN15" i="10"/>
  <c r="N15" i="10"/>
  <c r="H5" i="11"/>
  <c r="K5" i="11"/>
  <c r="J5" i="11"/>
  <c r="F5" i="11"/>
  <c r="G5" i="11"/>
  <c r="AB9" i="10"/>
  <c r="D72" i="7"/>
  <c r="D70" i="7"/>
  <c r="E9" i="10"/>
  <c r="G9" i="10"/>
  <c r="I5" i="11" s="1"/>
  <c r="AY9" i="10"/>
  <c r="D73" i="7"/>
  <c r="J9" i="10"/>
  <c r="Q9" i="3" s="1"/>
  <c r="BI21" i="10"/>
  <c r="BF19" i="10"/>
  <c r="J344" i="7"/>
  <c r="E344" i="7"/>
  <c r="I344" i="7"/>
  <c r="G344" i="7"/>
  <c r="C344" i="7"/>
  <c r="D344" i="7"/>
  <c r="F344" i="7"/>
  <c r="H344" i="7"/>
  <c r="AZ40" i="10"/>
  <c r="G40" i="5"/>
  <c r="BB40" i="10"/>
  <c r="BA40" i="10"/>
  <c r="I40" i="5"/>
  <c r="BC40" i="10"/>
  <c r="H40" i="5"/>
  <c r="F218" i="7"/>
  <c r="D218" i="7"/>
  <c r="C218" i="7"/>
  <c r="E218" i="7"/>
  <c r="CB6" i="10"/>
  <c r="AE6" i="5" s="1"/>
  <c r="F145" i="7"/>
  <c r="E145" i="7"/>
  <c r="C145" i="7"/>
  <c r="D145" i="7"/>
  <c r="J289" i="7"/>
  <c r="G289" i="7"/>
  <c r="I289" i="7"/>
  <c r="H289" i="7"/>
  <c r="D289" i="7"/>
  <c r="F289" i="7"/>
  <c r="E289" i="7"/>
  <c r="C289" i="7"/>
  <c r="G337" i="7"/>
  <c r="F337" i="7"/>
  <c r="H337" i="7"/>
  <c r="E337" i="7"/>
  <c r="D337" i="7"/>
  <c r="I337" i="7"/>
  <c r="J337" i="7"/>
  <c r="C337" i="7"/>
  <c r="AE34" i="5"/>
  <c r="AA34" i="5"/>
  <c r="Y34" i="5"/>
  <c r="B34" i="5"/>
  <c r="AB34" i="5"/>
  <c r="AD34" i="5"/>
  <c r="C34" i="5"/>
  <c r="AC34" i="5"/>
  <c r="Z34" i="5"/>
  <c r="L17" i="5"/>
  <c r="BH17" i="10"/>
  <c r="K17" i="5"/>
  <c r="BF17" i="10"/>
  <c r="BE17" i="10"/>
  <c r="J17" i="5"/>
  <c r="BG17" i="10"/>
  <c r="R22" i="5"/>
  <c r="BP22" i="10"/>
  <c r="BQ22" i="10"/>
  <c r="Q22" i="5"/>
  <c r="BR22" i="10"/>
  <c r="BO22" i="10"/>
  <c r="P22" i="5"/>
  <c r="F36" i="5"/>
  <c r="AB25" i="5"/>
  <c r="AC25" i="5"/>
  <c r="AD25" i="5"/>
  <c r="Z25" i="5"/>
  <c r="C25" i="5"/>
  <c r="B25" i="5"/>
  <c r="AA25" i="5"/>
  <c r="Y25" i="5"/>
  <c r="AE25" i="5"/>
  <c r="I47" i="6"/>
  <c r="E47" i="6"/>
  <c r="F47" i="6"/>
  <c r="G47" i="6"/>
  <c r="H47" i="6"/>
  <c r="Q24" i="5"/>
  <c r="R24" i="5"/>
  <c r="P24" i="5"/>
  <c r="BO24" i="10"/>
  <c r="BP24" i="10"/>
  <c r="BR24" i="10"/>
  <c r="BQ24" i="10"/>
  <c r="AB37" i="5"/>
  <c r="AC37" i="5"/>
  <c r="Y37" i="5"/>
  <c r="AD37" i="5"/>
  <c r="AA37" i="5"/>
  <c r="Z37" i="5"/>
  <c r="C37" i="5"/>
  <c r="AE37" i="5"/>
  <c r="B37" i="5"/>
  <c r="I34" i="11"/>
  <c r="G34" i="11"/>
  <c r="J34" i="11"/>
  <c r="F34" i="11"/>
  <c r="K34" i="11"/>
  <c r="H34" i="11"/>
  <c r="O38" i="10"/>
  <c r="M38" i="10"/>
  <c r="BD38" i="10"/>
  <c r="BI38" i="10"/>
  <c r="AY38" i="10"/>
  <c r="K38" i="10"/>
  <c r="J20" i="5"/>
  <c r="BF20" i="10"/>
  <c r="BG20" i="10"/>
  <c r="L20" i="5"/>
  <c r="BE20" i="10"/>
  <c r="BH20" i="10"/>
  <c r="K20" i="5"/>
  <c r="AC32" i="4"/>
  <c r="Q32" i="4"/>
  <c r="AD32" i="4"/>
  <c r="N32" i="4"/>
  <c r="B32" i="4"/>
  <c r="AA32" i="4"/>
  <c r="X32" i="4"/>
  <c r="U32" i="4"/>
  <c r="R32" i="4"/>
  <c r="C32" i="4"/>
  <c r="T32" i="4"/>
  <c r="M32" i="4"/>
  <c r="O32" i="4"/>
  <c r="H32" i="4"/>
  <c r="AB32" i="4"/>
  <c r="S32" i="4"/>
  <c r="I32" i="4"/>
  <c r="Z32" i="4"/>
  <c r="W32" i="4"/>
  <c r="K32" i="4"/>
  <c r="J32" i="4"/>
  <c r="G32" i="4"/>
  <c r="D32" i="4"/>
  <c r="Y32" i="4"/>
  <c r="V32" i="4"/>
  <c r="F32" i="4"/>
  <c r="L32" i="4"/>
  <c r="E32" i="4"/>
  <c r="P32" i="4"/>
  <c r="AE32" i="4"/>
  <c r="D14" i="5"/>
  <c r="F14" i="5"/>
  <c r="AV14" i="10"/>
  <c r="E14" i="5"/>
  <c r="AU14" i="10"/>
  <c r="AX14" i="10"/>
  <c r="AW14" i="10"/>
  <c r="AV34" i="10"/>
  <c r="E34" i="5"/>
  <c r="D34" i="5"/>
  <c r="AU34" i="10"/>
  <c r="F34" i="5"/>
  <c r="AX34" i="10"/>
  <c r="AW34" i="10"/>
  <c r="B7" i="5"/>
  <c r="C7" i="5"/>
  <c r="F46" i="7"/>
  <c r="F57" i="7"/>
  <c r="G7" i="9"/>
  <c r="H7" i="9" s="1"/>
  <c r="W7" i="3" s="1"/>
  <c r="AC19" i="5"/>
  <c r="AD19" i="5"/>
  <c r="AB19" i="5"/>
  <c r="Z19" i="5"/>
  <c r="B19" i="5"/>
  <c r="AA19" i="5"/>
  <c r="Y19" i="5"/>
  <c r="C19" i="5"/>
  <c r="AE19" i="5"/>
  <c r="AE31" i="5"/>
  <c r="B31" i="5"/>
  <c r="AA31" i="5"/>
  <c r="Y31" i="5"/>
  <c r="Z31" i="5"/>
  <c r="AB31" i="5"/>
  <c r="AC31" i="5"/>
  <c r="C31" i="5"/>
  <c r="AD31" i="5"/>
  <c r="F95" i="7"/>
  <c r="D95" i="7"/>
  <c r="E95" i="7"/>
  <c r="C95" i="7"/>
  <c r="J311" i="7"/>
  <c r="F311" i="7"/>
  <c r="I311" i="7"/>
  <c r="H311" i="7"/>
  <c r="E311" i="7"/>
  <c r="D311" i="7"/>
  <c r="C311" i="7"/>
  <c r="G311" i="7"/>
  <c r="J261" i="7"/>
  <c r="H261" i="7"/>
  <c r="G261" i="7"/>
  <c r="C261" i="7"/>
  <c r="D261" i="7"/>
  <c r="I261" i="7"/>
  <c r="E261" i="7"/>
  <c r="F261" i="7"/>
  <c r="J363" i="7"/>
  <c r="I363" i="7"/>
  <c r="D363" i="7"/>
  <c r="G363" i="7"/>
  <c r="H363" i="7"/>
  <c r="E363" i="7"/>
  <c r="C363" i="7"/>
  <c r="F363" i="7"/>
  <c r="D17" i="7"/>
  <c r="F17" i="7"/>
  <c r="C17" i="7"/>
  <c r="E17" i="7"/>
  <c r="F12" i="7"/>
  <c r="E12" i="7"/>
  <c r="C12" i="7"/>
  <c r="D12" i="7"/>
  <c r="F108" i="7"/>
  <c r="E108" i="7"/>
  <c r="D108" i="7"/>
  <c r="C108" i="7"/>
  <c r="F252" i="7"/>
  <c r="E252" i="7"/>
  <c r="D252" i="7"/>
  <c r="C252" i="7"/>
  <c r="F13" i="7"/>
  <c r="C13" i="7"/>
  <c r="E13" i="7"/>
  <c r="D13" i="7"/>
  <c r="F253" i="7"/>
  <c r="E253" i="7"/>
  <c r="D253" i="7"/>
  <c r="C253" i="7"/>
  <c r="F62" i="7"/>
  <c r="E62" i="7"/>
  <c r="C62" i="7"/>
  <c r="D62" i="7"/>
  <c r="E134" i="7"/>
  <c r="C134" i="7"/>
  <c r="D134" i="7"/>
  <c r="F134" i="7"/>
  <c r="Q36" i="5"/>
  <c r="R36" i="5"/>
  <c r="BO36" i="10"/>
  <c r="BR36" i="10"/>
  <c r="P36" i="5"/>
  <c r="BP36" i="10"/>
  <c r="BQ36" i="10"/>
  <c r="W25" i="5"/>
  <c r="BY25" i="10"/>
  <c r="BZ25" i="10"/>
  <c r="CB25" i="10"/>
  <c r="V25" i="5"/>
  <c r="X25" i="5"/>
  <c r="CA25" i="10"/>
  <c r="AC24" i="5"/>
  <c r="AD24" i="5"/>
  <c r="AE24" i="5"/>
  <c r="Z24" i="5"/>
  <c r="Y24" i="5"/>
  <c r="C24" i="5"/>
  <c r="AB24" i="5"/>
  <c r="B24" i="5"/>
  <c r="AA24" i="5"/>
  <c r="X37" i="4"/>
  <c r="I37" i="4"/>
  <c r="AC37" i="4"/>
  <c r="Z37" i="4"/>
  <c r="J37" i="4"/>
  <c r="AD37" i="4"/>
  <c r="B37" i="4"/>
  <c r="U37" i="4"/>
  <c r="K37" i="4"/>
  <c r="R37" i="4"/>
  <c r="T37" i="4"/>
  <c r="S37" i="4"/>
  <c r="V37" i="4"/>
  <c r="Q37" i="4"/>
  <c r="H37" i="4"/>
  <c r="AE37" i="4"/>
  <c r="AA37" i="4"/>
  <c r="P37" i="4"/>
  <c r="Y37" i="4"/>
  <c r="N37" i="4"/>
  <c r="O37" i="4"/>
  <c r="D37" i="4"/>
  <c r="W37" i="4"/>
  <c r="G37" i="4"/>
  <c r="F37" i="4"/>
  <c r="M37" i="4"/>
  <c r="C37" i="4"/>
  <c r="L37" i="4"/>
  <c r="AB37" i="4"/>
  <c r="E37" i="4"/>
  <c r="T36" i="5"/>
  <c r="U36" i="5"/>
  <c r="S36" i="5"/>
  <c r="BW36" i="10"/>
  <c r="BT36" i="10"/>
  <c r="BV36" i="10"/>
  <c r="BU36" i="10"/>
  <c r="BY36" i="10"/>
  <c r="BA13" i="10"/>
  <c r="BB13" i="10"/>
  <c r="I13" i="5"/>
  <c r="BC13" i="10"/>
  <c r="H13" i="5"/>
  <c r="G13" i="5"/>
  <c r="AY10" i="10"/>
  <c r="J15" i="11"/>
  <c r="K15" i="11"/>
  <c r="F15" i="11"/>
  <c r="H15" i="11"/>
  <c r="I15" i="11"/>
  <c r="G15" i="11"/>
  <c r="E33" i="6"/>
  <c r="I279" i="7"/>
  <c r="J279" i="7"/>
  <c r="E279" i="7"/>
  <c r="G279" i="7"/>
  <c r="F279" i="7"/>
  <c r="C279" i="7"/>
  <c r="H279" i="7"/>
  <c r="D279" i="7"/>
  <c r="F248" i="7"/>
  <c r="E248" i="7"/>
  <c r="C248" i="7"/>
  <c r="D248" i="7"/>
  <c r="Y40" i="5"/>
  <c r="Z40" i="5"/>
  <c r="AD40" i="5"/>
  <c r="B40" i="5"/>
  <c r="AE40" i="5"/>
  <c r="AC40" i="5"/>
  <c r="AA40" i="5"/>
  <c r="AB40" i="5"/>
  <c r="C40" i="5"/>
  <c r="G36" i="11"/>
  <c r="K36" i="11"/>
  <c r="H36" i="11"/>
  <c r="F36" i="11"/>
  <c r="J36" i="11"/>
  <c r="I36" i="11"/>
  <c r="L40" i="10"/>
  <c r="J40" i="10"/>
  <c r="BX40" i="10"/>
  <c r="BD40" i="10"/>
  <c r="BI40" i="10"/>
  <c r="AT40" i="10"/>
  <c r="K40" i="10"/>
  <c r="M40" i="10"/>
  <c r="H53" i="6"/>
  <c r="G53" i="6"/>
  <c r="E53" i="6"/>
  <c r="I53" i="6"/>
  <c r="F53" i="6"/>
  <c r="F98" i="7"/>
  <c r="C98" i="7"/>
  <c r="D98" i="7"/>
  <c r="E98" i="7"/>
  <c r="H266" i="7"/>
  <c r="E266" i="7"/>
  <c r="F266" i="7"/>
  <c r="I266" i="7"/>
  <c r="G266" i="7"/>
  <c r="J266" i="7"/>
  <c r="D266" i="7"/>
  <c r="C266" i="7"/>
  <c r="D326" i="7"/>
  <c r="I326" i="7"/>
  <c r="F326" i="7"/>
  <c r="C326" i="7"/>
  <c r="E326" i="7"/>
  <c r="J326" i="7"/>
  <c r="G326" i="7"/>
  <c r="H326" i="7"/>
  <c r="H52" i="6"/>
  <c r="G52" i="6"/>
  <c r="E52" i="6"/>
  <c r="I52" i="6"/>
  <c r="F52" i="6"/>
  <c r="K18" i="5"/>
  <c r="L18" i="5"/>
  <c r="BF18" i="10"/>
  <c r="BE18" i="10"/>
  <c r="BG18" i="10"/>
  <c r="P10" i="10"/>
  <c r="G18" i="11"/>
  <c r="H18" i="11"/>
  <c r="K18" i="11"/>
  <c r="J18" i="11"/>
  <c r="I18" i="11"/>
  <c r="BX22" i="10"/>
  <c r="BI22" i="10"/>
  <c r="L22" i="10"/>
  <c r="BS22" i="10"/>
  <c r="J22" i="10"/>
  <c r="F18" i="11"/>
  <c r="O22" i="10"/>
  <c r="M22" i="10"/>
  <c r="V27" i="4"/>
  <c r="AE27" i="4"/>
  <c r="AB27" i="4"/>
  <c r="Y27" i="4"/>
  <c r="G27" i="4"/>
  <c r="S27" i="4"/>
  <c r="P27" i="4"/>
  <c r="H27" i="4"/>
  <c r="L27" i="4"/>
  <c r="AA27" i="4"/>
  <c r="E27" i="4"/>
  <c r="AC27" i="4"/>
  <c r="M27" i="4"/>
  <c r="K27" i="4"/>
  <c r="I27" i="4"/>
  <c r="AD27" i="4"/>
  <c r="O27" i="4"/>
  <c r="W27" i="4"/>
  <c r="U27" i="4"/>
  <c r="F27" i="4"/>
  <c r="C27" i="4"/>
  <c r="R27" i="4"/>
  <c r="J27" i="4"/>
  <c r="X27" i="4"/>
  <c r="N27" i="4"/>
  <c r="T27" i="4"/>
  <c r="B27" i="4"/>
  <c r="Q27" i="4"/>
  <c r="Z27" i="4"/>
  <c r="D27" i="4"/>
  <c r="AC36" i="5"/>
  <c r="AD36" i="5"/>
  <c r="Y36" i="5"/>
  <c r="AA36" i="5"/>
  <c r="AB36" i="5"/>
  <c r="Z36" i="5"/>
  <c r="C36" i="5"/>
  <c r="AE36" i="5"/>
  <c r="B36" i="5"/>
  <c r="E13" i="5"/>
  <c r="AU13" i="10"/>
  <c r="AV13" i="10"/>
  <c r="AX13" i="10"/>
  <c r="D13" i="5"/>
  <c r="AW13" i="10"/>
  <c r="F13" i="5"/>
  <c r="F20" i="11"/>
  <c r="I20" i="11"/>
  <c r="G20" i="11"/>
  <c r="J20" i="11"/>
  <c r="K20" i="11"/>
  <c r="H20" i="11"/>
  <c r="BI24" i="10"/>
  <c r="BD24" i="10"/>
  <c r="N24" i="10"/>
  <c r="L24" i="10"/>
  <c r="BS24" i="10"/>
  <c r="AT38" i="10"/>
  <c r="E20" i="5"/>
  <c r="AU20" i="10"/>
  <c r="F20" i="5"/>
  <c r="AV20" i="10"/>
  <c r="D20" i="5"/>
  <c r="AX20" i="10"/>
  <c r="AW20" i="10"/>
  <c r="I32" i="5"/>
  <c r="G32" i="5"/>
  <c r="AZ32" i="10"/>
  <c r="BB32" i="10"/>
  <c r="H32" i="5"/>
  <c r="BC32" i="10"/>
  <c r="BA32" i="10"/>
  <c r="E32" i="5"/>
  <c r="AU32" i="10"/>
  <c r="F32" i="5"/>
  <c r="AV32" i="10"/>
  <c r="D32" i="5"/>
  <c r="AW32" i="10"/>
  <c r="AX32" i="10"/>
  <c r="Z9" i="4"/>
  <c r="B9" i="4"/>
  <c r="AE9" i="4"/>
  <c r="J9" i="4"/>
  <c r="F9" i="4"/>
  <c r="D9" i="4"/>
  <c r="C9" i="4"/>
  <c r="AA9" i="4"/>
  <c r="Y9" i="4"/>
  <c r="E9" i="4"/>
  <c r="AA21" i="5"/>
  <c r="AE21" i="5"/>
  <c r="AC21" i="5"/>
  <c r="AD21" i="5"/>
  <c r="AB21" i="5"/>
  <c r="Z21" i="5"/>
  <c r="C21" i="5"/>
  <c r="B21" i="5"/>
  <c r="Y21" i="5"/>
  <c r="T19" i="5"/>
  <c r="BT19" i="10"/>
  <c r="BV19" i="10"/>
  <c r="U19" i="5"/>
  <c r="S19" i="5"/>
  <c r="BW19" i="10"/>
  <c r="BU19" i="10"/>
  <c r="D33" i="6"/>
  <c r="C45" i="7"/>
  <c r="E45" i="7"/>
  <c r="F45" i="7"/>
  <c r="D45" i="7"/>
  <c r="E63" i="7"/>
  <c r="F63" i="7"/>
  <c r="C63" i="7"/>
  <c r="D63" i="7"/>
  <c r="J364" i="7"/>
  <c r="G364" i="7"/>
  <c r="D364" i="7"/>
  <c r="I364" i="7"/>
  <c r="C364" i="7"/>
  <c r="H364" i="7"/>
  <c r="E364" i="7"/>
  <c r="F364" i="7"/>
  <c r="M18" i="5"/>
  <c r="O18" i="5"/>
  <c r="BM18" i="10"/>
  <c r="BK18" i="10"/>
  <c r="BJ18" i="10"/>
  <c r="BL18" i="10"/>
  <c r="D29" i="7"/>
  <c r="F29" i="7"/>
  <c r="E29" i="7"/>
  <c r="C29" i="7"/>
  <c r="D161" i="7"/>
  <c r="E161" i="7"/>
  <c r="F161" i="7"/>
  <c r="C161" i="7"/>
  <c r="C188" i="7"/>
  <c r="E188" i="7"/>
  <c r="D188" i="7"/>
  <c r="F188" i="7"/>
  <c r="O40" i="10"/>
  <c r="F24" i="7"/>
  <c r="E24" i="7"/>
  <c r="D24" i="7"/>
  <c r="C24" i="7"/>
  <c r="F156" i="7"/>
  <c r="C156" i="7"/>
  <c r="E156" i="7"/>
  <c r="D156" i="7"/>
  <c r="J264" i="7"/>
  <c r="F264" i="7"/>
  <c r="D264" i="7"/>
  <c r="E264" i="7"/>
  <c r="I264" i="7"/>
  <c r="G264" i="7"/>
  <c r="C264" i="7"/>
  <c r="H264" i="7"/>
  <c r="E265" i="7"/>
  <c r="J265" i="7"/>
  <c r="D265" i="7"/>
  <c r="I265" i="7"/>
  <c r="H265" i="7"/>
  <c r="F265" i="7"/>
  <c r="C265" i="7"/>
  <c r="G265" i="7"/>
  <c r="F146" i="7"/>
  <c r="E146" i="7"/>
  <c r="D146" i="7"/>
  <c r="C146" i="7"/>
  <c r="J278" i="7"/>
  <c r="I278" i="7"/>
  <c r="D278" i="7"/>
  <c r="F278" i="7"/>
  <c r="C278" i="7"/>
  <c r="H278" i="7"/>
  <c r="E278" i="7"/>
  <c r="G278" i="7"/>
  <c r="I18" i="5"/>
  <c r="H18" i="5"/>
  <c r="G18" i="5"/>
  <c r="BA18" i="10"/>
  <c r="BC18" i="10"/>
  <c r="AZ18" i="10"/>
  <c r="BB18" i="10"/>
  <c r="G10" i="9"/>
  <c r="H10" i="9" s="1"/>
  <c r="W10" i="3" s="1"/>
  <c r="F115" i="7"/>
  <c r="F94" i="7"/>
  <c r="F100" i="7"/>
  <c r="F106" i="7"/>
  <c r="F114" i="7"/>
  <c r="F90" i="7"/>
  <c r="BX10" i="10"/>
  <c r="BD22" i="10"/>
  <c r="AA34" i="4"/>
  <c r="O34" i="4"/>
  <c r="L34" i="4"/>
  <c r="M34" i="4"/>
  <c r="Y34" i="4"/>
  <c r="P34" i="4"/>
  <c r="K34" i="4"/>
  <c r="AC34" i="4"/>
  <c r="F34" i="4"/>
  <c r="Z34" i="4"/>
  <c r="T34" i="4"/>
  <c r="AB34" i="4"/>
  <c r="AE34" i="4"/>
  <c r="Q34" i="4"/>
  <c r="E34" i="4"/>
  <c r="B34" i="4"/>
  <c r="U34" i="4"/>
  <c r="S34" i="4"/>
  <c r="N34" i="4"/>
  <c r="H34" i="4"/>
  <c r="X34" i="4"/>
  <c r="G34" i="4"/>
  <c r="D34" i="4"/>
  <c r="J34" i="4"/>
  <c r="W34" i="4"/>
  <c r="C34" i="4"/>
  <c r="V34" i="4"/>
  <c r="I34" i="4"/>
  <c r="AD34" i="4"/>
  <c r="R34" i="4"/>
  <c r="S35" i="5"/>
  <c r="T35" i="5"/>
  <c r="U35" i="5"/>
  <c r="BV35" i="10"/>
  <c r="BT35" i="10"/>
  <c r="BW35" i="10"/>
  <c r="BU35" i="10"/>
  <c r="M35" i="5"/>
  <c r="BK35" i="10"/>
  <c r="BM35" i="10"/>
  <c r="BJ35" i="10"/>
  <c r="N35" i="5"/>
  <c r="BL35" i="10"/>
  <c r="O35" i="5"/>
  <c r="F99" i="7"/>
  <c r="AD23" i="5"/>
  <c r="AE23" i="5"/>
  <c r="Y23" i="5"/>
  <c r="AC23" i="5"/>
  <c r="B23" i="5"/>
  <c r="C23" i="5"/>
  <c r="AB23" i="5"/>
  <c r="Z23" i="5"/>
  <c r="AA23" i="5"/>
  <c r="BN38" i="10"/>
  <c r="I16" i="11"/>
  <c r="J16" i="11"/>
  <c r="F16" i="11"/>
  <c r="H16" i="11"/>
  <c r="K16" i="11"/>
  <c r="G16" i="11"/>
  <c r="M20" i="10"/>
  <c r="O20" i="10"/>
  <c r="I28" i="11"/>
  <c r="J28" i="11"/>
  <c r="H28" i="11"/>
  <c r="G28" i="11"/>
  <c r="F28" i="11"/>
  <c r="K28" i="11"/>
  <c r="BN32" i="10"/>
  <c r="N32" i="10"/>
  <c r="BD32" i="10"/>
  <c r="M36" i="5" l="1"/>
  <c r="G6" i="11"/>
  <c r="BQ17" i="10"/>
  <c r="BR17" i="10"/>
  <c r="P17" i="5"/>
  <c r="AW22" i="10"/>
  <c r="BO17" i="10"/>
  <c r="Q17" i="5"/>
  <c r="U16" i="5"/>
  <c r="O36" i="5"/>
  <c r="AS6" i="10"/>
  <c r="G2" i="11"/>
  <c r="J3" i="11"/>
  <c r="BS10" i="10"/>
  <c r="BW10" i="10" s="1"/>
  <c r="AD10" i="5" s="1"/>
  <c r="V10" i="3"/>
  <c r="H17" i="5"/>
  <c r="G17" i="5"/>
  <c r="BA17" i="10"/>
  <c r="G7" i="11"/>
  <c r="BS7" i="10"/>
  <c r="R6" i="3"/>
  <c r="AY6" i="10"/>
  <c r="BC6" i="10" s="1"/>
  <c r="Z6" i="5" s="1"/>
  <c r="Q7" i="3"/>
  <c r="Q7" i="10"/>
  <c r="AH7" i="10" s="1"/>
  <c r="AT7" i="10"/>
  <c r="BH19" i="10"/>
  <c r="BT14" i="10"/>
  <c r="BK19" i="10"/>
  <c r="BH13" i="10"/>
  <c r="X30" i="5"/>
  <c r="M12" i="10"/>
  <c r="T12" i="3" s="1"/>
  <c r="BD7" i="10"/>
  <c r="BH7" i="10" s="1"/>
  <c r="AA7" i="5" s="1"/>
  <c r="BO14" i="10"/>
  <c r="N36" i="5"/>
  <c r="BM13" i="10"/>
  <c r="W18" i="5"/>
  <c r="V18" i="5"/>
  <c r="CA18" i="10"/>
  <c r="X18" i="5"/>
  <c r="BY18" i="10"/>
  <c r="BZ18" i="10"/>
  <c r="CB18" i="10"/>
  <c r="M6" i="10"/>
  <c r="BH18" i="10"/>
  <c r="CB36" i="10"/>
  <c r="BG19" i="10"/>
  <c r="BU14" i="10"/>
  <c r="R18" i="5"/>
  <c r="J13" i="5"/>
  <c r="K7" i="11"/>
  <c r="W30" i="5"/>
  <c r="P6" i="10"/>
  <c r="BR14" i="10"/>
  <c r="L19" i="5"/>
  <c r="V30" i="5"/>
  <c r="BJ13" i="10"/>
  <c r="BB14" i="10"/>
  <c r="BB36" i="10"/>
  <c r="AZ36" i="10"/>
  <c r="BC36" i="10"/>
  <c r="H36" i="5"/>
  <c r="G36" i="5"/>
  <c r="I36" i="5"/>
  <c r="BA36" i="10"/>
  <c r="S6" i="3"/>
  <c r="BD6" i="10"/>
  <c r="BH6" i="10" s="1"/>
  <c r="AA6" i="5" s="1"/>
  <c r="BC14" i="10"/>
  <c r="CB14" i="10"/>
  <c r="BA30" i="10"/>
  <c r="H30" i="5"/>
  <c r="I30" i="5"/>
  <c r="AZ30" i="10"/>
  <c r="BC30" i="10"/>
  <c r="BB30" i="10"/>
  <c r="G30" i="5"/>
  <c r="CA36" i="10"/>
  <c r="AW36" i="10"/>
  <c r="BQ19" i="10"/>
  <c r="T14" i="5"/>
  <c r="CB16" i="10"/>
  <c r="CA14" i="10"/>
  <c r="BZ16" i="10"/>
  <c r="AX36" i="10"/>
  <c r="H8" i="9"/>
  <c r="W8" i="3" s="1"/>
  <c r="K9" i="4"/>
  <c r="AZ19" i="10"/>
  <c r="AV24" i="10"/>
  <c r="B12" i="6"/>
  <c r="I2" i="11"/>
  <c r="K19" i="5"/>
  <c r="W36" i="5"/>
  <c r="J19" i="5"/>
  <c r="BD10" i="10"/>
  <c r="S14" i="5"/>
  <c r="G14" i="5"/>
  <c r="V36" i="5"/>
  <c r="BP30" i="10"/>
  <c r="P30" i="5"/>
  <c r="BQ30" i="10"/>
  <c r="BR30" i="10"/>
  <c r="R30" i="5"/>
  <c r="Q30" i="5"/>
  <c r="BO30" i="10"/>
  <c r="BI10" i="10"/>
  <c r="BM10" i="10" s="1"/>
  <c r="AB10" i="5" s="1"/>
  <c r="X36" i="5"/>
  <c r="E36" i="5"/>
  <c r="Q19" i="5"/>
  <c r="V14" i="5"/>
  <c r="BG30" i="10"/>
  <c r="BW16" i="10"/>
  <c r="BL36" i="10"/>
  <c r="M13" i="5"/>
  <c r="CA16" i="10"/>
  <c r="AZ14" i="10"/>
  <c r="AU36" i="10"/>
  <c r="R19" i="5"/>
  <c r="X14" i="5"/>
  <c r="BE30" i="10"/>
  <c r="AY12" i="10"/>
  <c r="BC12" i="10" s="1"/>
  <c r="Z12" i="5" s="1"/>
  <c r="T16" i="5"/>
  <c r="CA30" i="10"/>
  <c r="G19" i="5"/>
  <c r="T30" i="5"/>
  <c r="BM36" i="10"/>
  <c r="BL13" i="10"/>
  <c r="V16" i="5"/>
  <c r="AW24" i="10"/>
  <c r="BH30" i="10"/>
  <c r="BV16" i="10"/>
  <c r="CB30" i="10"/>
  <c r="H19" i="5"/>
  <c r="U30" i="5"/>
  <c r="BK36" i="10"/>
  <c r="O13" i="5"/>
  <c r="W16" i="5"/>
  <c r="AX24" i="10"/>
  <c r="AS10" i="10"/>
  <c r="L10" i="4" s="1"/>
  <c r="BP19" i="10"/>
  <c r="BN11" i="10"/>
  <c r="BR11" i="10" s="1"/>
  <c r="AC11" i="5" s="1"/>
  <c r="P19" i="5"/>
  <c r="I14" i="5"/>
  <c r="BT16" i="10"/>
  <c r="BO19" i="10"/>
  <c r="W14" i="5"/>
  <c r="BF30" i="10"/>
  <c r="BU16" i="10"/>
  <c r="BY16" i="10"/>
  <c r="BA14" i="10"/>
  <c r="AV36" i="10"/>
  <c r="BZ14" i="10"/>
  <c r="P9" i="10"/>
  <c r="L9" i="4" s="1"/>
  <c r="H12" i="9"/>
  <c r="W12" i="3" s="1"/>
  <c r="L11" i="10"/>
  <c r="R8" i="3"/>
  <c r="AY8" i="10"/>
  <c r="Q8" i="10"/>
  <c r="K8" i="4" s="1"/>
  <c r="U7" i="3"/>
  <c r="BN7" i="10"/>
  <c r="L8" i="10"/>
  <c r="M8" i="10" s="1"/>
  <c r="O24" i="5"/>
  <c r="N24" i="5"/>
  <c r="BK24" i="10"/>
  <c r="BL24" i="10"/>
  <c r="BM24" i="10"/>
  <c r="M24" i="5"/>
  <c r="BJ24" i="10"/>
  <c r="M21" i="5"/>
  <c r="N21" i="5"/>
  <c r="BK21" i="10"/>
  <c r="BJ21" i="10"/>
  <c r="O21" i="5"/>
  <c r="BL21" i="10"/>
  <c r="BM21" i="10"/>
  <c r="H28" i="5"/>
  <c r="G28" i="5"/>
  <c r="BB28" i="10"/>
  <c r="BA28" i="10"/>
  <c r="I28" i="5"/>
  <c r="BC28" i="10"/>
  <c r="AZ28" i="10"/>
  <c r="BQ33" i="10"/>
  <c r="Q33" i="5"/>
  <c r="BR33" i="10"/>
  <c r="R33" i="5"/>
  <c r="P33" i="5"/>
  <c r="BP33" i="10"/>
  <c r="BO33" i="10"/>
  <c r="AU8" i="10"/>
  <c r="D8" i="5"/>
  <c r="E8" i="5"/>
  <c r="AX8" i="10"/>
  <c r="Y8" i="5" s="1"/>
  <c r="AW8" i="10"/>
  <c r="F8" i="5"/>
  <c r="AV8" i="10"/>
  <c r="J16" i="5"/>
  <c r="L16" i="5"/>
  <c r="BH16" i="10"/>
  <c r="BF16" i="10"/>
  <c r="K16" i="5"/>
  <c r="BE16" i="10"/>
  <c r="BG16" i="10"/>
  <c r="AT11" i="10"/>
  <c r="I39" i="5"/>
  <c r="AZ39" i="10"/>
  <c r="BA39" i="10"/>
  <c r="BC39" i="10"/>
  <c r="G39" i="5"/>
  <c r="H39" i="5"/>
  <c r="BB39" i="10"/>
  <c r="BW7" i="10"/>
  <c r="AD7" i="5" s="1"/>
  <c r="H9" i="5"/>
  <c r="I9" i="5"/>
  <c r="G9" i="5"/>
  <c r="BC9" i="10"/>
  <c r="Z9" i="5" s="1"/>
  <c r="AZ9" i="10"/>
  <c r="BB9" i="10"/>
  <c r="BA9" i="10"/>
  <c r="Q16" i="5"/>
  <c r="R16" i="5"/>
  <c r="P16" i="5"/>
  <c r="BQ16" i="10"/>
  <c r="BO16" i="10"/>
  <c r="BP16" i="10"/>
  <c r="BR16" i="10"/>
  <c r="X10" i="10"/>
  <c r="AH10" i="10"/>
  <c r="G23" i="5"/>
  <c r="BC23" i="10"/>
  <c r="BB23" i="10"/>
  <c r="H23" i="5"/>
  <c r="BA23" i="10"/>
  <c r="I23" i="5"/>
  <c r="AZ23" i="10"/>
  <c r="J40" i="5"/>
  <c r="L40" i="5"/>
  <c r="BF40" i="10"/>
  <c r="BG40" i="10"/>
  <c r="BH40" i="10"/>
  <c r="K40" i="5"/>
  <c r="BE40" i="10"/>
  <c r="U26" i="5"/>
  <c r="S26" i="5"/>
  <c r="T26" i="5"/>
  <c r="BU26" i="10"/>
  <c r="BV26" i="10"/>
  <c r="BT26" i="10"/>
  <c r="BW26" i="10"/>
  <c r="N23" i="5"/>
  <c r="BJ23" i="10"/>
  <c r="BL23" i="10"/>
  <c r="BM23" i="10"/>
  <c r="O23" i="5"/>
  <c r="M23" i="5"/>
  <c r="BK23" i="10"/>
  <c r="BX11" i="10"/>
  <c r="AY11" i="10"/>
  <c r="W39" i="5"/>
  <c r="CB39" i="10"/>
  <c r="X39" i="5"/>
  <c r="V39" i="5"/>
  <c r="CA39" i="10"/>
  <c r="BZ39" i="10"/>
  <c r="BY39" i="10"/>
  <c r="U6" i="3"/>
  <c r="BN6" i="10"/>
  <c r="S28" i="5"/>
  <c r="BV28" i="10"/>
  <c r="BW28" i="10"/>
  <c r="U28" i="5"/>
  <c r="T28" i="5"/>
  <c r="BT28" i="10"/>
  <c r="BU28" i="10"/>
  <c r="P38" i="5"/>
  <c r="R38" i="5"/>
  <c r="BP38" i="10"/>
  <c r="BO38" i="10"/>
  <c r="BR38" i="10"/>
  <c r="Q38" i="5"/>
  <c r="BQ38" i="10"/>
  <c r="I30" i="6"/>
  <c r="I31" i="6"/>
  <c r="I33" i="6"/>
  <c r="O38" i="5"/>
  <c r="BL38" i="10"/>
  <c r="BM38" i="10"/>
  <c r="N38" i="5"/>
  <c r="BJ38" i="10"/>
  <c r="BK38" i="10"/>
  <c r="M38" i="5"/>
  <c r="E5" i="6"/>
  <c r="AU31" i="10"/>
  <c r="AV31" i="10"/>
  <c r="F31" i="5"/>
  <c r="E31" i="5"/>
  <c r="AW31" i="10"/>
  <c r="D31" i="5"/>
  <c r="AX31" i="10"/>
  <c r="H8" i="11"/>
  <c r="L12" i="10"/>
  <c r="AX39" i="10"/>
  <c r="AW39" i="10"/>
  <c r="E39" i="5"/>
  <c r="AV39" i="10"/>
  <c r="F39" i="5"/>
  <c r="AU39" i="10"/>
  <c r="D39" i="5"/>
  <c r="CB22" i="10"/>
  <c r="X22" i="5"/>
  <c r="BY22" i="10"/>
  <c r="W22" i="5"/>
  <c r="CA22" i="10"/>
  <c r="V22" i="5"/>
  <c r="BZ22" i="10"/>
  <c r="N27" i="5"/>
  <c r="O27" i="5"/>
  <c r="BK27" i="10"/>
  <c r="BL27" i="10"/>
  <c r="M27" i="5"/>
  <c r="BJ27" i="10"/>
  <c r="BM27" i="10"/>
  <c r="L28" i="5"/>
  <c r="K28" i="5"/>
  <c r="BH28" i="10"/>
  <c r="BG28" i="10"/>
  <c r="BE28" i="10"/>
  <c r="J28" i="5"/>
  <c r="BF28" i="10"/>
  <c r="J32" i="5"/>
  <c r="BF32" i="10"/>
  <c r="L32" i="5"/>
  <c r="BG32" i="10"/>
  <c r="BH32" i="10"/>
  <c r="K32" i="5"/>
  <c r="BE32" i="10"/>
  <c r="BR12" i="10"/>
  <c r="AC12" i="5" s="1"/>
  <c r="AX7" i="10"/>
  <c r="Y7" i="5" s="1"/>
  <c r="AX40" i="10"/>
  <c r="D40" i="5"/>
  <c r="E40" i="5"/>
  <c r="AV40" i="10"/>
  <c r="F40" i="5"/>
  <c r="AU40" i="10"/>
  <c r="AW40" i="10"/>
  <c r="H15" i="5"/>
  <c r="AZ15" i="10"/>
  <c r="I15" i="5"/>
  <c r="BC15" i="10"/>
  <c r="G15" i="5"/>
  <c r="BB15" i="10"/>
  <c r="BA15" i="10"/>
  <c r="AZ26" i="10"/>
  <c r="BA26" i="10"/>
  <c r="H26" i="5"/>
  <c r="G26" i="5"/>
  <c r="BB26" i="10"/>
  <c r="I26" i="5"/>
  <c r="BC26" i="10"/>
  <c r="BS11" i="10"/>
  <c r="F15" i="5"/>
  <c r="E15" i="5"/>
  <c r="AU15" i="10"/>
  <c r="AV15" i="10"/>
  <c r="AX15" i="10"/>
  <c r="D15" i="5"/>
  <c r="AW15" i="10"/>
  <c r="P26" i="5"/>
  <c r="Q26" i="5"/>
  <c r="BO26" i="10"/>
  <c r="BR26" i="10"/>
  <c r="BQ26" i="10"/>
  <c r="BP26" i="10"/>
  <c r="R26" i="5"/>
  <c r="Q11" i="10"/>
  <c r="Q6" i="10"/>
  <c r="AT6" i="10"/>
  <c r="Q6" i="3"/>
  <c r="H33" i="5"/>
  <c r="I33" i="5"/>
  <c r="G33" i="5"/>
  <c r="BB33" i="10"/>
  <c r="BC33" i="10"/>
  <c r="AZ33" i="10"/>
  <c r="BA33" i="10"/>
  <c r="P11" i="10"/>
  <c r="AS11" i="10"/>
  <c r="AS9" i="10"/>
  <c r="BM37" i="10"/>
  <c r="N37" i="5"/>
  <c r="O37" i="5"/>
  <c r="M37" i="5"/>
  <c r="BK37" i="10"/>
  <c r="BJ37" i="10"/>
  <c r="BL37" i="10"/>
  <c r="M9" i="10"/>
  <c r="U27" i="5"/>
  <c r="BW27" i="10"/>
  <c r="T27" i="5"/>
  <c r="S27" i="5"/>
  <c r="BU27" i="10"/>
  <c r="BV27" i="10"/>
  <c r="BT27" i="10"/>
  <c r="H21" i="5"/>
  <c r="I21" i="5"/>
  <c r="G21" i="5"/>
  <c r="AZ21" i="10"/>
  <c r="BB21" i="10"/>
  <c r="BA21" i="10"/>
  <c r="BC21" i="10"/>
  <c r="CA23" i="10"/>
  <c r="CB23" i="10"/>
  <c r="X23" i="5"/>
  <c r="W23" i="5"/>
  <c r="BY23" i="10"/>
  <c r="V23" i="5"/>
  <c r="BZ23" i="10"/>
  <c r="N39" i="5"/>
  <c r="O39" i="5"/>
  <c r="BK39" i="10"/>
  <c r="BL39" i="10"/>
  <c r="M39" i="5"/>
  <c r="BM39" i="10"/>
  <c r="BJ39" i="10"/>
  <c r="F28" i="5"/>
  <c r="AX28" i="10"/>
  <c r="E28" i="5"/>
  <c r="AV28" i="10"/>
  <c r="AW28" i="10"/>
  <c r="AU28" i="10"/>
  <c r="D28" i="5"/>
  <c r="P7" i="10"/>
  <c r="AS7" i="10"/>
  <c r="G4" i="11"/>
  <c r="BQ28" i="10"/>
  <c r="R28" i="5"/>
  <c r="BR28" i="10"/>
  <c r="BO28" i="10"/>
  <c r="P28" i="5"/>
  <c r="Q28" i="5"/>
  <c r="BP28" i="10"/>
  <c r="BE22" i="10"/>
  <c r="K22" i="5"/>
  <c r="J22" i="5"/>
  <c r="BF22" i="10"/>
  <c r="BG22" i="10"/>
  <c r="BH22" i="10"/>
  <c r="L22" i="5"/>
  <c r="U24" i="5"/>
  <c r="S24" i="5"/>
  <c r="BU24" i="10"/>
  <c r="BT24" i="10"/>
  <c r="BW24" i="10"/>
  <c r="T24" i="5"/>
  <c r="BV24" i="10"/>
  <c r="AZ27" i="10"/>
  <c r="BC27" i="10"/>
  <c r="H27" i="5"/>
  <c r="BB27" i="10"/>
  <c r="G27" i="5"/>
  <c r="BA27" i="10"/>
  <c r="I27" i="5"/>
  <c r="D26" i="5"/>
  <c r="AX26" i="10"/>
  <c r="F26" i="5"/>
  <c r="AW26" i="10"/>
  <c r="AV26" i="10"/>
  <c r="AU26" i="10"/>
  <c r="E26" i="5"/>
  <c r="AW21" i="10"/>
  <c r="AV21" i="10"/>
  <c r="F21" i="5"/>
  <c r="E21" i="5"/>
  <c r="D21" i="5"/>
  <c r="AX21" i="10"/>
  <c r="AU21" i="10"/>
  <c r="T37" i="5"/>
  <c r="BW37" i="10"/>
  <c r="U37" i="5"/>
  <c r="S37" i="5"/>
  <c r="BV37" i="10"/>
  <c r="BU37" i="10"/>
  <c r="BT37" i="10"/>
  <c r="O26" i="5"/>
  <c r="N26" i="5"/>
  <c r="BL26" i="10"/>
  <c r="BM26" i="10"/>
  <c r="BK26" i="10"/>
  <c r="M26" i="5"/>
  <c r="BJ26" i="10"/>
  <c r="R21" i="5"/>
  <c r="BQ21" i="10"/>
  <c r="BR21" i="10"/>
  <c r="P21" i="5"/>
  <c r="Q21" i="5"/>
  <c r="BP21" i="10"/>
  <c r="BO21" i="10"/>
  <c r="J39" i="5"/>
  <c r="BG39" i="10"/>
  <c r="L39" i="5"/>
  <c r="BF39" i="10"/>
  <c r="BH39" i="10"/>
  <c r="K39" i="5"/>
  <c r="BE39" i="10"/>
  <c r="K7" i="10"/>
  <c r="BE33" i="10"/>
  <c r="BF33" i="10"/>
  <c r="L33" i="5"/>
  <c r="J33" i="5"/>
  <c r="K33" i="5"/>
  <c r="BH33" i="10"/>
  <c r="BG33" i="10"/>
  <c r="BS12" i="10"/>
  <c r="M28" i="5"/>
  <c r="N28" i="5"/>
  <c r="BJ28" i="10"/>
  <c r="BK28" i="10"/>
  <c r="O28" i="5"/>
  <c r="BL28" i="10"/>
  <c r="BM28" i="10"/>
  <c r="M7" i="10"/>
  <c r="BH10" i="10"/>
  <c r="AA10" i="5" s="1"/>
  <c r="S22" i="5"/>
  <c r="T22" i="5"/>
  <c r="BW22" i="10"/>
  <c r="BV22" i="10"/>
  <c r="BT22" i="10"/>
  <c r="BU22" i="10"/>
  <c r="U22" i="5"/>
  <c r="BE21" i="10"/>
  <c r="BF21" i="10"/>
  <c r="L21" i="5"/>
  <c r="J21" i="5"/>
  <c r="BG21" i="10"/>
  <c r="BH21" i="10"/>
  <c r="K21" i="5"/>
  <c r="G37" i="5"/>
  <c r="BA37" i="10"/>
  <c r="BB37" i="10"/>
  <c r="I37" i="5"/>
  <c r="H37" i="5"/>
  <c r="AZ37" i="10"/>
  <c r="BC37" i="10"/>
  <c r="K26" i="5"/>
  <c r="BG26" i="10"/>
  <c r="J26" i="5"/>
  <c r="BE26" i="10"/>
  <c r="L26" i="5"/>
  <c r="BF26" i="10"/>
  <c r="BH26" i="10"/>
  <c r="S23" i="5"/>
  <c r="BW23" i="10"/>
  <c r="BU23" i="10"/>
  <c r="BT23" i="10"/>
  <c r="U23" i="5"/>
  <c r="T23" i="5"/>
  <c r="BV23" i="10"/>
  <c r="BH9" i="10"/>
  <c r="AA9" i="5" s="1"/>
  <c r="T33" i="5"/>
  <c r="U33" i="5"/>
  <c r="S33" i="5"/>
  <c r="BT33" i="10"/>
  <c r="BV33" i="10"/>
  <c r="BW33" i="10"/>
  <c r="BU33" i="10"/>
  <c r="H4" i="11"/>
  <c r="D38" i="5"/>
  <c r="F38" i="5"/>
  <c r="AU38" i="10"/>
  <c r="E38" i="5"/>
  <c r="AX38" i="10"/>
  <c r="AW38" i="10"/>
  <c r="AV38" i="10"/>
  <c r="R15" i="5"/>
  <c r="Q15" i="5"/>
  <c r="P15" i="5"/>
  <c r="BQ15" i="10"/>
  <c r="BR15" i="10"/>
  <c r="BP15" i="10"/>
  <c r="BO15" i="10"/>
  <c r="BY37" i="10"/>
  <c r="BZ37" i="10"/>
  <c r="V37" i="5"/>
  <c r="X37" i="5"/>
  <c r="CB37" i="10"/>
  <c r="W37" i="5"/>
  <c r="CA37" i="10"/>
  <c r="X21" i="5"/>
  <c r="V21" i="5"/>
  <c r="BY21" i="10"/>
  <c r="W21" i="5"/>
  <c r="CB21" i="10"/>
  <c r="CA21" i="10"/>
  <c r="BZ21" i="10"/>
  <c r="E33" i="5"/>
  <c r="F33" i="5"/>
  <c r="D33" i="5"/>
  <c r="AU33" i="10"/>
  <c r="AV33" i="10"/>
  <c r="AW33" i="10"/>
  <c r="AX33" i="10"/>
  <c r="BX12" i="10"/>
  <c r="Q32" i="5"/>
  <c r="BR32" i="10"/>
  <c r="R32" i="5"/>
  <c r="P32" i="5"/>
  <c r="BQ32" i="10"/>
  <c r="BP32" i="10"/>
  <c r="BO32" i="10"/>
  <c r="M40" i="5"/>
  <c r="N40" i="5"/>
  <c r="BJ40" i="10"/>
  <c r="BK40" i="10"/>
  <c r="O40" i="5"/>
  <c r="BM40" i="10"/>
  <c r="BL40" i="10"/>
  <c r="BC10" i="10"/>
  <c r="Z10" i="5" s="1"/>
  <c r="BA31" i="10"/>
  <c r="H31" i="5"/>
  <c r="BC31" i="10"/>
  <c r="I31" i="5"/>
  <c r="AZ31" i="10"/>
  <c r="G31" i="5"/>
  <c r="BB31" i="10"/>
  <c r="R39" i="5"/>
  <c r="BO39" i="10"/>
  <c r="P39" i="5"/>
  <c r="BP39" i="10"/>
  <c r="BR39" i="10"/>
  <c r="BQ39" i="10"/>
  <c r="Q39" i="5"/>
  <c r="CB7" i="10"/>
  <c r="AE7" i="5" s="1"/>
  <c r="CB40" i="10"/>
  <c r="X40" i="5"/>
  <c r="V40" i="5"/>
  <c r="W40" i="5"/>
  <c r="CA40" i="10"/>
  <c r="BZ40" i="10"/>
  <c r="BY40" i="10"/>
  <c r="AZ38" i="10"/>
  <c r="G38" i="5"/>
  <c r="BA38" i="10"/>
  <c r="BB38" i="10"/>
  <c r="I38" i="5"/>
  <c r="H38" i="5"/>
  <c r="BC38" i="10"/>
  <c r="J38" i="5"/>
  <c r="L38" i="5"/>
  <c r="BF38" i="10"/>
  <c r="BG38" i="10"/>
  <c r="BH38" i="10"/>
  <c r="K38" i="5"/>
  <c r="BE38" i="10"/>
  <c r="BY26" i="10"/>
  <c r="W26" i="5"/>
  <c r="CB26" i="10"/>
  <c r="V26" i="5"/>
  <c r="X26" i="5"/>
  <c r="CA26" i="10"/>
  <c r="BZ26" i="10"/>
  <c r="CB10" i="10"/>
  <c r="AE10" i="5" s="1"/>
  <c r="AX10" i="10"/>
  <c r="Y10" i="5" s="1"/>
  <c r="M16" i="5"/>
  <c r="N16" i="5"/>
  <c r="BJ16" i="10"/>
  <c r="BK16" i="10"/>
  <c r="BM16" i="10"/>
  <c r="BL16" i="10"/>
  <c r="O16" i="5"/>
  <c r="I32" i="6"/>
  <c r="S10" i="10"/>
  <c r="J24" i="5"/>
  <c r="K24" i="5"/>
  <c r="BF24" i="10"/>
  <c r="BG24" i="10"/>
  <c r="BH24" i="10"/>
  <c r="L24" i="5"/>
  <c r="BE24" i="10"/>
  <c r="N22" i="5"/>
  <c r="M22" i="5"/>
  <c r="BM22" i="10"/>
  <c r="O22" i="5"/>
  <c r="BL22" i="10"/>
  <c r="BK22" i="10"/>
  <c r="BJ22" i="10"/>
  <c r="N15" i="5"/>
  <c r="O15" i="5"/>
  <c r="BK15" i="10"/>
  <c r="BL15" i="10"/>
  <c r="M15" i="5"/>
  <c r="BM15" i="10"/>
  <c r="BJ15" i="10"/>
  <c r="F8" i="11"/>
  <c r="P12" i="10"/>
  <c r="J12" i="10"/>
  <c r="AS12" i="10"/>
  <c r="K37" i="5"/>
  <c r="L37" i="5"/>
  <c r="BE37" i="10"/>
  <c r="BG37" i="10"/>
  <c r="BH37" i="10"/>
  <c r="J37" i="5"/>
  <c r="BF37" i="10"/>
  <c r="R23" i="5"/>
  <c r="BO23" i="10"/>
  <c r="BP23" i="10"/>
  <c r="Q23" i="5"/>
  <c r="P23" i="5"/>
  <c r="BQ23" i="10"/>
  <c r="BR23" i="10"/>
  <c r="X9" i="10"/>
  <c r="AH9" i="10"/>
  <c r="S9" i="10"/>
  <c r="M11" i="10"/>
  <c r="F3" i="11"/>
  <c r="O33" i="5"/>
  <c r="M33" i="5"/>
  <c r="BM33" i="10"/>
  <c r="BJ33" i="10"/>
  <c r="N33" i="5"/>
  <c r="BL33" i="10"/>
  <c r="BK33" i="10"/>
  <c r="BR10" i="10"/>
  <c r="AC10" i="5" s="1"/>
  <c r="P8" i="10"/>
  <c r="L8" i="4" s="1"/>
  <c r="AS8" i="10"/>
  <c r="BZ28" i="10"/>
  <c r="W28" i="5"/>
  <c r="CA28" i="10"/>
  <c r="V28" i="5"/>
  <c r="BY28" i="10"/>
  <c r="CB28" i="10"/>
  <c r="X28" i="5"/>
  <c r="L6" i="4" l="1"/>
  <c r="S7" i="10"/>
  <c r="X7" i="10"/>
  <c r="K7" i="4"/>
  <c r="BI12" i="10"/>
  <c r="E6" i="6"/>
  <c r="E8" i="6" s="1"/>
  <c r="T6" i="3"/>
  <c r="BI6" i="10"/>
  <c r="BM6" i="10" s="1"/>
  <c r="AB6" i="5" s="1"/>
  <c r="S11" i="3"/>
  <c r="BD11" i="10"/>
  <c r="BH11" i="10" s="1"/>
  <c r="AA11" i="5" s="1"/>
  <c r="T8" i="3"/>
  <c r="BI8" i="10"/>
  <c r="N8" i="10"/>
  <c r="X6" i="10"/>
  <c r="AH6" i="10"/>
  <c r="S6" i="10"/>
  <c r="S11" i="10"/>
  <c r="X11" i="10"/>
  <c r="AH11" i="10"/>
  <c r="L12" i="4"/>
  <c r="L11" i="4"/>
  <c r="T7" i="3"/>
  <c r="BI7" i="10"/>
  <c r="AX11" i="10"/>
  <c r="Y11" i="5" s="1"/>
  <c r="R7" i="3"/>
  <c r="AY7" i="10"/>
  <c r="BW11" i="10"/>
  <c r="AD11" i="5" s="1"/>
  <c r="BR7" i="10"/>
  <c r="AC7" i="5" s="1"/>
  <c r="L7" i="4"/>
  <c r="BR6" i="10"/>
  <c r="AC6" i="5" s="1"/>
  <c r="AH8" i="10"/>
  <c r="S8" i="10"/>
  <c r="X8" i="10"/>
  <c r="S8" i="3"/>
  <c r="BD8" i="10"/>
  <c r="T9" i="3"/>
  <c r="BI9" i="10"/>
  <c r="N9" i="10"/>
  <c r="CB12" i="10"/>
  <c r="AE12" i="5" s="1"/>
  <c r="BC11" i="10"/>
  <c r="Z11" i="5" s="1"/>
  <c r="K11" i="4"/>
  <c r="BC8" i="10"/>
  <c r="Z8" i="5" s="1"/>
  <c r="Q12" i="3"/>
  <c r="Q12" i="10"/>
  <c r="AT12" i="10"/>
  <c r="T10" i="10"/>
  <c r="U10" i="4"/>
  <c r="T7" i="10"/>
  <c r="U7" i="4"/>
  <c r="T11" i="3"/>
  <c r="BI11" i="10"/>
  <c r="T9" i="10"/>
  <c r="U9" i="4"/>
  <c r="CB11" i="10"/>
  <c r="AE11" i="5" s="1"/>
  <c r="BM12" i="10"/>
  <c r="AB12" i="5" s="1"/>
  <c r="BW12" i="10"/>
  <c r="AD12" i="5" s="1"/>
  <c r="AX6" i="10"/>
  <c r="Y6" i="5" s="1"/>
  <c r="S12" i="3"/>
  <c r="BD12" i="10"/>
  <c r="E9" i="6" l="1"/>
  <c r="BC7" i="10"/>
  <c r="Z7" i="5" s="1"/>
  <c r="BH12" i="10"/>
  <c r="AA12" i="5" s="1"/>
  <c r="AD10" i="10"/>
  <c r="U10" i="10"/>
  <c r="N10" i="4"/>
  <c r="X12" i="10"/>
  <c r="AH12" i="10"/>
  <c r="K12" i="4"/>
  <c r="S12" i="10"/>
  <c r="U9" i="3"/>
  <c r="BN9" i="10"/>
  <c r="O9" i="10"/>
  <c r="BM9" i="10"/>
  <c r="AB9" i="5" s="1"/>
  <c r="U8" i="3"/>
  <c r="BN8" i="10"/>
  <c r="O8" i="10"/>
  <c r="AD9" i="10"/>
  <c r="U9" i="10"/>
  <c r="N9" i="4"/>
  <c r="T8" i="10"/>
  <c r="U8" i="4"/>
  <c r="AD7" i="10"/>
  <c r="U7" i="10"/>
  <c r="N7" i="4"/>
  <c r="BM11" i="10"/>
  <c r="AB11" i="5" s="1"/>
  <c r="E11" i="6"/>
  <c r="E13" i="6"/>
  <c r="U11" i="4"/>
  <c r="T11" i="10"/>
  <c r="T6" i="10"/>
  <c r="U6" i="4"/>
  <c r="AX12" i="10"/>
  <c r="Y12" i="5" s="1"/>
  <c r="BM8" i="10"/>
  <c r="AB8" i="5" s="1"/>
  <c r="BH8" i="10"/>
  <c r="AA8" i="5" s="1"/>
  <c r="BM7" i="10"/>
  <c r="AB7" i="5" s="1"/>
  <c r="E14" i="6" l="1"/>
  <c r="E16" i="6" s="1"/>
  <c r="E17" i="6" s="1"/>
  <c r="V9" i="3"/>
  <c r="BS9" i="10"/>
  <c r="BX9" i="10"/>
  <c r="V8" i="3"/>
  <c r="BX8" i="10"/>
  <c r="BS8" i="10"/>
  <c r="U12" i="4"/>
  <c r="T12" i="10"/>
  <c r="N6" i="4"/>
  <c r="U6" i="10"/>
  <c r="AD6" i="10"/>
  <c r="U11" i="10"/>
  <c r="AD11" i="10"/>
  <c r="N11" i="4"/>
  <c r="J43" i="7"/>
  <c r="J52" i="7"/>
  <c r="J53" i="7"/>
  <c r="AG7" i="10"/>
  <c r="AI7" i="10" s="1"/>
  <c r="J46" i="7"/>
  <c r="J42" i="7"/>
  <c r="J58" i="7"/>
  <c r="J51" i="7"/>
  <c r="AA7" i="10"/>
  <c r="AC7" i="10" s="1"/>
  <c r="AE7" i="10" s="1"/>
  <c r="W7" i="10"/>
  <c r="Y7" i="10" s="1"/>
  <c r="J48" i="7"/>
  <c r="J57" i="7"/>
  <c r="J56" i="7"/>
  <c r="J59" i="7"/>
  <c r="J55" i="7"/>
  <c r="J54" i="7"/>
  <c r="J50" i="7"/>
  <c r="J47" i="7"/>
  <c r="J49" i="7"/>
  <c r="J45" i="7"/>
  <c r="J61" i="7"/>
  <c r="J60" i="7"/>
  <c r="M7" i="4"/>
  <c r="J44" i="7"/>
  <c r="J78" i="7"/>
  <c r="J79" i="7"/>
  <c r="J114" i="7"/>
  <c r="J115" i="7"/>
  <c r="J93" i="7"/>
  <c r="J116" i="7"/>
  <c r="W10" i="10"/>
  <c r="Y10" i="10" s="1"/>
  <c r="J109" i="7"/>
  <c r="J100" i="7"/>
  <c r="J117" i="7"/>
  <c r="J105" i="7"/>
  <c r="J91" i="7"/>
  <c r="J92" i="7"/>
  <c r="J102" i="7"/>
  <c r="J94" i="7"/>
  <c r="J99" i="7"/>
  <c r="AA10" i="10"/>
  <c r="AC10" i="10" s="1"/>
  <c r="AE10" i="10" s="1"/>
  <c r="J82" i="7"/>
  <c r="J101" i="7"/>
  <c r="J83" i="7"/>
  <c r="J107" i="7"/>
  <c r="J90" i="7"/>
  <c r="J77" i="7"/>
  <c r="J88" i="7"/>
  <c r="J81" i="7"/>
  <c r="J87" i="7"/>
  <c r="J103" i="7"/>
  <c r="J106" i="7"/>
  <c r="AG10" i="10"/>
  <c r="AI10" i="10" s="1"/>
  <c r="J113" i="7"/>
  <c r="J104" i="7"/>
  <c r="M10" i="4"/>
  <c r="J111" i="7"/>
  <c r="J97" i="7"/>
  <c r="J96" i="7"/>
  <c r="J80" i="7"/>
  <c r="J89" i="7"/>
  <c r="J84" i="7"/>
  <c r="J95" i="7"/>
  <c r="J98" i="7"/>
  <c r="J86" i="7"/>
  <c r="J110" i="7"/>
  <c r="J108" i="7"/>
  <c r="J112" i="7"/>
  <c r="J85" i="7"/>
  <c r="BR8" i="10"/>
  <c r="AC8" i="5" s="1"/>
  <c r="W9" i="10"/>
  <c r="Y9" i="10" s="1"/>
  <c r="J72" i="7"/>
  <c r="AA9" i="10"/>
  <c r="AC9" i="10" s="1"/>
  <c r="AE9" i="10" s="1"/>
  <c r="BP9" i="10" s="1"/>
  <c r="Q9" i="5" s="1"/>
  <c r="J73" i="7"/>
  <c r="J69" i="7"/>
  <c r="J70" i="7"/>
  <c r="J71" i="7"/>
  <c r="AG9" i="10"/>
  <c r="AI9" i="10" s="1"/>
  <c r="BQ9" i="10" s="1"/>
  <c r="R9" i="5" s="1"/>
  <c r="J75" i="7"/>
  <c r="M9" i="4"/>
  <c r="J74" i="7"/>
  <c r="J76" i="7"/>
  <c r="BR9" i="10"/>
  <c r="AC9" i="5" s="1"/>
  <c r="AD8" i="10"/>
  <c r="U8" i="10"/>
  <c r="N8" i="4"/>
  <c r="H78" i="7" l="1"/>
  <c r="H79" i="7"/>
  <c r="H115" i="7"/>
  <c r="H100" i="7"/>
  <c r="H106" i="7"/>
  <c r="H90" i="7"/>
  <c r="H91" i="7"/>
  <c r="H116" i="7"/>
  <c r="H104" i="7"/>
  <c r="H107" i="7"/>
  <c r="H83" i="7"/>
  <c r="G31" i="6"/>
  <c r="H94" i="7"/>
  <c r="H103" i="7"/>
  <c r="H87" i="7"/>
  <c r="G30" i="6"/>
  <c r="H77" i="7"/>
  <c r="AL10" i="10"/>
  <c r="H109" i="7"/>
  <c r="H117" i="7"/>
  <c r="H92" i="7"/>
  <c r="H88" i="7"/>
  <c r="H113" i="7"/>
  <c r="H114" i="7"/>
  <c r="H81" i="7"/>
  <c r="H93" i="7"/>
  <c r="H102" i="7"/>
  <c r="H105" i="7"/>
  <c r="H99" i="7"/>
  <c r="H82" i="7"/>
  <c r="H101" i="7"/>
  <c r="H86" i="7"/>
  <c r="H80" i="7"/>
  <c r="H96" i="7"/>
  <c r="BU10" i="10"/>
  <c r="T10" i="5" s="1"/>
  <c r="H111" i="7"/>
  <c r="H97" i="7"/>
  <c r="G32" i="6"/>
  <c r="H112" i="7"/>
  <c r="H108" i="7"/>
  <c r="H84" i="7"/>
  <c r="H85" i="7"/>
  <c r="H98" i="7"/>
  <c r="G33" i="6"/>
  <c r="H110" i="7"/>
  <c r="H95" i="7"/>
  <c r="H10" i="4"/>
  <c r="H89" i="7"/>
  <c r="AV10" i="10"/>
  <c r="E10" i="5" s="1"/>
  <c r="BK10" i="10"/>
  <c r="N10" i="5" s="1"/>
  <c r="BF10" i="10"/>
  <c r="K10" i="5" s="1"/>
  <c r="BZ10" i="10"/>
  <c r="W10" i="5" s="1"/>
  <c r="BA10" i="10"/>
  <c r="H10" i="5" s="1"/>
  <c r="BP10" i="10"/>
  <c r="Q10" i="5" s="1"/>
  <c r="BW8" i="10"/>
  <c r="AD8" i="5" s="1"/>
  <c r="J66" i="7"/>
  <c r="AG8" i="10"/>
  <c r="AI8" i="10" s="1"/>
  <c r="BV8" i="10" s="1"/>
  <c r="U8" i="5" s="1"/>
  <c r="J67" i="7"/>
  <c r="AA8" i="10"/>
  <c r="AC8" i="10" s="1"/>
  <c r="AE8" i="10" s="1"/>
  <c r="BZ8" i="10" s="1"/>
  <c r="W8" i="5" s="1"/>
  <c r="J68" i="7"/>
  <c r="W8" i="10"/>
  <c r="Y8" i="10" s="1"/>
  <c r="J65" i="7"/>
  <c r="J64" i="7"/>
  <c r="J62" i="7"/>
  <c r="J63" i="7"/>
  <c r="M8" i="4"/>
  <c r="BW9" i="10"/>
  <c r="AD9" i="5" s="1"/>
  <c r="BV9" i="10"/>
  <c r="U9" i="5" s="1"/>
  <c r="BU9" i="10"/>
  <c r="T9" i="5" s="1"/>
  <c r="BT9" i="10"/>
  <c r="S9" i="5" s="1"/>
  <c r="G49" i="7"/>
  <c r="G57" i="7"/>
  <c r="G58" i="7"/>
  <c r="G50" i="7"/>
  <c r="G48" i="7"/>
  <c r="G53" i="7"/>
  <c r="G52" i="7"/>
  <c r="G59" i="7"/>
  <c r="G51" i="7"/>
  <c r="G56" i="7"/>
  <c r="G46" i="7"/>
  <c r="AJ7" i="10"/>
  <c r="G54" i="7"/>
  <c r="G43" i="7"/>
  <c r="G42" i="7"/>
  <c r="G55" i="7"/>
  <c r="G47" i="7"/>
  <c r="G44" i="7"/>
  <c r="G45" i="7"/>
  <c r="G60" i="7"/>
  <c r="G7" i="4"/>
  <c r="G61" i="7"/>
  <c r="AU7" i="10"/>
  <c r="D7" i="5" s="1"/>
  <c r="BT7" i="10"/>
  <c r="S7" i="5" s="1"/>
  <c r="BY7" i="10"/>
  <c r="V7" i="5" s="1"/>
  <c r="BE7" i="10"/>
  <c r="J7" i="5" s="1"/>
  <c r="BO7" i="10"/>
  <c r="P7" i="5" s="1"/>
  <c r="AZ7" i="10"/>
  <c r="G7" i="5" s="1"/>
  <c r="BJ7" i="10"/>
  <c r="M7" i="5" s="1"/>
  <c r="AG11" i="10"/>
  <c r="AI11" i="10" s="1"/>
  <c r="J122" i="7"/>
  <c r="J125" i="7"/>
  <c r="J136" i="7"/>
  <c r="J133" i="7"/>
  <c r="W11" i="10"/>
  <c r="Y11" i="10" s="1"/>
  <c r="J129" i="7"/>
  <c r="J124" i="7"/>
  <c r="J130" i="7"/>
  <c r="J119" i="7"/>
  <c r="J131" i="7"/>
  <c r="J118" i="7"/>
  <c r="J121" i="7"/>
  <c r="J123" i="7"/>
  <c r="J138" i="7"/>
  <c r="J120" i="7"/>
  <c r="AA11" i="10"/>
  <c r="AC11" i="10" s="1"/>
  <c r="AE11" i="10" s="1"/>
  <c r="J132" i="7"/>
  <c r="J127" i="7"/>
  <c r="M11" i="4"/>
  <c r="J137" i="7"/>
  <c r="J126" i="7"/>
  <c r="J128" i="7"/>
  <c r="J134" i="7"/>
  <c r="J135" i="7"/>
  <c r="H46" i="7"/>
  <c r="H57" i="7"/>
  <c r="H58" i="7"/>
  <c r="H42" i="7"/>
  <c r="H55" i="7"/>
  <c r="H48" i="7"/>
  <c r="H53" i="7"/>
  <c r="H52" i="7"/>
  <c r="H47" i="7"/>
  <c r="H43" i="7"/>
  <c r="H56" i="7"/>
  <c r="H59" i="7"/>
  <c r="H49" i="7"/>
  <c r="H50" i="7"/>
  <c r="AL7" i="10"/>
  <c r="H51" i="7"/>
  <c r="H54" i="7"/>
  <c r="H44" i="7"/>
  <c r="H61" i="7"/>
  <c r="H7" i="4"/>
  <c r="H45" i="7"/>
  <c r="H60" i="7"/>
  <c r="BU7" i="10"/>
  <c r="T7" i="5" s="1"/>
  <c r="BZ7" i="10"/>
  <c r="W7" i="5" s="1"/>
  <c r="BF7" i="10"/>
  <c r="K7" i="5" s="1"/>
  <c r="AV7" i="10"/>
  <c r="E7" i="5" s="1"/>
  <c r="BP7" i="10"/>
  <c r="Q7" i="5" s="1"/>
  <c r="BA7" i="10"/>
  <c r="H7" i="5" s="1"/>
  <c r="BK7" i="10"/>
  <c r="N7" i="5" s="1"/>
  <c r="G72" i="7"/>
  <c r="G70" i="7"/>
  <c r="G71" i="7"/>
  <c r="G69" i="7"/>
  <c r="G73" i="7"/>
  <c r="AJ9" i="10"/>
  <c r="G9" i="4"/>
  <c r="G74" i="7"/>
  <c r="G76" i="7"/>
  <c r="G75" i="7"/>
  <c r="BE9" i="10"/>
  <c r="J9" i="5" s="1"/>
  <c r="BJ9" i="10"/>
  <c r="M9" i="5" s="1"/>
  <c r="CA8" i="10"/>
  <c r="X8" i="5" s="1"/>
  <c r="BY8" i="10"/>
  <c r="V8" i="5" s="1"/>
  <c r="CB8" i="10"/>
  <c r="AE8" i="5" s="1"/>
  <c r="CB9" i="10"/>
  <c r="AE9" i="5" s="1"/>
  <c r="CA9" i="10"/>
  <c r="X9" i="5" s="1"/>
  <c r="BZ9" i="10"/>
  <c r="W9" i="5" s="1"/>
  <c r="BY9" i="10"/>
  <c r="V9" i="5" s="1"/>
  <c r="BO9" i="10"/>
  <c r="P9" i="5" s="1"/>
  <c r="J30" i="7"/>
  <c r="J40" i="7"/>
  <c r="AG6" i="10"/>
  <c r="AI6" i="10" s="1"/>
  <c r="M6" i="4"/>
  <c r="J5" i="7"/>
  <c r="W6" i="10"/>
  <c r="Y6" i="10" s="1"/>
  <c r="J6" i="7"/>
  <c r="AA6" i="10"/>
  <c r="AC6" i="10" s="1"/>
  <c r="AE6" i="10" s="1"/>
  <c r="J32" i="7"/>
  <c r="J39" i="7"/>
  <c r="J20" i="7"/>
  <c r="J35" i="7"/>
  <c r="J11" i="7"/>
  <c r="J9" i="7"/>
  <c r="J34" i="7"/>
  <c r="J19" i="7"/>
  <c r="J31" i="7"/>
  <c r="J26" i="7"/>
  <c r="J41" i="7"/>
  <c r="J22" i="7"/>
  <c r="J25" i="7"/>
  <c r="J15" i="7"/>
  <c r="J10" i="7"/>
  <c r="J16" i="7"/>
  <c r="J7" i="7"/>
  <c r="J33" i="7"/>
  <c r="J8" i="7"/>
  <c r="J21" i="7"/>
  <c r="J18" i="7"/>
  <c r="J12" i="7"/>
  <c r="J27" i="7"/>
  <c r="J38" i="7"/>
  <c r="J37" i="7"/>
  <c r="J14" i="7"/>
  <c r="J17" i="7"/>
  <c r="J29" i="7"/>
  <c r="J36" i="7"/>
  <c r="J24" i="7"/>
  <c r="J23" i="7"/>
  <c r="J28" i="7"/>
  <c r="J13" i="7"/>
  <c r="U12" i="10"/>
  <c r="AD12" i="10"/>
  <c r="N12" i="4"/>
  <c r="I83" i="7"/>
  <c r="AN10" i="10"/>
  <c r="H31" i="6"/>
  <c r="I105" i="7"/>
  <c r="I116" i="7"/>
  <c r="I102" i="7"/>
  <c r="H30" i="6"/>
  <c r="I117" i="7"/>
  <c r="I92" i="7"/>
  <c r="I109" i="7"/>
  <c r="I106" i="7"/>
  <c r="I104" i="7"/>
  <c r="I90" i="7"/>
  <c r="I82" i="7"/>
  <c r="I113" i="7"/>
  <c r="I94" i="7"/>
  <c r="I78" i="7"/>
  <c r="I100" i="7"/>
  <c r="I91" i="7"/>
  <c r="I101" i="7"/>
  <c r="I99" i="7"/>
  <c r="I87" i="7"/>
  <c r="I114" i="7"/>
  <c r="I107" i="7"/>
  <c r="I79" i="7"/>
  <c r="I81" i="7"/>
  <c r="I77" i="7"/>
  <c r="I93" i="7"/>
  <c r="I115" i="7"/>
  <c r="I88" i="7"/>
  <c r="I103" i="7"/>
  <c r="I86" i="7"/>
  <c r="I10" i="4"/>
  <c r="I85" i="7"/>
  <c r="I97" i="7"/>
  <c r="I108" i="7"/>
  <c r="I80" i="7"/>
  <c r="I84" i="7"/>
  <c r="I110" i="7"/>
  <c r="I112" i="7"/>
  <c r="H33" i="6"/>
  <c r="BV10" i="10"/>
  <c r="U10" i="5" s="1"/>
  <c r="I111" i="7"/>
  <c r="I96" i="7"/>
  <c r="I98" i="7"/>
  <c r="I89" i="7"/>
  <c r="I95" i="7"/>
  <c r="H32" i="6"/>
  <c r="BL10" i="10"/>
  <c r="O10" i="5" s="1"/>
  <c r="CA10" i="10"/>
  <c r="X10" i="5" s="1"/>
  <c r="BQ10" i="10"/>
  <c r="R10" i="5" s="1"/>
  <c r="AW10" i="10"/>
  <c r="F10" i="5" s="1"/>
  <c r="BG10" i="10"/>
  <c r="L10" i="5" s="1"/>
  <c r="BB10" i="10"/>
  <c r="I10" i="5" s="1"/>
  <c r="I57" i="7"/>
  <c r="I58" i="7"/>
  <c r="I52" i="7"/>
  <c r="AN7" i="10"/>
  <c r="I51" i="7"/>
  <c r="I46" i="7"/>
  <c r="I56" i="7"/>
  <c r="I49" i="7"/>
  <c r="I47" i="7"/>
  <c r="I59" i="7"/>
  <c r="I54" i="7"/>
  <c r="I42" i="7"/>
  <c r="I48" i="7"/>
  <c r="I55" i="7"/>
  <c r="I53" i="7"/>
  <c r="I50" i="7"/>
  <c r="I43" i="7"/>
  <c r="I7" i="4"/>
  <c r="I60" i="7"/>
  <c r="I45" i="7"/>
  <c r="I44" i="7"/>
  <c r="I61" i="7"/>
  <c r="BV7" i="10"/>
  <c r="U7" i="5" s="1"/>
  <c r="CA7" i="10"/>
  <c r="X7" i="5" s="1"/>
  <c r="BG7" i="10"/>
  <c r="L7" i="5" s="1"/>
  <c r="AW7" i="10"/>
  <c r="F7" i="5" s="1"/>
  <c r="BQ7" i="10"/>
  <c r="R7" i="5" s="1"/>
  <c r="BB7" i="10"/>
  <c r="I7" i="5" s="1"/>
  <c r="BL7" i="10"/>
  <c r="O7" i="5" s="1"/>
  <c r="I72" i="7"/>
  <c r="I71" i="7"/>
  <c r="I73" i="7"/>
  <c r="AN9" i="10"/>
  <c r="I69" i="7"/>
  <c r="I70" i="7"/>
  <c r="I9" i="4"/>
  <c r="I75" i="7"/>
  <c r="I76" i="7"/>
  <c r="I74" i="7"/>
  <c r="BG9" i="10"/>
  <c r="L9" i="5" s="1"/>
  <c r="BL9" i="10"/>
  <c r="O9" i="5" s="1"/>
  <c r="H72" i="7"/>
  <c r="AL9" i="10"/>
  <c r="H73" i="7"/>
  <c r="H70" i="7"/>
  <c r="H69" i="7"/>
  <c r="H71" i="7"/>
  <c r="H76" i="7"/>
  <c r="H75" i="7"/>
  <c r="H74" i="7"/>
  <c r="H9" i="4"/>
  <c r="BF9" i="10"/>
  <c r="K9" i="5" s="1"/>
  <c r="BK9" i="10"/>
  <c r="N9" i="5" s="1"/>
  <c r="G78" i="7"/>
  <c r="G81" i="7"/>
  <c r="G82" i="7"/>
  <c r="G102" i="7"/>
  <c r="G106" i="7"/>
  <c r="F30" i="6"/>
  <c r="F31" i="6"/>
  <c r="G90" i="7"/>
  <c r="G77" i="7"/>
  <c r="G116" i="7"/>
  <c r="G107" i="7"/>
  <c r="G105" i="7"/>
  <c r="G88" i="7"/>
  <c r="G117" i="7"/>
  <c r="G99" i="7"/>
  <c r="G93" i="7"/>
  <c r="G100" i="7"/>
  <c r="G101" i="7"/>
  <c r="G94" i="7"/>
  <c r="G83" i="7"/>
  <c r="G104" i="7"/>
  <c r="G79" i="7"/>
  <c r="G114" i="7"/>
  <c r="G87" i="7"/>
  <c r="G109" i="7"/>
  <c r="G113" i="7"/>
  <c r="G103" i="7"/>
  <c r="G92" i="7"/>
  <c r="G115" i="7"/>
  <c r="G91" i="7"/>
  <c r="AJ10" i="10"/>
  <c r="F32" i="6"/>
  <c r="G108" i="7"/>
  <c r="G85" i="7"/>
  <c r="G10" i="4"/>
  <c r="BT10" i="10"/>
  <c r="S10" i="5" s="1"/>
  <c r="G96" i="7"/>
  <c r="G97" i="7"/>
  <c r="G89" i="7"/>
  <c r="F33" i="6"/>
  <c r="G86" i="7"/>
  <c r="G111" i="7"/>
  <c r="G112" i="7"/>
  <c r="G80" i="7"/>
  <c r="G110" i="7"/>
  <c r="G84" i="7"/>
  <c r="G98" i="7"/>
  <c r="G95" i="7"/>
  <c r="AZ10" i="10"/>
  <c r="G10" i="5" s="1"/>
  <c r="BY10" i="10"/>
  <c r="V10" i="5" s="1"/>
  <c r="BE10" i="10"/>
  <c r="J10" i="5" s="1"/>
  <c r="BJ10" i="10"/>
  <c r="M10" i="5" s="1"/>
  <c r="BO10" i="10"/>
  <c r="P10" i="5" s="1"/>
  <c r="AU10" i="10"/>
  <c r="D10" i="5" s="1"/>
  <c r="BU8" i="10" l="1"/>
  <c r="T8" i="5" s="1"/>
  <c r="H5" i="6"/>
  <c r="H6" i="6"/>
  <c r="AK10" i="10"/>
  <c r="O10" i="4" s="1"/>
  <c r="R10" i="4" s="1"/>
  <c r="AP10" i="10"/>
  <c r="AB10" i="4" s="1"/>
  <c r="V10" i="4"/>
  <c r="AO9" i="10"/>
  <c r="Q9" i="4" s="1"/>
  <c r="T9" i="4" s="1"/>
  <c r="AR9" i="10"/>
  <c r="AD9" i="4" s="1"/>
  <c r="X9" i="4"/>
  <c r="AO10" i="10"/>
  <c r="Q10" i="4" s="1"/>
  <c r="T10" i="4" s="1"/>
  <c r="AR10" i="10"/>
  <c r="AD10" i="4" s="1"/>
  <c r="X10" i="4"/>
  <c r="G127" i="7"/>
  <c r="G125" i="7"/>
  <c r="G131" i="7"/>
  <c r="G121" i="7"/>
  <c r="G126" i="7"/>
  <c r="G120" i="7"/>
  <c r="G137" i="7"/>
  <c r="G129" i="7"/>
  <c r="AJ11" i="10"/>
  <c r="G136" i="7"/>
  <c r="G118" i="7"/>
  <c r="G11" i="4"/>
  <c r="G133" i="7"/>
  <c r="G124" i="7"/>
  <c r="G123" i="7"/>
  <c r="G138" i="7"/>
  <c r="G132" i="7"/>
  <c r="G122" i="7"/>
  <c r="G130" i="7"/>
  <c r="G119" i="7"/>
  <c r="G135" i="7"/>
  <c r="G128" i="7"/>
  <c r="G134" i="7"/>
  <c r="BE11" i="10"/>
  <c r="J11" i="5" s="1"/>
  <c r="BO11" i="10"/>
  <c r="P11" i="5" s="1"/>
  <c r="BT11" i="10"/>
  <c r="S11" i="5" s="1"/>
  <c r="BY11" i="10"/>
  <c r="V11" i="5" s="1"/>
  <c r="AZ11" i="10"/>
  <c r="G11" i="5" s="1"/>
  <c r="AU11" i="10"/>
  <c r="D11" i="5" s="1"/>
  <c r="BJ11" i="10"/>
  <c r="M11" i="5" s="1"/>
  <c r="H123" i="7"/>
  <c r="H136" i="7"/>
  <c r="H137" i="7"/>
  <c r="H138" i="7"/>
  <c r="AL11" i="10"/>
  <c r="H120" i="7"/>
  <c r="H121" i="7"/>
  <c r="H118" i="7"/>
  <c r="H132" i="7"/>
  <c r="H11" i="4"/>
  <c r="H119" i="7"/>
  <c r="H131" i="7"/>
  <c r="H122" i="7"/>
  <c r="H129" i="7"/>
  <c r="H125" i="7"/>
  <c r="H124" i="7"/>
  <c r="H127" i="7"/>
  <c r="H126" i="7"/>
  <c r="H133" i="7"/>
  <c r="H130" i="7"/>
  <c r="H128" i="7"/>
  <c r="H135" i="7"/>
  <c r="H134" i="7"/>
  <c r="BP11" i="10"/>
  <c r="Q11" i="5" s="1"/>
  <c r="BF11" i="10"/>
  <c r="K11" i="5" s="1"/>
  <c r="BA11" i="10"/>
  <c r="H11" i="5" s="1"/>
  <c r="BU11" i="10"/>
  <c r="T11" i="5" s="1"/>
  <c r="AV11" i="10"/>
  <c r="E11" i="5" s="1"/>
  <c r="BZ11" i="10"/>
  <c r="W11" i="5" s="1"/>
  <c r="BK11" i="10"/>
  <c r="N11" i="5" s="1"/>
  <c r="J246" i="7"/>
  <c r="J198" i="7"/>
  <c r="J199" i="7"/>
  <c r="J221" i="7"/>
  <c r="J152" i="7"/>
  <c r="J159" i="7"/>
  <c r="J174" i="7"/>
  <c r="J204" i="7"/>
  <c r="AG12" i="10"/>
  <c r="AI12" i="10" s="1"/>
  <c r="J211" i="7"/>
  <c r="J217" i="7"/>
  <c r="W12" i="10"/>
  <c r="Y12" i="10" s="1"/>
  <c r="J216" i="7"/>
  <c r="J215" i="7"/>
  <c r="J219" i="7"/>
  <c r="J185" i="7"/>
  <c r="J247" i="7"/>
  <c r="J179" i="7"/>
  <c r="J210" i="7"/>
  <c r="J234" i="7"/>
  <c r="J181" i="7"/>
  <c r="J201" i="7"/>
  <c r="J175" i="7"/>
  <c r="J238" i="7"/>
  <c r="J237" i="7"/>
  <c r="J223" i="7"/>
  <c r="J183" i="7"/>
  <c r="J231" i="7"/>
  <c r="J209" i="7"/>
  <c r="J155" i="7"/>
  <c r="J190" i="7"/>
  <c r="J178" i="7"/>
  <c r="J153" i="7"/>
  <c r="J186" i="7"/>
  <c r="J187" i="7"/>
  <c r="J203" i="7"/>
  <c r="J150" i="7"/>
  <c r="J176" i="7"/>
  <c r="J236" i="7"/>
  <c r="J177" i="7"/>
  <c r="J173" i="7"/>
  <c r="J184" i="7"/>
  <c r="J143" i="7"/>
  <c r="J207" i="7"/>
  <c r="J158" i="7"/>
  <c r="J213" i="7"/>
  <c r="J162" i="7"/>
  <c r="J139" i="7"/>
  <c r="J202" i="7"/>
  <c r="J142" i="7"/>
  <c r="J157" i="7"/>
  <c r="J169" i="7"/>
  <c r="J232" i="7"/>
  <c r="J171" i="7"/>
  <c r="J224" i="7"/>
  <c r="J189" i="7"/>
  <c r="J205" i="7"/>
  <c r="J240" i="7"/>
  <c r="J141" i="7"/>
  <c r="J249" i="7"/>
  <c r="J164" i="7"/>
  <c r="J149" i="7"/>
  <c r="J191" i="7"/>
  <c r="J227" i="7"/>
  <c r="AA12" i="10"/>
  <c r="AC12" i="10" s="1"/>
  <c r="AE12" i="10" s="1"/>
  <c r="M12" i="4"/>
  <c r="J225" i="7"/>
  <c r="J208" i="7"/>
  <c r="J250" i="7"/>
  <c r="J154" i="7"/>
  <c r="J214" i="7"/>
  <c r="J197" i="7"/>
  <c r="J140" i="7"/>
  <c r="J151" i="7"/>
  <c r="J251" i="7"/>
  <c r="J165" i="7"/>
  <c r="J200" i="7"/>
  <c r="J235" i="7"/>
  <c r="J163" i="7"/>
  <c r="J222" i="7"/>
  <c r="J172" i="7"/>
  <c r="J226" i="7"/>
  <c r="J147" i="7"/>
  <c r="J166" i="7"/>
  <c r="J195" i="7"/>
  <c r="J144" i="7"/>
  <c r="J218" i="7"/>
  <c r="J188" i="7"/>
  <c r="J194" i="7"/>
  <c r="J161" i="7"/>
  <c r="J229" i="7"/>
  <c r="J182" i="7"/>
  <c r="J196" i="7"/>
  <c r="J233" i="7"/>
  <c r="J252" i="7"/>
  <c r="J244" i="7"/>
  <c r="J160" i="7"/>
  <c r="J180" i="7"/>
  <c r="J167" i="7"/>
  <c r="J170" i="7"/>
  <c r="J241" i="7"/>
  <c r="J243" i="7"/>
  <c r="J253" i="7"/>
  <c r="J239" i="7"/>
  <c r="J206" i="7"/>
  <c r="J242" i="7"/>
  <c r="J193" i="7"/>
  <c r="J220" i="7"/>
  <c r="J245" i="7"/>
  <c r="J248" i="7"/>
  <c r="J146" i="7"/>
  <c r="J212" i="7"/>
  <c r="J145" i="7"/>
  <c r="J192" i="7"/>
  <c r="J148" i="7"/>
  <c r="J230" i="7"/>
  <c r="J228" i="7"/>
  <c r="J156" i="7"/>
  <c r="J168" i="7"/>
  <c r="I67" i="7"/>
  <c r="AN8" i="10"/>
  <c r="I65" i="7"/>
  <c r="I68" i="7"/>
  <c r="I66" i="7"/>
  <c r="I64" i="7"/>
  <c r="I62" i="7"/>
  <c r="I8" i="4"/>
  <c r="I63" i="7"/>
  <c r="BB8" i="10"/>
  <c r="I8" i="5" s="1"/>
  <c r="BG8" i="10"/>
  <c r="L8" i="5" s="1"/>
  <c r="BL8" i="10"/>
  <c r="O8" i="5" s="1"/>
  <c r="BQ8" i="10"/>
  <c r="R8" i="5" s="1"/>
  <c r="F5" i="6"/>
  <c r="F6" i="6"/>
  <c r="G66" i="7"/>
  <c r="G67" i="7"/>
  <c r="AJ8" i="10"/>
  <c r="G68" i="7"/>
  <c r="G65" i="7"/>
  <c r="G62" i="7"/>
  <c r="G63" i="7"/>
  <c r="G64" i="7"/>
  <c r="G8" i="4"/>
  <c r="AZ8" i="10"/>
  <c r="G8" i="5" s="1"/>
  <c r="BE8" i="10"/>
  <c r="J8" i="5" s="1"/>
  <c r="BJ8" i="10"/>
  <c r="M8" i="5" s="1"/>
  <c r="BO8" i="10"/>
  <c r="P8" i="5" s="1"/>
  <c r="AM9" i="10"/>
  <c r="P9" i="4" s="1"/>
  <c r="S9" i="4" s="1"/>
  <c r="AQ9" i="10"/>
  <c r="AC9" i="4" s="1"/>
  <c r="W9" i="4"/>
  <c r="H22" i="7"/>
  <c r="AL6" i="10"/>
  <c r="H41" i="7"/>
  <c r="H15" i="7"/>
  <c r="H6" i="4"/>
  <c r="H8" i="7"/>
  <c r="H16" i="7"/>
  <c r="H35" i="7"/>
  <c r="H33" i="7"/>
  <c r="H9" i="7"/>
  <c r="H11" i="7"/>
  <c r="H18" i="7"/>
  <c r="H25" i="7"/>
  <c r="H20" i="7"/>
  <c r="H40" i="7"/>
  <c r="H5" i="7"/>
  <c r="H19" i="7"/>
  <c r="H26" i="7"/>
  <c r="H34" i="7"/>
  <c r="H31" i="7"/>
  <c r="H7" i="7"/>
  <c r="H39" i="7"/>
  <c r="H6" i="7"/>
  <c r="H10" i="7"/>
  <c r="H30" i="7"/>
  <c r="H21" i="7"/>
  <c r="H32" i="7"/>
  <c r="H38" i="7"/>
  <c r="H12" i="7"/>
  <c r="BU6" i="10"/>
  <c r="T6" i="5" s="1"/>
  <c r="H24" i="7"/>
  <c r="H27" i="7"/>
  <c r="BA6" i="10"/>
  <c r="H6" i="5" s="1"/>
  <c r="H17" i="7"/>
  <c r="H36" i="7"/>
  <c r="H13" i="7"/>
  <c r="H23" i="7"/>
  <c r="BF6" i="10"/>
  <c r="K6" i="5" s="1"/>
  <c r="H29" i="7"/>
  <c r="H37" i="7"/>
  <c r="H28" i="7"/>
  <c r="BZ6" i="10"/>
  <c r="W6" i="5" s="1"/>
  <c r="H14" i="7"/>
  <c r="BK6" i="10"/>
  <c r="N6" i="5" s="1"/>
  <c r="AV6" i="10"/>
  <c r="E6" i="5" s="1"/>
  <c r="BP6" i="10"/>
  <c r="Q6" i="5" s="1"/>
  <c r="AL8" i="10"/>
  <c r="H67" i="7"/>
  <c r="H66" i="7"/>
  <c r="H68" i="7"/>
  <c r="H65" i="7"/>
  <c r="H8" i="4"/>
  <c r="H63" i="7"/>
  <c r="H64" i="7"/>
  <c r="H62" i="7"/>
  <c r="BA8" i="10"/>
  <c r="H8" i="5" s="1"/>
  <c r="BK8" i="10"/>
  <c r="N8" i="5" s="1"/>
  <c r="BF8" i="10"/>
  <c r="K8" i="5" s="1"/>
  <c r="BP8" i="10"/>
  <c r="Q8" i="5" s="1"/>
  <c r="AQ7" i="10"/>
  <c r="AC7" i="4" s="1"/>
  <c r="AM7" i="10"/>
  <c r="P7" i="4" s="1"/>
  <c r="S7" i="4" s="1"/>
  <c r="W7" i="4"/>
  <c r="G5" i="6"/>
  <c r="AO7" i="10"/>
  <c r="Q7" i="4" s="1"/>
  <c r="T7" i="4" s="1"/>
  <c r="AR7" i="10"/>
  <c r="AD7" i="4" s="1"/>
  <c r="X7" i="4"/>
  <c r="AJ6" i="10"/>
  <c r="G22" i="7"/>
  <c r="G6" i="4"/>
  <c r="G30" i="7"/>
  <c r="G8" i="7"/>
  <c r="G35" i="7"/>
  <c r="G39" i="7"/>
  <c r="G34" i="7"/>
  <c r="G33" i="7"/>
  <c r="G21" i="7"/>
  <c r="G32" i="7"/>
  <c r="G26" i="7"/>
  <c r="G16" i="7"/>
  <c r="G15" i="7"/>
  <c r="G5" i="7"/>
  <c r="G10" i="7"/>
  <c r="G40" i="7"/>
  <c r="G41" i="7"/>
  <c r="G31" i="7"/>
  <c r="G6" i="7"/>
  <c r="G18" i="7"/>
  <c r="G19" i="7"/>
  <c r="G9" i="7"/>
  <c r="G7" i="7"/>
  <c r="G25" i="7"/>
  <c r="G11" i="7"/>
  <c r="G20" i="7"/>
  <c r="BT6" i="10"/>
  <c r="S6" i="5" s="1"/>
  <c r="G24" i="7"/>
  <c r="G27" i="7"/>
  <c r="AZ6" i="10"/>
  <c r="G6" i="5" s="1"/>
  <c r="G28" i="7"/>
  <c r="G38" i="7"/>
  <c r="G12" i="7"/>
  <c r="BY6" i="10"/>
  <c r="V6" i="5" s="1"/>
  <c r="G13" i="7"/>
  <c r="G17" i="7"/>
  <c r="G37" i="7"/>
  <c r="BE6" i="10"/>
  <c r="J6" i="5" s="1"/>
  <c r="G36" i="7"/>
  <c r="G29" i="7"/>
  <c r="G14" i="7"/>
  <c r="G23" i="7"/>
  <c r="BJ6" i="10"/>
  <c r="M6" i="5" s="1"/>
  <c r="BO6" i="10"/>
  <c r="P6" i="5" s="1"/>
  <c r="AU6" i="10"/>
  <c r="D6" i="5" s="1"/>
  <c r="I31" i="7"/>
  <c r="AN6" i="10"/>
  <c r="I22" i="7"/>
  <c r="I11" i="7"/>
  <c r="I15" i="7"/>
  <c r="I6" i="4"/>
  <c r="I26" i="7"/>
  <c r="I16" i="7"/>
  <c r="I19" i="7"/>
  <c r="I7" i="7"/>
  <c r="I32" i="7"/>
  <c r="I34" i="7"/>
  <c r="I33" i="7"/>
  <c r="I9" i="7"/>
  <c r="I8" i="7"/>
  <c r="I5" i="7"/>
  <c r="I10" i="7"/>
  <c r="I30" i="7"/>
  <c r="I20" i="7"/>
  <c r="I41" i="7"/>
  <c r="I25" i="7"/>
  <c r="I35" i="7"/>
  <c r="I39" i="7"/>
  <c r="I18" i="7"/>
  <c r="I40" i="7"/>
  <c r="I21" i="7"/>
  <c r="I6" i="7"/>
  <c r="I23" i="7"/>
  <c r="I29" i="7"/>
  <c r="I14" i="7"/>
  <c r="BB6" i="10"/>
  <c r="I6" i="5" s="1"/>
  <c r="I24" i="7"/>
  <c r="I37" i="7"/>
  <c r="I28" i="7"/>
  <c r="I17" i="7"/>
  <c r="I38" i="7"/>
  <c r="CA6" i="10"/>
  <c r="X6" i="5" s="1"/>
  <c r="BG6" i="10"/>
  <c r="L6" i="5" s="1"/>
  <c r="I27" i="7"/>
  <c r="I12" i="7"/>
  <c r="I13" i="7"/>
  <c r="BV6" i="10"/>
  <c r="U6" i="5" s="1"/>
  <c r="I36" i="7"/>
  <c r="BL6" i="10"/>
  <c r="O6" i="5" s="1"/>
  <c r="AW6" i="10"/>
  <c r="F6" i="5" s="1"/>
  <c r="BQ6" i="10"/>
  <c r="R6" i="5" s="1"/>
  <c r="AK9" i="10"/>
  <c r="O9" i="4" s="1"/>
  <c r="R9" i="4" s="1"/>
  <c r="V9" i="4"/>
  <c r="AP9" i="10"/>
  <c r="AB9" i="4" s="1"/>
  <c r="AK7" i="10"/>
  <c r="O7" i="4" s="1"/>
  <c r="R7" i="4" s="1"/>
  <c r="AP7" i="10"/>
  <c r="AB7" i="4" s="1"/>
  <c r="V7" i="4"/>
  <c r="AM10" i="10"/>
  <c r="P10" i="4" s="1"/>
  <c r="S10" i="4" s="1"/>
  <c r="AQ10" i="10"/>
  <c r="AC10" i="4" s="1"/>
  <c r="W10" i="4"/>
  <c r="I136" i="7"/>
  <c r="I137" i="7"/>
  <c r="I129" i="7"/>
  <c r="AN11" i="10"/>
  <c r="I11" i="4"/>
  <c r="I133" i="7"/>
  <c r="I120" i="7"/>
  <c r="I123" i="7"/>
  <c r="I131" i="7"/>
  <c r="I138" i="7"/>
  <c r="I122" i="7"/>
  <c r="I118" i="7"/>
  <c r="I126" i="7"/>
  <c r="I121" i="7"/>
  <c r="I125" i="7"/>
  <c r="I119" i="7"/>
  <c r="I130" i="7"/>
  <c r="I124" i="7"/>
  <c r="I132" i="7"/>
  <c r="I127" i="7"/>
  <c r="I134" i="7"/>
  <c r="I135" i="7"/>
  <c r="I128" i="7"/>
  <c r="BG11" i="10"/>
  <c r="L11" i="5" s="1"/>
  <c r="BQ11" i="10"/>
  <c r="R11" i="5" s="1"/>
  <c r="CA11" i="10"/>
  <c r="X11" i="5" s="1"/>
  <c r="BV11" i="10"/>
  <c r="U11" i="5" s="1"/>
  <c r="BB11" i="10"/>
  <c r="I11" i="5" s="1"/>
  <c r="AW11" i="10"/>
  <c r="F11" i="5" s="1"/>
  <c r="BL11" i="10"/>
  <c r="O11" i="5" s="1"/>
  <c r="BT8" i="10"/>
  <c r="S8" i="5" s="1"/>
  <c r="G6" i="6" l="1"/>
  <c r="I175" i="7"/>
  <c r="I185" i="7"/>
  <c r="I221" i="7"/>
  <c r="I226" i="7"/>
  <c r="I166" i="7"/>
  <c r="I190" i="7"/>
  <c r="I204" i="7"/>
  <c r="I216" i="7"/>
  <c r="AN12" i="10"/>
  <c r="I236" i="7"/>
  <c r="I171" i="7"/>
  <c r="I214" i="7"/>
  <c r="I181" i="7"/>
  <c r="I189" i="7"/>
  <c r="I210" i="7"/>
  <c r="I205" i="7"/>
  <c r="I12" i="4"/>
  <c r="I235" i="7"/>
  <c r="I141" i="7"/>
  <c r="I215" i="7"/>
  <c r="I183" i="7"/>
  <c r="I219" i="7"/>
  <c r="I232" i="7"/>
  <c r="I247" i="7"/>
  <c r="I227" i="7"/>
  <c r="I163" i="7"/>
  <c r="I165" i="7"/>
  <c r="I152" i="7"/>
  <c r="I159" i="7"/>
  <c r="I199" i="7"/>
  <c r="I176" i="7"/>
  <c r="I217" i="7"/>
  <c r="I251" i="7"/>
  <c r="I207" i="7"/>
  <c r="I201" i="7"/>
  <c r="I250" i="7"/>
  <c r="I154" i="7"/>
  <c r="I162" i="7"/>
  <c r="I153" i="7"/>
  <c r="I139" i="7"/>
  <c r="I237" i="7"/>
  <c r="I164" i="7"/>
  <c r="I157" i="7"/>
  <c r="I169" i="7"/>
  <c r="I224" i="7"/>
  <c r="I173" i="7"/>
  <c r="I246" i="7"/>
  <c r="I143" i="7"/>
  <c r="I174" i="7"/>
  <c r="I238" i="7"/>
  <c r="I223" i="7"/>
  <c r="I231" i="7"/>
  <c r="I191" i="7"/>
  <c r="I240" i="7"/>
  <c r="I142" i="7"/>
  <c r="I187" i="7"/>
  <c r="I203" i="7"/>
  <c r="I197" i="7"/>
  <c r="I184" i="7"/>
  <c r="I200" i="7"/>
  <c r="I234" i="7"/>
  <c r="I147" i="7"/>
  <c r="I225" i="7"/>
  <c r="I186" i="7"/>
  <c r="I140" i="7"/>
  <c r="I222" i="7"/>
  <c r="I172" i="7"/>
  <c r="I249" i="7"/>
  <c r="I208" i="7"/>
  <c r="I211" i="7"/>
  <c r="I213" i="7"/>
  <c r="I178" i="7"/>
  <c r="I209" i="7"/>
  <c r="I179" i="7"/>
  <c r="I202" i="7"/>
  <c r="I155" i="7"/>
  <c r="I158" i="7"/>
  <c r="I151" i="7"/>
  <c r="I198" i="7"/>
  <c r="I149" i="7"/>
  <c r="I177" i="7"/>
  <c r="I150" i="7"/>
  <c r="I160" i="7"/>
  <c r="I145" i="7"/>
  <c r="I168" i="7"/>
  <c r="I248" i="7"/>
  <c r="I239" i="7"/>
  <c r="I245" i="7"/>
  <c r="I244" i="7"/>
  <c r="I212" i="7"/>
  <c r="I194" i="7"/>
  <c r="I148" i="7"/>
  <c r="I242" i="7"/>
  <c r="I233" i="7"/>
  <c r="I192" i="7"/>
  <c r="I144" i="7"/>
  <c r="I229" i="7"/>
  <c r="I220" i="7"/>
  <c r="I188" i="7"/>
  <c r="I146" i="7"/>
  <c r="I243" i="7"/>
  <c r="I252" i="7"/>
  <c r="I182" i="7"/>
  <c r="I241" i="7"/>
  <c r="I253" i="7"/>
  <c r="I170" i="7"/>
  <c r="I161" i="7"/>
  <c r="I156" i="7"/>
  <c r="I228" i="7"/>
  <c r="I195" i="7"/>
  <c r="I167" i="7"/>
  <c r="I230" i="7"/>
  <c r="I193" i="7"/>
  <c r="I206" i="7"/>
  <c r="I180" i="7"/>
  <c r="I196" i="7"/>
  <c r="I218" i="7"/>
  <c r="BB12" i="10"/>
  <c r="I12" i="5" s="1"/>
  <c r="BQ12" i="10"/>
  <c r="R12" i="5" s="1"/>
  <c r="CA12" i="10"/>
  <c r="X12" i="5" s="1"/>
  <c r="BL12" i="10"/>
  <c r="O12" i="5" s="1"/>
  <c r="BV12" i="10"/>
  <c r="U12" i="5" s="1"/>
  <c r="BG12" i="10"/>
  <c r="L12" i="5" s="1"/>
  <c r="AW12" i="10"/>
  <c r="F12" i="5" s="1"/>
  <c r="AM8" i="10"/>
  <c r="P8" i="4" s="1"/>
  <c r="S8" i="4" s="1"/>
  <c r="AQ8" i="10"/>
  <c r="AC8" i="4" s="1"/>
  <c r="W8" i="4"/>
  <c r="AK8" i="10"/>
  <c r="O8" i="4" s="1"/>
  <c r="R8" i="4" s="1"/>
  <c r="AP8" i="10"/>
  <c r="AB8" i="4" s="1"/>
  <c r="V8" i="4"/>
  <c r="H211" i="7"/>
  <c r="H178" i="7"/>
  <c r="H247" i="7"/>
  <c r="H227" i="7"/>
  <c r="H172" i="7"/>
  <c r="H232" i="7"/>
  <c r="H175" i="7"/>
  <c r="H152" i="7"/>
  <c r="H246" i="7"/>
  <c r="H157" i="7"/>
  <c r="H197" i="7"/>
  <c r="H202" i="7"/>
  <c r="H204" i="7"/>
  <c r="H237" i="7"/>
  <c r="H165" i="7"/>
  <c r="H201" i="7"/>
  <c r="H184" i="7"/>
  <c r="H174" i="7"/>
  <c r="H149" i="7"/>
  <c r="H166" i="7"/>
  <c r="H198" i="7"/>
  <c r="H153" i="7"/>
  <c r="H139" i="7"/>
  <c r="H240" i="7"/>
  <c r="H231" i="7"/>
  <c r="H208" i="7"/>
  <c r="H179" i="7"/>
  <c r="H217" i="7"/>
  <c r="H215" i="7"/>
  <c r="H219" i="7"/>
  <c r="H238" i="7"/>
  <c r="H235" i="7"/>
  <c r="H151" i="7"/>
  <c r="H224" i="7"/>
  <c r="H158" i="7"/>
  <c r="H251" i="7"/>
  <c r="H213" i="7"/>
  <c r="H187" i="7"/>
  <c r="H203" i="7"/>
  <c r="H176" i="7"/>
  <c r="H236" i="7"/>
  <c r="H209" i="7"/>
  <c r="H141" i="7"/>
  <c r="H12" i="4"/>
  <c r="H207" i="7"/>
  <c r="H173" i="7"/>
  <c r="H143" i="7"/>
  <c r="H200" i="7"/>
  <c r="H223" i="7"/>
  <c r="H162" i="7"/>
  <c r="H142" i="7"/>
  <c r="H190" i="7"/>
  <c r="H154" i="7"/>
  <c r="H186" i="7"/>
  <c r="H216" i="7"/>
  <c r="H222" i="7"/>
  <c r="H169" i="7"/>
  <c r="H177" i="7"/>
  <c r="H250" i="7"/>
  <c r="H159" i="7"/>
  <c r="H199" i="7"/>
  <c r="H163" i="7"/>
  <c r="H214" i="7"/>
  <c r="H150" i="7"/>
  <c r="H185" i="7"/>
  <c r="AL12" i="10"/>
  <c r="H189" i="7"/>
  <c r="H221" i="7"/>
  <c r="H205" i="7"/>
  <c r="H140" i="7"/>
  <c r="H171" i="7"/>
  <c r="H234" i="7"/>
  <c r="H164" i="7"/>
  <c r="H226" i="7"/>
  <c r="H225" i="7"/>
  <c r="H181" i="7"/>
  <c r="H210" i="7"/>
  <c r="H147" i="7"/>
  <c r="H249" i="7"/>
  <c r="H155" i="7"/>
  <c r="H183" i="7"/>
  <c r="H191" i="7"/>
  <c r="H192" i="7"/>
  <c r="H229" i="7"/>
  <c r="H230" i="7"/>
  <c r="H148" i="7"/>
  <c r="H146" i="7"/>
  <c r="H188" i="7"/>
  <c r="H161" i="7"/>
  <c r="H193" i="7"/>
  <c r="H144" i="7"/>
  <c r="H241" i="7"/>
  <c r="H245" i="7"/>
  <c r="H156" i="7"/>
  <c r="H160" i="7"/>
  <c r="H180" i="7"/>
  <c r="H252" i="7"/>
  <c r="H239" i="7"/>
  <c r="H243" i="7"/>
  <c r="H195" i="7"/>
  <c r="H244" i="7"/>
  <c r="H167" i="7"/>
  <c r="H218" i="7"/>
  <c r="H253" i="7"/>
  <c r="H206" i="7"/>
  <c r="H212" i="7"/>
  <c r="H233" i="7"/>
  <c r="H228" i="7"/>
  <c r="H242" i="7"/>
  <c r="H182" i="7"/>
  <c r="H220" i="7"/>
  <c r="H145" i="7"/>
  <c r="H248" i="7"/>
  <c r="H196" i="7"/>
  <c r="H168" i="7"/>
  <c r="H194" i="7"/>
  <c r="H170" i="7"/>
  <c r="BA12" i="10"/>
  <c r="H12" i="5" s="1"/>
  <c r="BP12" i="10"/>
  <c r="Q12" i="5" s="1"/>
  <c r="BZ12" i="10"/>
  <c r="W12" i="5" s="1"/>
  <c r="BU12" i="10"/>
  <c r="T12" i="5" s="1"/>
  <c r="BK12" i="10"/>
  <c r="N12" i="5" s="1"/>
  <c r="BF12" i="10"/>
  <c r="K12" i="5" s="1"/>
  <c r="AV12" i="10"/>
  <c r="E12" i="5" s="1"/>
  <c r="AO8" i="10"/>
  <c r="Q8" i="4" s="1"/>
  <c r="T8" i="4" s="1"/>
  <c r="AR8" i="10"/>
  <c r="AD8" i="4" s="1"/>
  <c r="X8" i="4"/>
  <c r="AM11" i="10"/>
  <c r="P11" i="4" s="1"/>
  <c r="S11" i="4" s="1"/>
  <c r="W11" i="4"/>
  <c r="AQ11" i="10"/>
  <c r="AC11" i="4" s="1"/>
  <c r="AP11" i="10"/>
  <c r="AB11" i="4" s="1"/>
  <c r="AK11" i="10"/>
  <c r="O11" i="4" s="1"/>
  <c r="R11" i="4" s="1"/>
  <c r="V11" i="4"/>
  <c r="W6" i="4"/>
  <c r="AQ6" i="10"/>
  <c r="AC6" i="4" s="1"/>
  <c r="AM6" i="10"/>
  <c r="P6" i="4" s="1"/>
  <c r="S6" i="4" s="1"/>
  <c r="V6" i="4"/>
  <c r="AK6" i="10"/>
  <c r="O6" i="4" s="1"/>
  <c r="R6" i="4" s="1"/>
  <c r="AP6" i="10"/>
  <c r="AB6" i="4" s="1"/>
  <c r="F7" i="6"/>
  <c r="F9" i="6" s="1"/>
  <c r="AO6" i="10"/>
  <c r="Q6" i="4" s="1"/>
  <c r="T6" i="4" s="1"/>
  <c r="X6" i="4"/>
  <c r="AR6" i="10"/>
  <c r="AD6" i="4" s="1"/>
  <c r="G246" i="7"/>
  <c r="G153" i="7"/>
  <c r="G213" i="7"/>
  <c r="G225" i="7"/>
  <c r="G238" i="7"/>
  <c r="G163" i="7"/>
  <c r="G249" i="7"/>
  <c r="G191" i="7"/>
  <c r="G139" i="7"/>
  <c r="G201" i="7"/>
  <c r="G179" i="7"/>
  <c r="G174" i="7"/>
  <c r="G211" i="7"/>
  <c r="G226" i="7"/>
  <c r="G227" i="7"/>
  <c r="G210" i="7"/>
  <c r="G141" i="7"/>
  <c r="G151" i="7"/>
  <c r="G164" i="7"/>
  <c r="G186" i="7"/>
  <c r="G240" i="7"/>
  <c r="G231" i="7"/>
  <c r="G162" i="7"/>
  <c r="G216" i="7"/>
  <c r="G203" i="7"/>
  <c r="G154" i="7"/>
  <c r="G189" i="7"/>
  <c r="G185" i="7"/>
  <c r="G172" i="7"/>
  <c r="G199" i="7"/>
  <c r="G198" i="7"/>
  <c r="G149" i="7"/>
  <c r="G232" i="7"/>
  <c r="G140" i="7"/>
  <c r="G158" i="7"/>
  <c r="G181" i="7"/>
  <c r="G222" i="7"/>
  <c r="G219" i="7"/>
  <c r="G152" i="7"/>
  <c r="G197" i="7"/>
  <c r="AJ12" i="10"/>
  <c r="G177" i="7"/>
  <c r="G250" i="7"/>
  <c r="G157" i="7"/>
  <c r="G176" i="7"/>
  <c r="G236" i="7"/>
  <c r="G215" i="7"/>
  <c r="G169" i="7"/>
  <c r="G173" i="7"/>
  <c r="G12" i="4"/>
  <c r="G235" i="7"/>
  <c r="G183" i="7"/>
  <c r="G251" i="7"/>
  <c r="G155" i="7"/>
  <c r="G143" i="7"/>
  <c r="G202" i="7"/>
  <c r="G147" i="7"/>
  <c r="G234" i="7"/>
  <c r="G237" i="7"/>
  <c r="G184" i="7"/>
  <c r="G207" i="7"/>
  <c r="G150" i="7"/>
  <c r="G178" i="7"/>
  <c r="G221" i="7"/>
  <c r="G175" i="7"/>
  <c r="G204" i="7"/>
  <c r="G205" i="7"/>
  <c r="G187" i="7"/>
  <c r="G208" i="7"/>
  <c r="G224" i="7"/>
  <c r="G190" i="7"/>
  <c r="G247" i="7"/>
  <c r="G200" i="7"/>
  <c r="G165" i="7"/>
  <c r="G223" i="7"/>
  <c r="G209" i="7"/>
  <c r="G217" i="7"/>
  <c r="G142" i="7"/>
  <c r="G214" i="7"/>
  <c r="G159" i="7"/>
  <c r="G166" i="7"/>
  <c r="G171" i="7"/>
  <c r="G243" i="7"/>
  <c r="G212" i="7"/>
  <c r="G196" i="7"/>
  <c r="G228" i="7"/>
  <c r="G233" i="7"/>
  <c r="G230" i="7"/>
  <c r="G252" i="7"/>
  <c r="G161" i="7"/>
  <c r="G253" i="7"/>
  <c r="G229" i="7"/>
  <c r="G160" i="7"/>
  <c r="G168" i="7"/>
  <c r="G245" i="7"/>
  <c r="G192" i="7"/>
  <c r="G239" i="7"/>
  <c r="G180" i="7"/>
  <c r="G188" i="7"/>
  <c r="G146" i="7"/>
  <c r="G248" i="7"/>
  <c r="G170" i="7"/>
  <c r="G244" i="7"/>
  <c r="G193" i="7"/>
  <c r="G182" i="7"/>
  <c r="G195" i="7"/>
  <c r="G144" i="7"/>
  <c r="G194" i="7"/>
  <c r="G218" i="7"/>
  <c r="G242" i="7"/>
  <c r="G220" i="7"/>
  <c r="G156" i="7"/>
  <c r="G167" i="7"/>
  <c r="G145" i="7"/>
  <c r="G241" i="7"/>
  <c r="G148" i="7"/>
  <c r="G206" i="7"/>
  <c r="BO12" i="10"/>
  <c r="P12" i="5" s="1"/>
  <c r="AZ12" i="10"/>
  <c r="G12" i="5" s="1"/>
  <c r="BJ12" i="10"/>
  <c r="M12" i="5" s="1"/>
  <c r="BY12" i="10"/>
  <c r="V12" i="5" s="1"/>
  <c r="BT12" i="10"/>
  <c r="S12" i="5" s="1"/>
  <c r="AU12" i="10"/>
  <c r="D12" i="5" s="1"/>
  <c r="BE12" i="10"/>
  <c r="J12" i="5" s="1"/>
  <c r="AO11" i="10"/>
  <c r="Q11" i="4" s="1"/>
  <c r="T11" i="4" s="1"/>
  <c r="X11" i="4"/>
  <c r="AR11" i="10"/>
  <c r="AD11" i="4" s="1"/>
  <c r="H7" i="6"/>
  <c r="H9" i="6" s="1"/>
  <c r="G7" i="6" l="1"/>
  <c r="G9" i="6" s="1"/>
  <c r="F20" i="6"/>
  <c r="F11" i="6"/>
  <c r="F12" i="6"/>
  <c r="F13" i="6"/>
  <c r="AO12" i="10"/>
  <c r="Q12" i="4" s="1"/>
  <c r="T12" i="4" s="1"/>
  <c r="AR12" i="10"/>
  <c r="AD12" i="4" s="1"/>
  <c r="X12" i="4"/>
  <c r="H11" i="6"/>
  <c r="H12" i="6"/>
  <c r="H20" i="6"/>
  <c r="H13" i="6"/>
  <c r="H18" i="6" s="1"/>
  <c r="AM12" i="10"/>
  <c r="P12" i="4" s="1"/>
  <c r="S12" i="4" s="1"/>
  <c r="W12" i="4"/>
  <c r="AQ12" i="10"/>
  <c r="AC12" i="4" s="1"/>
  <c r="V12" i="4"/>
  <c r="AK12" i="10"/>
  <c r="O12" i="4" s="1"/>
  <c r="R12" i="4" s="1"/>
  <c r="AP12" i="10"/>
  <c r="AB12" i="4" s="1"/>
  <c r="G11" i="6" l="1"/>
  <c r="G12" i="6"/>
  <c r="G13" i="6"/>
  <c r="G20" i="6"/>
  <c r="F14" i="6"/>
  <c r="H14" i="6"/>
  <c r="H19" i="6" s="1"/>
  <c r="F16" i="6"/>
  <c r="F17" i="6" s="1"/>
  <c r="F19" i="6"/>
  <c r="F18" i="6"/>
  <c r="H16" i="6" l="1"/>
  <c r="H17" i="6" s="1"/>
  <c r="G18" i="6"/>
  <c r="G14" i="6"/>
  <c r="G16" i="6" l="1"/>
  <c r="G17" i="6" s="1"/>
  <c r="G19" i="6"/>
</calcChain>
</file>

<file path=xl/sharedStrings.xml><?xml version="1.0" encoding="utf-8"?>
<sst xmlns="http://schemas.openxmlformats.org/spreadsheetml/2006/main" count="573" uniqueCount="413">
  <si>
    <t>Instantaneu pentru comparație. Actualizează-l când verifici din nou platformele.</t>
  </si>
  <si>
    <t>ID sezon</t>
  </si>
  <si>
    <t>Perioadă</t>
  </si>
  <si>
    <t>Booking Standard Rate</t>
  </si>
  <si>
    <t>Airbnb preț/noapte</t>
  </si>
  <si>
    <t>Travelminit tarif standard</t>
  </si>
  <si>
    <t>Note</t>
  </si>
  <si>
    <t>vara-toamna-2026</t>
  </si>
  <si>
    <t>22.10 – 30.11.2026</t>
  </si>
  <si>
    <t>iarna-2026</t>
  </si>
  <si>
    <t>01.12 – 20.12.2026</t>
  </si>
  <si>
    <t>Craciun-2026</t>
  </si>
  <si>
    <t>21.12 – 27.12.2026</t>
  </si>
  <si>
    <t>Revelion-2026-2027</t>
  </si>
  <si>
    <t>28.12.2026 – 04.01.2027</t>
  </si>
  <si>
    <t>iarna-2027</t>
  </si>
  <si>
    <t>05.01 – 14.02.2027</t>
  </si>
  <si>
    <t>Vacanta-schi-2027</t>
  </si>
  <si>
    <t>15.02 – 07.03.2027</t>
  </si>
  <si>
    <t>primavara-2027</t>
  </si>
  <si>
    <t>08.03 – 30.06.2027</t>
  </si>
  <si>
    <t>Comisioane și setări observate</t>
  </si>
  <si>
    <t>Booking, rezervarea 1 – suma comisionabilă 3.633 lei, comision și costuri 596,55 lei (16,4%); total oaspete 3.969 lei (taxe locale 336 lei incluse, scăzute din baza de comision).</t>
  </si>
  <si>
    <t>Booking, rezervarea 2 – 1.362 lei comisionabil, 223,25 lei comision (16,4%); rezervarea 3 – 2.253 lei, 368,49 lei (16,4%).</t>
  </si>
  <si>
    <t>Travelminit: nivel de comision net 12%; reducere pe mobil NEactivă (verificat 22.10.2026); nopți minime 2 peste tot (22.10–30.11 setat pe 22.10.2026, cu politica standard), Crăciun 3 / Revelion 4 cu politica „sarbatori”; 12 reduceri „Reducere generală” 10/12/15/20/25/33% pe nopțile 22.10–20.12.2026 și 05.01–30.06.2027, necombinabile între ele.</t>
  </si>
  <si>
    <t>Site: tarifele din pricing/tarife.xlsx; taxe locale 7 + 5 lei/adult/noapte incluse în preț; nu există sezon după 07.03.2027.</t>
  </si>
  <si>
    <t>Setări – comisioane, TVA, taxe, reduceri</t>
  </si>
  <si>
    <t>Se modifică rar. Celulele galbene se pot schimba; prețurile pentru platforme se recalculează singure în „Prețuri de setat”.</t>
  </si>
  <si>
    <t>Taxe și TVA</t>
  </si>
  <si>
    <t>Cota TVA pentru cazare</t>
  </si>
  <si>
    <t>Cota redusă pentru cazare din 01.08.2025 (Legea 141/2025), menținută în 2026. Platformele iau comisionul pe prețul cu TVA, dar TVA-ul îl plătești tu → intră în calcul. Dacă se schimbă cota, schimbi doar aici.</t>
  </si>
  <si>
    <t>Taxă turistică / adult / noapte</t>
  </si>
  <si>
    <t>Incluse în preț, doar pentru adulți (ca pe site: TAX_TOURIST).</t>
  </si>
  <si>
    <t>Taxă Salvamont / adult / noapte</t>
  </si>
  <si>
    <t>Inclusă în preț (TAX_SALVAMONT).</t>
  </si>
  <si>
    <t>Adulți luați în calcul (ocupare tipică)</t>
  </si>
  <si>
    <t>Taxele locale pe noapte se calculează pentru acest număr de adulți.</t>
  </si>
  <si>
    <t>Taxe locale / noapte (calculat)</t>
  </si>
  <si>
    <t>Strategie</t>
  </si>
  <si>
    <t>Avantaj site: câștigul pe site mai mare decât pe platforme cu</t>
  </si>
  <si>
    <t>Câștigul țintă pe fiecare platformă = câștigul real de pe site ÷ (1 + acest procent). 0% = câștig egal peste tot.</t>
  </si>
  <si>
    <t>Verificare: roșu sub (% din câștigul țintă)</t>
  </si>
  <si>
    <t>Pragul folosit în „Prețuri de setat” și „Verificare sejururi”.</t>
  </si>
  <si>
    <t>Supliment tarif flexibil pe site</t>
  </si>
  <si>
    <t>Doar pentru „Simulator”. Pe site e constanta FLEX_MARKUP_PCT din script.js și rezervari.gs.</t>
  </si>
  <si>
    <t>Scara standard de reduceri pe durată (perioadele „Standard”)</t>
  </si>
  <si>
    <t>Nopți</t>
  </si>
  <si>
    <t>2 nopți</t>
  </si>
  <si>
    <t>3 nopți</t>
  </si>
  <si>
    <t>4 nopți</t>
  </si>
  <si>
    <t>5 nopți</t>
  </si>
  <si>
    <t>6 nopți</t>
  </si>
  <si>
    <t>7+ nopți</t>
  </si>
  <si>
    <t>Scara standard</t>
  </si>
  <si>
    <t>Se aplică pe site, pe Booking (planurile „2 zile” … „7 zile”), pe Travelminit („Reducere generală”) și pe Airbnb („Trip length” 2–6 nopți). Dacă o schimbi aici, o schimbi și pe platforme (vezi „Checklist”).</t>
  </si>
  <si>
    <t>Platforme</t>
  </si>
  <si>
    <t>Setare</t>
  </si>
  <si>
    <t>Site direct</t>
  </si>
  <si>
    <t>Booking.com</t>
  </si>
  <si>
    <t>Airbnb</t>
  </si>
  <si>
    <t>Travelminit</t>
  </si>
  <si>
    <t>Sursă / explicație</t>
  </si>
  <si>
    <t>Comision platformă</t>
  </si>
  <si>
    <t>—</t>
  </si>
  <si>
    <t>Booking 15% (verificat la ban pe 3 rezervări reale). Airbnb: taxă unică 15,5% (obligatorie în UE din 13.10.2026; editorul Airbnb: 1.480 lei → câștigi 1.251 lei). Travelminit: comision standard 12% + TVA (TCG 21.01.2026, art. 61).</t>
  </si>
  <si>
    <t>Supliment de comision (ex. rezervări „la cerere”, poziție mai bună)</t>
  </si>
  <si>
    <t>Travelminit: +2% la rezervările „la cerere”; poți urca singur comisionul ca să urci în listă (art. 64). Booking: „Preferred” ≈ +3%.</t>
  </si>
  <si>
    <t>Comisionul se ia fără taxele locale? (1=da, 0=nu)</t>
  </si>
  <si>
    <t>Booking scade taxa turistică + Salvamont din suma comisionabilă (ex. 3.969 lei total → 3.633 lei comisionabil). Airbnb și Travelminit iau comision pe tot, fiindcă taxele sunt incluse în preț.</t>
  </si>
  <si>
    <t>Cost procesare plată (% din totalul plătit de oaspete)</t>
  </si>
  <si>
    <t>Booking: 1,3% din total (Plăți prin Booking.com) — 15% × 3.633 + 1,3% × 3.969 = 596,55 lei, exact suma reținută. Site: 0 la transfer bancar (pune % dacă încasezi cu cardul). Travelminit: încasezi tu, fără cost.</t>
  </si>
  <si>
    <t>TVA nerecuperabil pe comision</t>
  </si>
  <si>
    <t>0 când firma are codul de TVA trecut în cont (taxare inversă la Booking/Airbnb, TVA deductibil la Travelminit). Airbnb: pune 21% dacă în cont NU e trecut codul de TVA RO15288158.</t>
  </si>
  <si>
    <t>Reducere automată a platformei (mobil / Genius)</t>
  </si>
  <si>
    <t>Booking: „Mobile rate 10%” activ din 07.06.2026; Genius neactiv. Dacă pornești și Genius 10%, pune reducerea combinată: 1 − 0,9 × 0,9 = 19%.</t>
  </si>
  <si>
    <t>Ponderea oaspeților care primesc reducerea automată</t>
  </si>
  <si>
    <t>100% = prețul e ridicat ca și oaspetele de pe telefon să-ți lase câștigul țintă (cei de pe calculator plătesc mai mult). 70% = compensare pe medie.</t>
  </si>
  <si>
    <t>Aplică reducerile pe durată din „Perioade”? (1=da, 0=nu)</t>
  </si>
  <si>
    <t>da</t>
  </si>
  <si>
    <t>Booking: planurile derivate „2 zile” … „7 zile”; Travelminit: „Reducere generală” pe intervalele perioadelor; Airbnb: „Trip length” 2–6 nopți + săptămânal/lunar, GLOBALE (se aplică pe tot anul, și la perioadele cu preț fix).</t>
  </si>
  <si>
    <t>Rotunjire în sus la (lei)</t>
  </si>
  <si>
    <t>Prețurile calculate se rotunjesc în sus la multiplu de 10 lei.</t>
  </si>
  <si>
    <t>Airbnb – reduceri globale</t>
  </si>
  <si>
    <t>Reduceri „Trip length” 2–6 nopți</t>
  </si>
  <si>
    <t>ca scara standard</t>
  </si>
  <si>
    <t>Airbnb → Calendar → Settings → Discounts → Trip length: aceleași procente ca scara standard (2–6 nopți).</t>
  </si>
  <si>
    <t>Reducere săptămânală (7+ nopți)</t>
  </si>
  <si>
    <t>Implicit = treapta 7+ din scara standard, dar cel mult reducerea lunară − 1% (Airbnb cere săptămânal &lt; lunar): azi 32%. Poți scrie peste formulă un procent fix.</t>
  </si>
  <si>
    <t>Reducere lunară (28+ nopți)</t>
  </si>
  <si>
    <t>Pondere sugestie Airbnb (0% = câștig țintă, 100% = exact sugestia)</t>
  </si>
  <si>
    <t>Se aplică doar perioadelor cu sugestie completată în „Perioade” (coloana O).</t>
  </si>
  <si>
    <t>Câștig minim pe Airbnb când urmezi sugestia (% din câștigul de pe site)</t>
  </si>
  <si>
    <t>Plasă de siguranță: prețul Airbnb nu coboară sub nivelul la care ai câștiga mai puțin de atât.</t>
  </si>
  <si>
    <t>Costuri pe sejur (pentru profit; nu schimbă prețurile)</t>
  </si>
  <si>
    <t>Curățenie / sejur</t>
  </si>
  <si>
    <t>Din „Pret apartament.xlsx”. Sunt aceleași pe orice canal, deci nu schimbă prețurile de pe platforme; apar ca profit în „Verificare sejururi” și „Simulator”.</t>
  </si>
  <si>
    <t>Spălătorie lenjerie / sejur</t>
  </si>
  <si>
    <t>Spălătorie la sejururi de 7+ nopți</t>
  </si>
  <si>
    <t>Consumabile / sejur (săpun, hârtie, apă, vin)</t>
  </si>
  <si>
    <t>Liste (meniuri)</t>
  </si>
  <si>
    <t>Standard</t>
  </si>
  <si>
    <t>Preț fix</t>
  </si>
  <si>
    <t>Personalizat</t>
  </si>
  <si>
    <t>Flexibil 14 zile</t>
  </si>
  <si>
    <t>Nerambursabil</t>
  </si>
  <si>
    <t>Flexibil 7 zile</t>
  </si>
  <si>
    <t>Moderat</t>
  </si>
  <si>
    <t>Perioade – singurul loc unde scrii prețurile</t>
  </si>
  <si>
    <t>Pentru fiecare perioadă: datele, prețul tău pe site / noapte (cu taxele locale incluse, înainte de reduceri), nopțile minime și tipul reducerilor. Prețurile pentru Booking, Airbnb și Travelminit apar în „Prețuri de setat”.</t>
  </si>
  <si>
    <t>Reduceri: Standard = scara din „Setări” · Preț fix = fără reduceri pe durată (sărbători) · Personalizat = procentele tale în coloanele H–M. Perioadele în ordine cronologică, fără suprapuneri; rânduri libere până la 40.</t>
  </si>
  <si>
    <t>Reduceri personalizate (doar la „Personalizat”)</t>
  </si>
  <si>
    <t>Reducerea aplicată pe site (calculat)</t>
  </si>
  <si>
    <t>ID perioadă</t>
  </si>
  <si>
    <t>Denumire</t>
  </si>
  <si>
    <t>Data început</t>
  </si>
  <si>
    <t>Data sfârșit</t>
  </si>
  <si>
    <t>Preț site / noapte</t>
  </si>
  <si>
    <t>Nopți minime</t>
  </si>
  <si>
    <t>Reduceri</t>
  </si>
  <si>
    <t>Politică anulare (platforme)</t>
  </si>
  <si>
    <t>Sugestie Airbnb (opțional)</t>
  </si>
  <si>
    <t>Observații</t>
  </si>
  <si>
    <t>Stare</t>
  </si>
  <si>
    <t>Sezon vară</t>
  </si>
  <si>
    <t>Sezon iarnă</t>
  </si>
  <si>
    <t>Sărbători: fără reduceri pe durată</t>
  </si>
  <si>
    <t>Sezon primăvară</t>
  </si>
  <si>
    <t>Adăugat 21.10.2026 (cerut de Mircea). După 30.06.2027 nu există sezon pe site → rezervări directe blocate</t>
  </si>
  <si>
    <t>Calcule (intern) – pașii calculului, rând cu rând ca în „Perioade”. Nu scrie aici.</t>
  </si>
  <si>
    <t>Airbnb, reducere globală →</t>
  </si>
  <si>
    <t>Reduceri (tip)</t>
  </si>
  <si>
    <t>Prag 2 nopți</t>
  </si>
  <si>
    <t>Prag 3 nopți</t>
  </si>
  <si>
    <t>Prag 4 nopți</t>
  </si>
  <si>
    <t>Prag 5 nopți</t>
  </si>
  <si>
    <t>Prag 6 nopți</t>
  </si>
  <si>
    <t>Prag 7+ nopți</t>
  </si>
  <si>
    <t>Reducere la 2 nopți</t>
  </si>
  <si>
    <t>Reducere la 3 nopți</t>
  </si>
  <si>
    <t>Reducere la 4 nopți</t>
  </si>
  <si>
    <t>Reducere la 5 nopți</t>
  </si>
  <si>
    <t>Reducere la 6 nopți</t>
  </si>
  <si>
    <t>Reducere la 7+ nopți</t>
  </si>
  <si>
    <t>Are reduceri (1/0)</t>
  </si>
  <si>
    <t>Reducere la sejurul minim</t>
  </si>
  <si>
    <t>Site: plătește oaspetele / noapte (sejur minim)</t>
  </si>
  <si>
    <t>Site: câștig real / noapte</t>
  </si>
  <si>
    <t>Câștig țintă / noapte</t>
  </si>
  <si>
    <t>Booking: comision efectiv (cu supliment, TVA nerecuperabil)</t>
  </si>
  <si>
    <t>Booking: plătește oaspetele pentru câștigul țintă</t>
  </si>
  <si>
    <t>Booking: reducere pe durată la sejurul minim</t>
  </si>
  <si>
    <t>BOOKING preț de setat</t>
  </si>
  <si>
    <t>Airbnb: comision efectiv (cu supliment, TVA nerecuperabil)</t>
  </si>
  <si>
    <t>Airbnb: plătește oaspetele pentru câștigul țintă</t>
  </si>
  <si>
    <t>Airbnb: reducere globală la sejurul minim</t>
  </si>
  <si>
    <t>Airbnb: preț pentru câștigul țintă</t>
  </si>
  <si>
    <t>Airbnb: preț minim (dacă urmezi sugestia)</t>
  </si>
  <si>
    <t>AIRBNB preț / noapte</t>
  </si>
  <si>
    <t>Travelminit: comision efectiv (cu supliment, TVA nerecuperabil)</t>
  </si>
  <si>
    <t>Travelminit: plătește oaspetele pentru câștigul țintă</t>
  </si>
  <si>
    <t>Travelminit: reducere pe durată la sejurul minim</t>
  </si>
  <si>
    <t>TRAVELMINIT preț de setat</t>
  </si>
  <si>
    <t>Booking: plătește oaspetele (sejur minim, cu prețul rotunjit)</t>
  </si>
  <si>
    <t>Booking: câștig real / noapte (sejur minim)</t>
  </si>
  <si>
    <t>Airbnb: plătește oaspetele (sejur minim, cu prețul rotunjit)</t>
  </si>
  <si>
    <t>Airbnb: câștig real / noapte (sejur minim)</t>
  </si>
  <si>
    <t>Travelminit: plătește oaspetele (sejur minim, cu prețul rotunjit)</t>
  </si>
  <si>
    <t>Travelminit: câștig real / noapte (sejur minim)</t>
  </si>
  <si>
    <t>Booking: comision + plată, din venitul real (fără TVA și taxe)</t>
  </si>
  <si>
    <t>Airbnb: comision + plată, din venitul real (fără TVA și taxe)</t>
  </si>
  <si>
    <t>Travelminit: comision + plată, din venitul real (fără TVA și taxe)</t>
  </si>
  <si>
    <t>Scara (text)</t>
  </si>
  <si>
    <t>2 n: câștig țintă</t>
  </si>
  <si>
    <t>2 n: câștig Booking</t>
  </si>
  <si>
    <t>2 n: câștig Airbnb</t>
  </si>
  <si>
    <t>2 n: câștig Travelminit</t>
  </si>
  <si>
    <t>2 n: profit / noapte pe site după costuri</t>
  </si>
  <si>
    <t>3 n: câștig țintă</t>
  </si>
  <si>
    <t>3 n: câștig Booking</t>
  </si>
  <si>
    <t>3 n: câștig Airbnb</t>
  </si>
  <si>
    <t>3 n: câștig Travelminit</t>
  </si>
  <si>
    <t>3 n: profit / noapte pe site după costuri</t>
  </si>
  <si>
    <t>4 n: câștig țintă</t>
  </si>
  <si>
    <t>4 n: câștig Booking</t>
  </si>
  <si>
    <t>4 n: câștig Airbnb</t>
  </si>
  <si>
    <t>4 n: câștig Travelminit</t>
  </si>
  <si>
    <t>4 n: profit / noapte pe site după costuri</t>
  </si>
  <si>
    <t>5 n: câștig țintă</t>
  </si>
  <si>
    <t>5 n: câștig Booking</t>
  </si>
  <si>
    <t>5 n: câștig Airbnb</t>
  </si>
  <si>
    <t>5 n: câștig Travelminit</t>
  </si>
  <si>
    <t>5 n: profit / noapte pe site după costuri</t>
  </si>
  <si>
    <t>6 n: câștig țintă</t>
  </si>
  <si>
    <t>6 n: câștig Booking</t>
  </si>
  <si>
    <t>6 n: câștig Airbnb</t>
  </si>
  <si>
    <t>6 n: câștig Travelminit</t>
  </si>
  <si>
    <t>6 n: profit / noapte pe site după costuri</t>
  </si>
  <si>
    <t>7 n: câștig țintă</t>
  </si>
  <si>
    <t>7 n: câștig Booking</t>
  </si>
  <si>
    <t>7 n: câștig Airbnb</t>
  </si>
  <si>
    <t>7 n: câștig Travelminit</t>
  </si>
  <si>
    <t>7 n: profit / noapte pe site după costuri</t>
  </si>
  <si>
    <t>14 n: câștig țintă</t>
  </si>
  <si>
    <t>14 n: câștig Booking</t>
  </si>
  <si>
    <t>14 n: câștig Airbnb</t>
  </si>
  <si>
    <t>14 n: câștig Travelminit</t>
  </si>
  <si>
    <t>14 n: profit / noapte pe site după costuri</t>
  </si>
  <si>
    <t>Prețuri de setat pe fiecare platformă</t>
  </si>
  <si>
    <t>Calculat din „Perioade” + „Setări”: pe fiecare platformă îți rămâne câștigul țintă (câștigul real de pe site ÷ (1 + avantajul site-ului)), după TVA, comision, costul plății și reducerile aplicate de platformă. Calculul se face la sejurul minim al perioadei.</t>
  </si>
  <si>
    <t>Coloanele ACUM vin din „Date actuale” (ce e setat azi pe platforme); roșu = diferă de prețul calculat. Comparația „Direct economisești” de pe site folosește coloanele ACUM.</t>
  </si>
  <si>
    <t>PERIOADA</t>
  </si>
  <si>
    <t>CE SETEZI</t>
  </si>
  <si>
    <t>CÂȘTIG REAL / NOAPTE (sejur minim; fără TVA, taxe, comision)</t>
  </si>
  <si>
    <t>OASPETELE PLĂTEȘTE / NOAPTE</t>
  </si>
  <si>
    <t>SETAT ACUM</t>
  </si>
  <si>
    <t>CÂT IA PLATFORMA</t>
  </si>
  <si>
    <t>De la</t>
  </si>
  <si>
    <t>Până la</t>
  </si>
  <si>
    <t>Nopți min.</t>
  </si>
  <si>
    <t>SITE
preț / noapte</t>
  </si>
  <si>
    <t>BOOKING
Standard Rate</t>
  </si>
  <si>
    <t>AIRBNB
preț / noapte</t>
  </si>
  <si>
    <t>TRAVELMINIT
preț / noapte</t>
  </si>
  <si>
    <t>Booking – planuri</t>
  </si>
  <si>
    <t>Airbnb – observație</t>
  </si>
  <si>
    <t>Travelminit – reduceri</t>
  </si>
  <si>
    <t>Câștig țintă</t>
  </si>
  <si>
    <t>Site</t>
  </si>
  <si>
    <t>Booking</t>
  </si>
  <si>
    <t>Booking
% țintă</t>
  </si>
  <si>
    <t>Airbnb
% țintă</t>
  </si>
  <si>
    <t>Travelminit
% țintă</t>
  </si>
  <si>
    <t>Booking
ACUM</t>
  </si>
  <si>
    <t>Airbnb
ACUM</t>
  </si>
  <si>
    <t>Travelminit
ACUM</t>
  </si>
  <si>
    <t>Politică anulare</t>
  </si>
  <si>
    <t>Verificare sejururi – cât îți rămâne pe fiecare platformă, la fiecare durată</t>
  </si>
  <si>
    <t>Procent din câștigul țintă la aceeași durată (câștigul real de pe site ÷ (1 + avantajul site-ului)), cu tot sejurul în aceeași perioadă. Verde = cel puțin pragul din „Setări”; roșu = platforma îți lasă mai puțin decât ai vrut; peste 100% = platforma e mai scumpă decât era nevoie.</t>
  </si>
  <si>
    <t>Roșul apare de obicei la Airbnb pe perioadele cu preț fix sau personalizate: reducerile Airbnb sunt globale. Sejururile care trec dintr-o perioadă în alta: vezi „Simulator”. În dreapta: profitul pe noapte pe site după curățenie, spălătorie și consumabile.</t>
  </si>
  <si>
    <t>7 nopți</t>
  </si>
  <si>
    <t>14 nopți</t>
  </si>
  <si>
    <t>Profit / noapte pe site după costuri</t>
  </si>
  <si>
    <t>Simulator rezervare – cât plătește oaspetele și cât îți rămâne</t>
  </si>
  <si>
    <t>Modifică celulele galbene. Prețul se calculează pe fiecare noapte după perioada ei; reducerea pe durată și nopțile minime după perioada zilei de check-in (ca pe site). Nopțile din perioadele cu preț fix nu primesc reducere (site, Booking, Travelminit); Airbnb aplică reducerea globală pe tot.</t>
  </si>
  <si>
    <t>Check-in</t>
  </si>
  <si>
    <t>Nopți (max. 30)</t>
  </si>
  <si>
    <t>Adulți</t>
  </si>
  <si>
    <t>Oaspete Booking cu reducerea automată (mobil)? 1=da</t>
  </si>
  <si>
    <t>Tarif flexibil pe site (+10%)? 1=da</t>
  </si>
  <si>
    <t>Check-out</t>
  </si>
  <si>
    <t>Perioada zilei de check-in</t>
  </si>
  <si>
    <t>Nopți minime în perioadă</t>
  </si>
  <si>
    <t>Reducere pe durată (site, Booking, Travelminit)</t>
  </si>
  <si>
    <t>Reducere globală Airbnb</t>
  </si>
  <si>
    <t>Verificare sejur</t>
  </si>
  <si>
    <t>Preț nopți (fără reduceri)</t>
  </si>
  <si>
    <t>Reducere pe durată</t>
  </si>
  <si>
    <t>Reducere automată (mobil / Genius)</t>
  </si>
  <si>
    <t>Supliment tarif flexibil (site)</t>
  </si>
  <si>
    <t>PLĂTEȘTE OASPETELE</t>
  </si>
  <si>
    <t>Taxe locale (turistică + Salvamont)</t>
  </si>
  <si>
    <t>TVA cazare</t>
  </si>
  <si>
    <t>Cost procesare plată</t>
  </si>
  <si>
    <t>CÂȘTIG REAL (fără TVA, taxe, comision)</t>
  </si>
  <si>
    <t>Costuri sejur (curățenie, spălătorie, consumabile)</t>
  </si>
  <si>
    <t>PROFIT SEJUR</t>
  </si>
  <si>
    <t>Profit / noapte</t>
  </si>
  <si>
    <t>Cât ia platforma (din venitul real)</t>
  </si>
  <si>
    <t>Câștig real față de site</t>
  </si>
  <si>
    <t>Oaspetele economisește pe site față de</t>
  </si>
  <si>
    <t>Detaliu pe nopți</t>
  </si>
  <si>
    <t>Noapte</t>
  </si>
  <si>
    <t>Data</t>
  </si>
  <si>
    <t>rând (intern)</t>
  </si>
  <si>
    <t>Cu reduceri</t>
  </si>
  <si>
    <t>Calendar zilnic – preț pe noapte pe fiecare canal (12 luni)</t>
  </si>
  <si>
    <t>Prima zi:</t>
  </si>
  <si>
    <t>Prețurile de setat (nu cele plătite după reduceri). Util când introduci prețuri pe intervale în extranet.</t>
  </si>
  <si>
    <t>Zi</t>
  </si>
  <si>
    <t>Checklist sincronizare platforme</t>
  </si>
  <si>
    <t>După fiecare modificare în „Perioade” sau „Setări”, parcurge lista. Valorile vin din „Prețuri de setat”.</t>
  </si>
  <si>
    <t>Platformă</t>
  </si>
  <si>
    <t>Ce setezi</t>
  </si>
  <si>
    <t>Unde (meniu)</t>
  </si>
  <si>
    <t>Valoare / regulă</t>
  </si>
  <si>
    <t>Prețuri, nopți minime, reduceri</t>
  </si>
  <si>
    <t>Salvezi fișierul și îl copiezi ca pricing/tarife.xlsx în repo → git push</t>
  </si>
  <si>
    <t>Automat din foaia „Export site”</t>
  </si>
  <si>
    <t>De făcut</t>
  </si>
  <si>
    <t>Standard Rate pe fiecare perioadă</t>
  </si>
  <si>
    <t>Extranet → Tarife și disponibilitate → Calendar</t>
  </si>
  <si>
    <t>„Prețuri de setat”, coloana G</t>
  </si>
  <si>
    <t>Planurile „2 zile” … „7 zile”</t>
  </si>
  <si>
    <t>Extranet → Planuri tarifare</t>
  </si>
  <si>
    <t>Aceleași procente ca scara standard din „Setări”; deschise pe perioadele Standard, închise pe cele cu preț fix (coloana J)</t>
  </si>
  <si>
    <t>Plan „Sarbatori – Nerambursabil”</t>
  </si>
  <si>
    <t>Calendar</t>
  </si>
  <si>
    <t>Deschis doar pe perioadele cu preț fix, cu prețul din coloana G</t>
  </si>
  <si>
    <t>Perioade „Personalizat”</t>
  </si>
  <si>
    <t>Set separat de planuri derivate cu procentele perioadei (coloana J), deschis doar pe perioada respectivă</t>
  </si>
  <si>
    <t>Nopți minime pe perioadă</t>
  </si>
  <si>
    <t>Calendar → Restricții (pe intervalul perioadei)</t>
  </si>
  <si>
    <t>„Prețuri de setat”, coloana D</t>
  </si>
  <si>
    <t>Mobile rate</t>
  </si>
  <si>
    <t>Promoții → Tarife specifice</t>
  </si>
  <si>
    <t>Ca în „Setări” (reducerea automată Booking, azi 10%). Dacă o schimbi, schimbi și în „Setări”</t>
  </si>
  <si>
    <t>Preț pe noapte pe fiecare perioadă</t>
  </si>
  <si>
    <t>Calendar → selectezi intervalul → Preț</t>
  </si>
  <si>
    <t>„Prețuri de setat”, coloana H (perioadele cu preț fix sunt deja urcate pentru reducerile globale)</t>
  </si>
  <si>
    <t>Preț de bază (zilele fără preț personalizat)</t>
  </si>
  <si>
    <t>Editor anunț → Prețuri → Preț de bază</t>
  </si>
  <si>
    <t>Cel mai mic preț Airbnb din an (plasă de siguranță)</t>
  </si>
  <si>
    <t>Reduceri Trip length / săptămânal / lunar</t>
  </si>
  <si>
    <t>Calendar → Settings → Discounts</t>
  </si>
  <si>
    <t>Trip length 2–6 nopți = scara standard; săptămânal și lunar din „Setări”</t>
  </si>
  <si>
    <t>Calendar → Disponibilitate → Durata sejurului</t>
  </si>
  <si>
    <t>Tarif standard pe fiecare perioadă</t>
  </si>
  <si>
    <t>Tarife și capacitate → tabel (perioadă)</t>
  </si>
  <si>
    <t>„Prețuri de setat”, coloana I</t>
  </si>
  <si>
    <t>Reduceri pe durată („Reducere generală”)</t>
  </si>
  <si>
    <t>Reduceri / promoții</t>
  </si>
  <si>
    <t>Pe intervalele și cu procentele din coloana L; „În zilele de ședere”, necombinabile; fără reduceri pe perioadele cu preț fix</t>
  </si>
  <si>
    <t>Condiții de rezervare → Număr minim de nopți</t>
  </si>
  <si>
    <t>Politica „sarbatori” (avans/anulare)</t>
  </si>
  <si>
    <t>Avans și anulare</t>
  </si>
  <si>
    <t>Doar pe perioadele cu preț fix</t>
  </si>
  <si>
    <t>Toate</t>
  </si>
  <si>
    <t>Ce ai setat</t>
  </si>
  <si>
    <t>Foaia „Date actuale”</t>
  </si>
  <si>
    <t>Treci prețurile setate (coloanele C–E) și data verificării în titlu; altfel comparația „Direct economisești” de pe site devine falsă</t>
  </si>
  <si>
    <t>Perioade fără preț</t>
  </si>
  <si>
    <t>Foaia „Verificare”</t>
  </si>
  <si>
    <t>Adaugă perioada următoare înainte să se termine ultima (azi: 30.06.2027); zilele fără perioadă sunt blocate pe site</t>
  </si>
  <si>
    <t>Verificare perioade</t>
  </si>
  <si>
    <t>Ordine, suprapuneri, goluri, nopți minime, tipul reducerilor, preț. Rezultatul apare și în „Perioade”, coloana Stare.</t>
  </si>
  <si>
    <t>Început</t>
  </si>
  <si>
    <t>Sfârșit</t>
  </si>
  <si>
    <t>Ordine și suprapunere</t>
  </si>
  <si>
    <t>Gol până la perioada următoare (zile)</t>
  </si>
  <si>
    <t>Nopți minime și reduceri</t>
  </si>
  <si>
    <t>Preț</t>
  </si>
  <si>
    <t>Ultima zi cu tarif pe site</t>
  </si>
  <si>
    <t>id</t>
  </si>
  <si>
    <t>label</t>
  </si>
  <si>
    <t>Data inceput</t>
  </si>
  <si>
    <t>Data sfarsit</t>
  </si>
  <si>
    <t>pret referinta</t>
  </si>
  <si>
    <t>2 zile</t>
  </si>
  <si>
    <t>3 zile</t>
  </si>
  <si>
    <t>4 zile</t>
  </si>
  <si>
    <t>5 zile</t>
  </si>
  <si>
    <t>6 zile</t>
  </si>
  <si>
    <t>7 zile</t>
  </si>
  <si>
    <t>NU MODIFICA – foaie citită automat de site (update-pricing.cjs).</t>
  </si>
  <si>
    <t>Prețuri A13 Travel Concept – cum funcționează tabelul</t>
  </si>
  <si>
    <t>Scrii doar prețul de pe site pe fiecare perioadă. Prețurile pentru Booking, Airbnb și Travelminit se calculează singure, cu TVA, comision, costul plății și reducerile pe care le aplică fiecare platformă.</t>
  </si>
  <si>
    <t>CUM LUCREZI</t>
  </si>
  <si>
    <t>1. Setări (rar)</t>
  </si>
  <si>
    <t>Comisioane, TVA, taxe locale, reducerea de mobil Booking, avantajul site-ului (5%), scara standard de reduceri pe durată, costurile pe sejur.</t>
  </si>
  <si>
    <t>2. Perioade</t>
  </si>
  <si>
    <t>Pentru fiecare perioadă: datele, prețul tău pe site / noapte (cu taxele locale incluse), nopțile minime și tipul reducerilor: Standard (scara din Setări), Preț fix (fără reduceri, ex. sărbători) sau Personalizat (completezi procentele).</t>
  </si>
  <si>
    <t>3. Prețuri de setat</t>
  </si>
  <si>
    <t>Citești ce pui pe fiecare platformă (coloanele G–I) și ce planuri / reduceri deschizi (J–L). Verificarea arată cât îți rămâne pe fiecare canal la sejurul minim.</t>
  </si>
  <si>
    <t>4. Verificare sejururi</t>
  </si>
  <si>
    <t>Pentru fiecare perioadă, la 2–7 și 14 nopți: cât îți rămâne pe fiecare platformă, ca procent din câștigul țintă, plus profitul pe noapte pe site după costuri.</t>
  </si>
  <si>
    <t>5. Checklist</t>
  </si>
  <si>
    <t>Setezi prețurile pe platforme, apoi treci ce ai setat în „Date actuale” (coloanele C–E și data din titlu).</t>
  </si>
  <si>
    <t>6. Site</t>
  </si>
  <si>
    <t>Salvezi fișierul și îl copiezi ca pricing/tarife.xlsx în repo → git push: site-ul se actualizează singur din foaia „Export site”.</t>
  </si>
  <si>
    <t>CUM SE CALCULEAZĂ</t>
  </si>
  <si>
    <t>Câștigul real</t>
  </si>
  <si>
    <t>Ce plătește oaspetele − taxele locale − TVA (11%) − comisionul − costul plății. Platformele iau comisionul pe prețul cu TVA, dar TVA-ul îl plătești tu: de aceea intră în calcul.</t>
  </si>
  <si>
    <t>Câștigul țintă</t>
  </si>
  <si>
    <t>Câștigul real de pe site la sejurul minim (cu reducerea lui) ÷ (1 + avantajul site-ului). Pe fiecare platformă, prețul e calculat să-ți lase exact acest câștig.</t>
  </si>
  <si>
    <t>Formula</t>
  </si>
  <si>
    <t>Preț plătit de oaspete = (câștig țintă + taxe ÷ 1,11 − comision × taxe [doar unde comisionul se ia fără taxe: Booking]) ÷ (1 ÷ 1,11 − comision − cost plată). Apoi se urcă cu reducerile aplicate de platformă la sejurul minim (durată, mobil) și se rotunjește în sus la 10 lei. Pașii sunt în foaia „Calcule”.</t>
  </si>
  <si>
    <t>15% × (total − taxe locale) + 1,3% × total (Plăți prin Booking.com) – verificat la ban pe rezervările reale. Mobile rate 10% compensat în preț.</t>
  </si>
  <si>
    <t>Taxă unică 15,5% pe tot ce plătește oaspetele (inclusiv taxele locale). Reducerile Airbnb (Trip length 2–6 nopți, săptămânal, lunar) sunt globale: la perioadele cu preț fix sau personalizate prețul e urcat automat ca să iasă corect la sejurul minim; la sejururi mai lungi câștigi mai puțin (vezi „Verificare sejururi”).</t>
  </si>
  <si>
    <t>12% + TVA (deductibil) pe totalul plătit, inclusiv taxele. Rezervările „la cerere” au +2% (Setări → Supliment). Banii îi încasezi tu.</t>
  </si>
  <si>
    <t>Costuri pe sejur</t>
  </si>
  <si>
    <t>Curățenie, spălătorie, consumabile: aceleași pe orice canal, deci nu schimbă prețurile de pe platforme; apar ca profit în „Verificare sejururi” și „Simulator”.</t>
  </si>
  <si>
    <t>TIPURI DE REDUCERI</t>
  </si>
  <si>
    <t>Scara din Setări. Merge identic pe toate platformele (Booking: planurile „2 zile” … „7 zile”; Travelminit: „Reducere generală” pe intervalul perioadei; Airbnb: Trip length).</t>
  </si>
  <si>
    <t>Fără reduceri pe durată (sărbători). Booking: doar planul „Sărbători”; Travelminit: fără reduceri; Airbnb: preț urcat automat pentru reducerea globală.</t>
  </si>
  <si>
    <t>Procentele tale pentru perioada respectivă. Site și Travelminit: da. Booking: cere un set separat de planuri. Airbnb: prețul e corect doar la sejurul minim.</t>
  </si>
  <si>
    <t>LEGENDĂ</t>
  </si>
  <si>
    <t>Celulă galbenă, text albastru</t>
  </si>
  <si>
    <t>Date de intrare – le poți modifica.</t>
  </si>
  <si>
    <t>Celulă albastru-deschis</t>
  </si>
  <si>
    <t>Calculat automat – nu modifica.</t>
  </si>
  <si>
    <t>Verde / roșu în verificări</t>
  </si>
  <si>
    <t>Verde = platforma îți lasă cel puțin pragul din Setări (97%) din câștigul țintă; roșu = mai puțin. În coloanele ACUM, roșu = prețul setat azi diferă de cel calculat.</t>
  </si>
  <si>
    <t>IMPORTANT</t>
  </si>
  <si>
    <t>Export site</t>
  </si>
  <si>
    <t>O citește automat site-ul (update-pricing.cjs). Nu o redenumi, nu o șterge, nu scrie în ea.</t>
  </si>
  <si>
    <t>Calcule</t>
  </si>
  <si>
    <t>Foaie internă cu pașii calculului, pentru verificare. Nu scrie în ea.</t>
  </si>
  <si>
    <t>Ordinea perioadelor</t>
  </si>
  <si>
    <t>În ordine cronologică, fără suprapuneri și fără goluri (foaia „Verificare”). Zilele fără perioadă sunt blocate pe site.</t>
  </si>
  <si>
    <t>Platformele nu se actualizează singure</t>
  </si>
  <si>
    <t>Booking, Airbnb și Travelminit se setează manual după „Prețuri de setat” și „Checklist”.</t>
  </si>
  <si>
    <t>Surse</t>
  </si>
  <si>
    <t>Comisioane verificate pe 25.10.2026: rezervările Booking reale, editorul Airbnb (1.480 lei → 1.251 lei), Travelminit TCG 21.01.2026 (art. 61–64), TVA cazare 11% (Legea 141/2025).</t>
  </si>
  <si>
    <t>Airbnb: taxă unică gazdă ≈15,5% (1.480 lei → câștigi 1.251 lei); reduceri „Trip length” 2/3/4/5/6 nopți = 10/12/15/20/25% (globale, setate 22.10.2026), săptămânală 32% (Airbnb nu permite săptămânal = lunar), lunară 33%; sejur 2–30 nopți; tarifare inteligentă oprită; sărbători 1.970 / 2.440 (25.10.2026; prețurile pe perioade setate pe 25.10.2026).</t>
  </si>
  <si>
    <t>Date actuale – setate și verificate live în conturi pe 25.10.2026 (Booking, Airbnb, Travelminit), după modelul nou din „Prețuri de setat”</t>
  </si>
  <si>
    <t>25.10.2026: Booking 1.160, Airbnb 940, Travelminit 1.000 setate după modelul nou (TVA, comision real, avantaj site 5%). Înainte: Setat 21.10.2026 conform tabelului (înainte: Booking 900, Airbnb 1.480, Travelminit 1.480). Site 900. Ocupat: 28.10–03.11, 28–29.11.</t>
  </si>
  <si>
    <t>25.10.2026: Booking 1.610, Airbnb 1.450, Travelminit 1.380 setate după modelul nou (TVA, comision real, avantaj site 5%). Înainte: Setat 21.10.2026 conform tabelului (înainte 1.300 peste tot). Site 1.250.</t>
  </si>
  <si>
    <t>25.10.2026: Booking 1.940 (planul „Sarbatori – Nerambursabil”), Airbnb 1.970, Travelminit 1.660 setate după modelul nou (TVA, comision real, avantaj site 5%). Înainte: Setat 21.10.2026; Airbnb actualizat 22.10.2026. Booking: doar planul „Sarbatori – Nerambursabil” deschis (1.890, min 3, Mobile rate 10% inclus în calcul); Airbnb 1.940 (= 1.700 / 0,88: compensează reducerea Trip length de 12% la sejurul minim de 3 nopți, reducerile Airbnb fiind globale), min 3, politică „Fermă”; Travelminit min 3, politica „sarbatori”, fără reduceri. Site 1.500, min 3, fără reduceri.</t>
  </si>
  <si>
    <t>25.10.2026: Booking 2.320 (planul „Sarbatori – Nerambursabil”), Airbnb 2.440, Travelminit 1.990 setate după modelul nou (TVA, comision real, avantaj site 5%). Înainte: Setat 21.10.2026; Airbnb actualizat 22.10.2026. Booking: doar „Sarbatori – Nerambursabil” 2.270, min 4 (Mobile rate inclus în calcul); Airbnb 2.400 (= 2.040 / 0,85: compensează reducerea Trip length de 15% la sejurul minim de 4 nopți), min 4, „Fermă”; Travelminit 1.960, min 4, politica „sarbatori”, fără reduceri. Site 1.800, min 4, fără reduceri.</t>
  </si>
  <si>
    <t>25.10.2026: Booking 1.740, Airbnb 1.560, Travelminit 1.490 setate după modelul nou (TVA, comision real, avantaj site 5%). Înainte: Setat 21.10.2026 (înainte: Booking 1.350, Airbnb 1.450, Travelminit 1.450). Min 2 peste tot; Booking planuri 2–7 nopți −10…−33% (flexibile 14 zile). Site 1.350.</t>
  </si>
  <si>
    <t>25.10.2026: Booking 1.870, Airbnb 1.680, Travelminit 1.600 setate după modelul nou (TVA, comision real, avantaj site 5%). Înainte: Setat 21.10.2026 (înainte: Booking 1.450, Airbnb 1.500 / 900 din 01.03, Travelminit 1.500). 20–21.02 ocupat (rezervare existentă, neatins). Site 1.450.</t>
  </si>
  <si>
    <t>25.10.2026: Booking 1.160, Airbnb 1.040, Travelminit 1.000 setate după modelul nou (TVA, comision real, avantaj site 5%). Înainte: Setat 21.10.2026 (înainte: site blocat, Booking/Airbnb 900, Travelminit 1.380 fără reguli). Iunie deschis pe Booking (era închis din 01.06 și bloca prin iCal Airbnb/Travelminit/site). Travelminit: min 2, politică standard. Site 900.</t>
  </si>
  <si>
    <t>Booking: Standard Rate nerambursabil; planuri derivate 2–7 zile (-10/-12/-15/-20/-25/-33%, actualizate 22.10.2026), flexibile 14 zile, închise pe 21.12–04.01; plan „Sarbatori – Nerambursabil” deschis doar pe 21.12–04.01 (1.940 min 3 / 2.320 min 4, din 25.10.2026); Mobile rate 10% activ din 07.06.2026; Genius neactiv.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</si>
</sst>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quot; lei&quot;;\-#,##0&quot; lei&quot;;\-"/>
    <numFmt numFmtId="165" formatCode="0.0%"/>
    <numFmt numFmtId="166" formatCode="dd\.mm\.yyyy"/>
  </numFmts>
  <fonts count="23" x14ac:knownFonts="1">
    <font>
      <sz val="10"/>
      <color theme="1"/>
      <name val="Arial"/>
      <family val="2"/>
    </font>
    <font>
      <sz val="11"/>
      <color theme="1"/>
      <name val="Calibri"/>
      <family val="2"/>
      <charset val="1"/>
    </font>
    <font>
      <b/>
      <sz val="14"/>
      <color rgb="FF003580"/>
      <name val="Arial"/>
      <family val="2"/>
    </font>
    <font>
      <sz val="11"/>
      <color theme="1"/>
      <name val="Arial"/>
      <family val="2"/>
      <charset val="1"/>
    </font>
    <font>
      <i/>
      <sz val="10"/>
      <color rgb="FF555555"/>
      <name val="Arial"/>
      <family val="2"/>
    </font>
    <font>
      <b/>
      <sz val="10"/>
      <color rgb="FFFFFFFF"/>
      <name val="Arial"/>
      <family val="2"/>
    </font>
    <font>
      <sz val="10"/>
      <name val="Arial"/>
      <family val="2"/>
    </font>
    <font>
      <sz val="10"/>
      <color rgb="FF0000FF"/>
      <name val="Arial"/>
      <family val="2"/>
    </font>
    <font>
      <b/>
      <sz val="11"/>
      <color rgb="FF003580"/>
      <name val="Arial"/>
      <family val="2"/>
    </font>
    <font>
      <b/>
      <sz val="14"/>
      <color rgb="FF003680"/>
      <name val="Arial"/>
      <family val="2"/>
    </font>
    <font>
      <sz val="10"/>
      <color rgb="FF555555"/>
      <name val="Arial"/>
      <family val="2"/>
    </font>
    <font>
      <b/>
      <sz val="11"/>
      <color rgb="FF003680"/>
      <name val="Arial"/>
      <family val="2"/>
    </font>
    <font>
      <sz val="10"/>
      <color rgb="FF000000"/>
      <name val="Arial"/>
      <family val="2"/>
    </font>
    <font>
      <sz val="10"/>
      <color rgb="FF808080"/>
      <name val="Arial"/>
      <family val="2"/>
    </font>
    <font>
      <b/>
      <sz val="10"/>
      <color rgb="FF808080"/>
      <name val="Arial"/>
      <family val="2"/>
    </font>
    <font>
      <sz val="10"/>
      <color rgb="FF404040"/>
      <name val="Arial"/>
      <family val="2"/>
    </font>
    <font>
      <b/>
      <sz val="10"/>
      <color rgb="FF404040"/>
      <name val="Arial"/>
      <family val="2"/>
    </font>
    <font>
      <sz val="10"/>
      <color rgb="FF008000"/>
      <name val="Arial"/>
      <family val="2"/>
    </font>
    <font>
      <b/>
      <sz val="10"/>
      <color rgb="FF000000"/>
      <name val="Arial"/>
      <family val="2"/>
    </font>
    <font>
      <sz val="9"/>
      <color theme="1"/>
      <name val="Arial"/>
      <family val="2"/>
    </font>
    <font>
      <b/>
      <sz val="10"/>
      <color theme="1"/>
      <name val="Arial"/>
      <family val="2"/>
    </font>
    <font>
      <sz val="10"/>
      <color rgb="FFA6A6A6"/>
      <name val="Arial"/>
      <family val="2"/>
    </font>
    <font>
      <b/>
      <sz val="10"/>
      <color rgb="FFC00000"/>
      <name val="Arial"/>
      <family val="2"/>
    </font>
  </fonts>
  <fills count="11">
    <fill>
      <patternFill patternType="none"/>
    </fill>
    <fill>
      <patternFill patternType="gray125"/>
    </fill>
    <fill>
      <patternFill patternType="solid">
        <fgColor rgb="FF003580"/>
        <bgColor rgb="FF333399"/>
      </patternFill>
    </fill>
    <fill>
      <patternFill patternType="solid">
        <fgColor rgb="FFFFF2CC"/>
        <bgColor indexed="64"/>
      </patternFill>
    </fill>
    <fill>
      <patternFill patternType="solid">
        <fgColor rgb="FFEAF3FC"/>
        <bgColor indexed="64"/>
      </patternFill>
    </fill>
    <fill>
      <patternFill patternType="solid">
        <fgColor rgb="FF003680"/>
        <bgColor indexed="64"/>
      </patternFill>
    </fill>
    <fill>
      <patternFill patternType="solid">
        <fgColor rgb="FF2F75B5"/>
        <bgColor indexed="64"/>
      </patternFill>
    </fill>
    <fill>
      <patternFill patternType="solid">
        <fgColor rgb="FF7F7F7F"/>
        <bgColor indexed="64"/>
      </patternFill>
    </fill>
    <fill>
      <patternFill patternType="solid">
        <fgColor rgb="FFC65911"/>
        <bgColor indexed="64"/>
      </patternFill>
    </fill>
    <fill>
      <patternFill patternType="solid">
        <fgColor rgb="FF548235"/>
        <bgColor indexed="64"/>
      </patternFill>
    </fill>
    <fill>
      <patternFill patternType="solid">
        <fgColor rgb="FFFCE4D6"/>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 fillId="0" borderId="0"/>
  </cellStyleXfs>
  <cellXfs count="91">
    <xf numFmtId="0" fontId="0" fillId="0" borderId="0" xfId="0"/>
    <xf numFmtId="0" fontId="2" fillId="0" borderId="0" xfId="1" applyFont="1"/>
    <xf numFmtId="0" fontId="3" fillId="0" borderId="0" xfId="1" applyFont="1"/>
    <xf numFmtId="0" fontId="1" fillId="0" borderId="0" xfId="1"/>
    <xf numFmtId="0" fontId="4" fillId="0" borderId="0" xfId="1" applyFont="1"/>
    <xf numFmtId="0" fontId="5" fillId="2" borderId="1" xfId="1" applyFont="1" applyFill="1" applyBorder="1" applyAlignment="1">
      <alignment horizontal="center" vertical="center" wrapText="1"/>
    </xf>
    <xf numFmtId="0" fontId="6" fillId="0" borderId="1" xfId="1" applyFont="1" applyBorder="1"/>
    <xf numFmtId="164" fontId="7" fillId="0" borderId="1" xfId="1" applyNumberFormat="1" applyFont="1" applyBorder="1"/>
    <xf numFmtId="0" fontId="8" fillId="0" borderId="0" xfId="1" applyFont="1"/>
    <xf numFmtId="0" fontId="9" fillId="0" borderId="0" xfId="0" applyFont="1"/>
    <xf numFmtId="0" fontId="10" fillId="0" borderId="0" xfId="0" applyFont="1"/>
    <xf numFmtId="0" fontId="11" fillId="0" borderId="0" xfId="0" applyFont="1"/>
    <xf numFmtId="164" fontId="0" fillId="0" borderId="0" xfId="0" applyNumberFormat="1"/>
    <xf numFmtId="0" fontId="5" fillId="5" borderId="1" xfId="0" applyFont="1" applyFill="1" applyBorder="1" applyAlignment="1">
      <alignment horizontal="center" vertical="center" wrapText="1"/>
    </xf>
    <xf numFmtId="9" fontId="7" fillId="3" borderId="1" xfId="0" applyNumberFormat="1" applyFont="1" applyFill="1" applyBorder="1" applyAlignment="1">
      <alignment horizontal="center"/>
    </xf>
    <xf numFmtId="0" fontId="13" fillId="0" borderId="0" xfId="0" applyFont="1"/>
    <xf numFmtId="1" fontId="7" fillId="3" borderId="1" xfId="0" applyNumberFormat="1" applyFont="1" applyFill="1" applyBorder="1" applyAlignment="1">
      <alignment horizontal="center"/>
    </xf>
    <xf numFmtId="0" fontId="14" fillId="0" borderId="0" xfId="0" applyFont="1"/>
    <xf numFmtId="0" fontId="15" fillId="0" borderId="0" xfId="0" applyFont="1" applyAlignment="1">
      <alignment vertical="top" wrapText="1"/>
    </xf>
    <xf numFmtId="0" fontId="16" fillId="5" borderId="1" xfId="0" applyFont="1" applyFill="1" applyBorder="1" applyAlignment="1">
      <alignment horizontal="center" vertical="top" wrapText="1"/>
    </xf>
    <xf numFmtId="0" fontId="0" fillId="0" borderId="0" xfId="0" applyAlignment="1">
      <alignment vertical="top"/>
    </xf>
    <xf numFmtId="9" fontId="7" fillId="3" borderId="0" xfId="0" applyNumberFormat="1" applyFont="1" applyFill="1" applyAlignment="1">
      <alignment vertical="top"/>
    </xf>
    <xf numFmtId="164" fontId="7" fillId="3" borderId="0" xfId="0" applyNumberFormat="1" applyFont="1" applyFill="1" applyAlignment="1">
      <alignment vertical="top"/>
    </xf>
    <xf numFmtId="1" fontId="7" fillId="3" borderId="0" xfId="0" applyNumberFormat="1" applyFont="1" applyFill="1" applyAlignment="1">
      <alignment vertical="top"/>
    </xf>
    <xf numFmtId="164" fontId="12" fillId="4" borderId="0" xfId="0" applyNumberFormat="1" applyFont="1" applyFill="1" applyAlignment="1">
      <alignment vertical="top"/>
    </xf>
    <xf numFmtId="0" fontId="11" fillId="0" borderId="0" xfId="0" applyFont="1" applyAlignment="1">
      <alignment vertical="top"/>
    </xf>
    <xf numFmtId="0" fontId="5" fillId="5" borderId="1" xfId="0" applyFont="1" applyFill="1" applyBorder="1" applyAlignment="1">
      <alignment horizontal="center" vertical="top" wrapText="1"/>
    </xf>
    <xf numFmtId="9" fontId="7" fillId="3" borderId="1" xfId="0" applyNumberFormat="1" applyFont="1" applyFill="1" applyBorder="1" applyAlignment="1">
      <alignment horizontal="center" vertical="top"/>
    </xf>
    <xf numFmtId="0" fontId="0" fillId="0" borderId="1" xfId="0" applyBorder="1" applyAlignment="1">
      <alignment vertical="top"/>
    </xf>
    <xf numFmtId="0" fontId="13" fillId="0" borderId="1" xfId="0" applyFont="1" applyBorder="1" applyAlignment="1">
      <alignment horizontal="center" vertical="top"/>
    </xf>
    <xf numFmtId="165" fontId="7" fillId="3" borderId="1" xfId="0" applyNumberFormat="1" applyFont="1" applyFill="1" applyBorder="1" applyAlignment="1">
      <alignment horizontal="center" vertical="top"/>
    </xf>
    <xf numFmtId="1" fontId="7" fillId="3" borderId="1" xfId="0" applyNumberFormat="1" applyFont="1" applyFill="1" applyBorder="1" applyAlignment="1">
      <alignment horizontal="center" vertical="top"/>
    </xf>
    <xf numFmtId="164" fontId="7" fillId="3" borderId="1" xfId="0" applyNumberFormat="1" applyFont="1" applyFill="1" applyBorder="1" applyAlignment="1">
      <alignment horizontal="center" vertical="top"/>
    </xf>
    <xf numFmtId="0" fontId="13" fillId="0" borderId="0" xfId="0" applyFont="1" applyAlignment="1">
      <alignment vertical="top"/>
    </xf>
    <xf numFmtId="9" fontId="7" fillId="3" borderId="0" xfId="0" applyNumberFormat="1" applyFont="1" applyFill="1" applyAlignment="1">
      <alignment horizontal="center" vertical="top"/>
    </xf>
    <xf numFmtId="164" fontId="7" fillId="3" borderId="0" xfId="0" applyNumberFormat="1" applyFont="1" applyFill="1" applyAlignment="1">
      <alignment horizontal="center" vertical="top"/>
    </xf>
    <xf numFmtId="0" fontId="5" fillId="6" borderId="1" xfId="0" applyFont="1" applyFill="1" applyBorder="1" applyAlignment="1">
      <alignment horizontal="center" vertical="center" wrapText="1"/>
    </xf>
    <xf numFmtId="0" fontId="7" fillId="3" borderId="1" xfId="0" applyFont="1" applyFill="1" applyBorder="1"/>
    <xf numFmtId="166" fontId="7" fillId="3" borderId="1" xfId="0" applyNumberFormat="1" applyFont="1" applyFill="1" applyBorder="1" applyAlignment="1">
      <alignment horizontal="center"/>
    </xf>
    <xf numFmtId="164" fontId="7" fillId="3" borderId="1" xfId="0" applyNumberFormat="1" applyFont="1" applyFill="1" applyBorder="1"/>
    <xf numFmtId="0" fontId="7" fillId="3" borderId="1" xfId="0" applyFont="1" applyFill="1" applyBorder="1" applyAlignment="1">
      <alignment horizontal="center"/>
    </xf>
    <xf numFmtId="9" fontId="12" fillId="4" borderId="0" xfId="0" applyNumberFormat="1" applyFont="1" applyFill="1" applyAlignment="1">
      <alignment horizontal="center"/>
    </xf>
    <xf numFmtId="9" fontId="12" fillId="4" borderId="1" xfId="0" applyNumberFormat="1" applyFont="1" applyFill="1" applyBorder="1" applyAlignment="1">
      <alignment horizontal="center"/>
    </xf>
    <xf numFmtId="0" fontId="12" fillId="4" borderId="1" xfId="0" applyFont="1" applyFill="1" applyBorder="1"/>
    <xf numFmtId="9" fontId="13" fillId="0" borderId="0" xfId="0" applyNumberFormat="1" applyFont="1"/>
    <xf numFmtId="0" fontId="13" fillId="0" borderId="0" xfId="0" applyFont="1" applyAlignment="1">
      <alignment horizontal="right"/>
    </xf>
    <xf numFmtId="0" fontId="5" fillId="7" borderId="1" xfId="0" applyFont="1" applyFill="1" applyBorder="1" applyAlignment="1">
      <alignment horizontal="center" vertical="center" wrapText="1"/>
    </xf>
    <xf numFmtId="1" fontId="12" fillId="4" borderId="1" xfId="0" applyNumberFormat="1" applyFont="1" applyFill="1" applyBorder="1"/>
    <xf numFmtId="9" fontId="12" fillId="4" borderId="1" xfId="0" applyNumberFormat="1" applyFont="1" applyFill="1" applyBorder="1"/>
    <xf numFmtId="164" fontId="12" fillId="4" borderId="1" xfId="0" applyNumberFormat="1" applyFont="1" applyFill="1" applyBorder="1"/>
    <xf numFmtId="165" fontId="12" fillId="4" borderId="1" xfId="0" applyNumberFormat="1" applyFont="1" applyFill="1" applyBorder="1"/>
    <xf numFmtId="0" fontId="5" fillId="9" borderId="1" xfId="0" applyFont="1" applyFill="1" applyBorder="1" applyAlignment="1">
      <alignment horizontal="center" vertical="center" wrapText="1"/>
    </xf>
    <xf numFmtId="0" fontId="0" fillId="0" borderId="1" xfId="0" applyBorder="1"/>
    <xf numFmtId="0" fontId="17" fillId="0" borderId="1" xfId="0" applyFont="1" applyBorder="1"/>
    <xf numFmtId="166" fontId="17" fillId="0" borderId="1" xfId="0" applyNumberFormat="1" applyFont="1" applyBorder="1" applyAlignment="1">
      <alignment horizontal="center"/>
    </xf>
    <xf numFmtId="0" fontId="17" fillId="0" borderId="1" xfId="0" applyFont="1" applyBorder="1" applyAlignment="1">
      <alignment horizontal="center"/>
    </xf>
    <xf numFmtId="164" fontId="0" fillId="0" borderId="1" xfId="0" applyNumberFormat="1" applyBorder="1"/>
    <xf numFmtId="164" fontId="18" fillId="10" borderId="1" xfId="0" applyNumberFormat="1" applyFont="1" applyFill="1" applyBorder="1"/>
    <xf numFmtId="0" fontId="19" fillId="0" borderId="1" xfId="0" applyFont="1" applyBorder="1" applyAlignment="1">
      <alignment wrapText="1"/>
    </xf>
    <xf numFmtId="9" fontId="0" fillId="0" borderId="1" xfId="0" applyNumberFormat="1" applyBorder="1" applyAlignment="1">
      <alignment horizontal="center"/>
    </xf>
    <xf numFmtId="165" fontId="0" fillId="0" borderId="1" xfId="0" applyNumberFormat="1" applyBorder="1" applyAlignment="1">
      <alignment horizontal="center"/>
    </xf>
    <xf numFmtId="166" fontId="0" fillId="0" borderId="0" xfId="0" applyNumberFormat="1"/>
    <xf numFmtId="166" fontId="12" fillId="4" borderId="0" xfId="0" applyNumberFormat="1" applyFont="1" applyFill="1" applyAlignment="1">
      <alignment horizontal="center"/>
    </xf>
    <xf numFmtId="0" fontId="12" fillId="4" borderId="0" xfId="0" applyFont="1" applyFill="1" applyAlignment="1">
      <alignment horizontal="center"/>
    </xf>
    <xf numFmtId="1" fontId="12" fillId="4" borderId="0" xfId="0" applyNumberFormat="1" applyFont="1" applyFill="1" applyAlignment="1">
      <alignment horizontal="center"/>
    </xf>
    <xf numFmtId="165" fontId="12" fillId="4" borderId="1" xfId="0" applyNumberFormat="1" applyFont="1" applyFill="1" applyBorder="1" applyAlignment="1">
      <alignment horizontal="right"/>
    </xf>
    <xf numFmtId="0" fontId="20" fillId="0" borderId="1" xfId="0" applyFont="1" applyBorder="1"/>
    <xf numFmtId="164" fontId="18" fillId="4" borderId="1" xfId="0" applyNumberFormat="1" applyFont="1" applyFill="1" applyBorder="1"/>
    <xf numFmtId="166" fontId="0" fillId="0" borderId="1" xfId="0" applyNumberFormat="1" applyBorder="1"/>
    <xf numFmtId="0" fontId="21" fillId="0" borderId="1" xfId="0" applyFont="1" applyBorder="1"/>
    <xf numFmtId="1" fontId="0" fillId="0" borderId="1" xfId="0" applyNumberFormat="1" applyBorder="1" applyAlignment="1">
      <alignment horizontal="center"/>
    </xf>
    <xf numFmtId="0" fontId="0" fillId="0" borderId="0" xfId="0" applyAlignment="1">
      <alignment horizontal="center"/>
    </xf>
    <xf numFmtId="0" fontId="21" fillId="0" borderId="0" xfId="0" applyFont="1" applyAlignment="1">
      <alignment horizontal="center"/>
    </xf>
    <xf numFmtId="0" fontId="0" fillId="0" borderId="0" xfId="0" applyAlignment="1">
      <alignment vertical="top" wrapText="1"/>
    </xf>
    <xf numFmtId="0" fontId="0" fillId="0" borderId="1" xfId="0" applyBorder="1" applyAlignment="1">
      <alignment vertical="top" wrapText="1"/>
    </xf>
    <xf numFmtId="0" fontId="7" fillId="3" borderId="1" xfId="0" applyFont="1" applyFill="1" applyBorder="1" applyAlignment="1">
      <alignment horizontal="center" vertical="top" wrapText="1"/>
    </xf>
    <xf numFmtId="166" fontId="0" fillId="0" borderId="1" xfId="0" applyNumberFormat="1" applyBorder="1" applyAlignment="1">
      <alignment horizontal="center"/>
    </xf>
    <xf numFmtId="0" fontId="0" fillId="0" borderId="1" xfId="0" applyBorder="1" applyAlignment="1">
      <alignment horizontal="center"/>
    </xf>
    <xf numFmtId="166" fontId="12" fillId="4" borderId="1" xfId="0" applyNumberFormat="1" applyFont="1" applyFill="1" applyBorder="1" applyAlignment="1">
      <alignment horizontal="center"/>
    </xf>
    <xf numFmtId="0" fontId="20" fillId="0" borderId="0" xfId="0" applyFont="1"/>
    <xf numFmtId="0" fontId="22" fillId="0" borderId="0" xfId="0" applyFont="1"/>
    <xf numFmtId="2" fontId="0" fillId="0" borderId="0" xfId="0" applyNumberFormat="1"/>
    <xf numFmtId="0" fontId="11" fillId="0" borderId="0" xfId="0" applyFont="1" applyAlignment="1">
      <alignment vertical="top" wrapText="1"/>
    </xf>
    <xf numFmtId="0" fontId="7" fillId="3" borderId="0" xfId="0" applyFont="1" applyFill="1" applyAlignment="1">
      <alignment vertical="top" wrapText="1"/>
    </xf>
    <xf numFmtId="0" fontId="12" fillId="4" borderId="0" xfId="0" applyFont="1" applyFill="1" applyAlignment="1">
      <alignment vertical="top"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5" fillId="8" borderId="1" xfId="0" applyFont="1" applyFill="1" applyBorder="1" applyAlignment="1">
      <alignment horizontal="center" vertical="center" wrapText="1"/>
    </xf>
    <xf numFmtId="0" fontId="5" fillId="9" borderId="1" xfId="0" applyFont="1" applyFill="1" applyBorder="1" applyAlignment="1">
      <alignment horizontal="center" vertical="center" wrapText="1"/>
    </xf>
    <xf numFmtId="0" fontId="6" fillId="0" borderId="0" xfId="1" applyFont="1" applyAlignment="1">
      <alignment vertical="top" wrapText="1"/>
    </xf>
  </cellXfs>
  <cellStyles count="2">
    <cellStyle name="Normal" xfId="0" builtinId="0" customBuiltin="1"/>
    <cellStyle name="Normal 2" xfId="1" xr:uid="{6F5207E0-7FCC-4790-997F-6972476C69A9}"/>
  </cellStyles>
  <dxfs count="8">
    <dxf>
      <font>
        <b/>
        <i val="0"/>
        <color rgb="FFC00000"/>
      </font>
    </dxf>
    <dxf>
      <font>
        <color rgb="FF006100"/>
      </font>
      <fill>
        <patternFill>
          <bgColor rgb="FFC6EFCE"/>
        </patternFill>
      </fill>
    </dxf>
    <dxf>
      <font>
        <color rgb="FF9C0006"/>
      </font>
      <fill>
        <patternFill>
          <bgColor rgb="FFF8CBAD"/>
        </patternFill>
      </fill>
    </dxf>
    <dxf>
      <font>
        <color rgb="FF9C0006"/>
      </font>
      <fill>
        <patternFill>
          <bgColor rgb="FFF8CBAD"/>
        </patternFill>
      </fill>
    </dxf>
    <dxf>
      <font>
        <color rgb="FF006100"/>
      </font>
      <fill>
        <patternFill>
          <bgColor rgb="FFC6EFCE"/>
        </patternFill>
      </fill>
    </dxf>
    <dxf>
      <font>
        <color rgb="FF9C0006"/>
      </font>
      <fill>
        <patternFill>
          <bgColor rgb="FFF8CBAD"/>
        </patternFill>
      </fill>
    </dxf>
    <dxf>
      <font>
        <b/>
        <i val="0"/>
        <color rgb="FFC00000"/>
      </font>
    </dxf>
    <dxf>
      <font>
        <color rgb="FFA6A6A6"/>
      </font>
      <fill>
        <patternFill>
          <bgColor rgb="FFEDEDE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Temă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D53B9-3F5B-49C3-B171-5090BD97A818}">
  <dimension ref="A1:B36"/>
  <sheetViews>
    <sheetView showGridLines="0" workbookViewId="0"/>
  </sheetViews>
  <sheetFormatPr defaultRowHeight="12.75" x14ac:dyDescent="0.2"/>
  <cols>
    <col min="1" max="1" width="34.7109375" customWidth="1"/>
    <col min="2" max="2" width="120.7109375" customWidth="1"/>
  </cols>
  <sheetData>
    <row r="1" spans="1:2" ht="18" x14ac:dyDescent="0.25">
      <c r="A1" s="9" t="s">
        <v>354</v>
      </c>
    </row>
    <row r="2" spans="1:2" x14ac:dyDescent="0.2">
      <c r="A2" s="10" t="s">
        <v>355</v>
      </c>
    </row>
    <row r="4" spans="1:2" ht="15" x14ac:dyDescent="0.2">
      <c r="A4" s="82" t="s">
        <v>356</v>
      </c>
      <c r="B4" s="73"/>
    </row>
    <row r="5" spans="1:2" x14ac:dyDescent="0.2">
      <c r="A5" s="73" t="s">
        <v>357</v>
      </c>
      <c r="B5" s="73" t="s">
        <v>358</v>
      </c>
    </row>
    <row r="6" spans="1:2" ht="25.5" x14ac:dyDescent="0.2">
      <c r="A6" s="73" t="s">
        <v>359</v>
      </c>
      <c r="B6" s="73" t="s">
        <v>360</v>
      </c>
    </row>
    <row r="7" spans="1:2" ht="25.5" x14ac:dyDescent="0.2">
      <c r="A7" s="73" t="s">
        <v>361</v>
      </c>
      <c r="B7" s="73" t="s">
        <v>362</v>
      </c>
    </row>
    <row r="8" spans="1:2" ht="25.5" x14ac:dyDescent="0.2">
      <c r="A8" s="73" t="s">
        <v>363</v>
      </c>
      <c r="B8" s="73" t="s">
        <v>364</v>
      </c>
    </row>
    <row r="9" spans="1:2" x14ac:dyDescent="0.2">
      <c r="A9" s="73" t="s">
        <v>365</v>
      </c>
      <c r="B9" s="73" t="s">
        <v>366</v>
      </c>
    </row>
    <row r="10" spans="1:2" x14ac:dyDescent="0.2">
      <c r="A10" s="73" t="s">
        <v>367</v>
      </c>
      <c r="B10" s="73" t="s">
        <v>368</v>
      </c>
    </row>
    <row r="11" spans="1:2" x14ac:dyDescent="0.2">
      <c r="A11" s="73"/>
      <c r="B11" s="73"/>
    </row>
    <row r="12" spans="1:2" ht="15" x14ac:dyDescent="0.2">
      <c r="A12" s="82" t="s">
        <v>369</v>
      </c>
      <c r="B12" s="73"/>
    </row>
    <row r="13" spans="1:2" ht="25.5" x14ac:dyDescent="0.2">
      <c r="A13" s="73" t="s">
        <v>370</v>
      </c>
      <c r="B13" s="73" t="s">
        <v>371</v>
      </c>
    </row>
    <row r="14" spans="1:2" ht="25.5" x14ac:dyDescent="0.2">
      <c r="A14" s="73" t="s">
        <v>372</v>
      </c>
      <c r="B14" s="73" t="s">
        <v>373</v>
      </c>
    </row>
    <row r="15" spans="1:2" ht="38.25" x14ac:dyDescent="0.2">
      <c r="A15" s="73" t="s">
        <v>374</v>
      </c>
      <c r="B15" s="73" t="s">
        <v>375</v>
      </c>
    </row>
    <row r="16" spans="1:2" x14ac:dyDescent="0.2">
      <c r="A16" s="73" t="s">
        <v>228</v>
      </c>
      <c r="B16" s="73" t="s">
        <v>376</v>
      </c>
    </row>
    <row r="17" spans="1:2" ht="38.25" x14ac:dyDescent="0.2">
      <c r="A17" s="73" t="s">
        <v>59</v>
      </c>
      <c r="B17" s="73" t="s">
        <v>377</v>
      </c>
    </row>
    <row r="18" spans="1:2" x14ac:dyDescent="0.2">
      <c r="A18" s="73" t="s">
        <v>60</v>
      </c>
      <c r="B18" s="73" t="s">
        <v>378</v>
      </c>
    </row>
    <row r="19" spans="1:2" ht="25.5" x14ac:dyDescent="0.2">
      <c r="A19" s="73" t="s">
        <v>379</v>
      </c>
      <c r="B19" s="73" t="s">
        <v>380</v>
      </c>
    </row>
    <row r="20" spans="1:2" x14ac:dyDescent="0.2">
      <c r="A20" s="73"/>
      <c r="B20" s="73"/>
    </row>
    <row r="21" spans="1:2" ht="15" x14ac:dyDescent="0.2">
      <c r="A21" s="82" t="s">
        <v>381</v>
      </c>
      <c r="B21" s="73"/>
    </row>
    <row r="22" spans="1:2" ht="25.5" x14ac:dyDescent="0.2">
      <c r="A22" s="73" t="s">
        <v>100</v>
      </c>
      <c r="B22" s="73" t="s">
        <v>382</v>
      </c>
    </row>
    <row r="23" spans="1:2" ht="25.5" x14ac:dyDescent="0.2">
      <c r="A23" s="73" t="s">
        <v>101</v>
      </c>
      <c r="B23" s="73" t="s">
        <v>383</v>
      </c>
    </row>
    <row r="24" spans="1:2" ht="25.5" x14ac:dyDescent="0.2">
      <c r="A24" s="73" t="s">
        <v>102</v>
      </c>
      <c r="B24" s="73" t="s">
        <v>384</v>
      </c>
    </row>
    <row r="25" spans="1:2" x14ac:dyDescent="0.2">
      <c r="A25" s="73"/>
      <c r="B25" s="73"/>
    </row>
    <row r="26" spans="1:2" ht="15" x14ac:dyDescent="0.2">
      <c r="A26" s="82" t="s">
        <v>385</v>
      </c>
      <c r="B26" s="73"/>
    </row>
    <row r="27" spans="1:2" x14ac:dyDescent="0.2">
      <c r="A27" s="83" t="s">
        <v>386</v>
      </c>
      <c r="B27" s="73" t="s">
        <v>387</v>
      </c>
    </row>
    <row r="28" spans="1:2" x14ac:dyDescent="0.2">
      <c r="A28" s="84" t="s">
        <v>388</v>
      </c>
      <c r="B28" s="73" t="s">
        <v>389</v>
      </c>
    </row>
    <row r="29" spans="1:2" ht="25.5" x14ac:dyDescent="0.2">
      <c r="A29" s="73" t="s">
        <v>390</v>
      </c>
      <c r="B29" s="73" t="s">
        <v>391</v>
      </c>
    </row>
    <row r="30" spans="1:2" x14ac:dyDescent="0.2">
      <c r="A30" s="73"/>
      <c r="B30" s="73"/>
    </row>
    <row r="31" spans="1:2" ht="15" x14ac:dyDescent="0.2">
      <c r="A31" s="82" t="s">
        <v>392</v>
      </c>
      <c r="B31" s="73"/>
    </row>
    <row r="32" spans="1:2" x14ac:dyDescent="0.2">
      <c r="A32" s="73" t="s">
        <v>393</v>
      </c>
      <c r="B32" s="73" t="s">
        <v>394</v>
      </c>
    </row>
    <row r="33" spans="1:2" x14ac:dyDescent="0.2">
      <c r="A33" s="73" t="s">
        <v>395</v>
      </c>
      <c r="B33" s="73" t="s">
        <v>396</v>
      </c>
    </row>
    <row r="34" spans="1:2" x14ac:dyDescent="0.2">
      <c r="A34" s="73" t="s">
        <v>397</v>
      </c>
      <c r="B34" s="73" t="s">
        <v>398</v>
      </c>
    </row>
    <row r="35" spans="1:2" x14ac:dyDescent="0.2">
      <c r="A35" s="73" t="s">
        <v>399</v>
      </c>
      <c r="B35" s="73" t="s">
        <v>400</v>
      </c>
    </row>
    <row r="36" spans="1:2" ht="25.5" x14ac:dyDescent="0.2">
      <c r="A36" s="73" t="s">
        <v>401</v>
      </c>
      <c r="B36" s="73" t="s">
        <v>402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BAC3F-16A4-4C1E-9103-60AACA035EA8}">
  <sheetPr>
    <tabColor rgb="FFFFC000"/>
  </sheetPr>
  <dimension ref="A1:K43"/>
  <sheetViews>
    <sheetView workbookViewId="0">
      <pane ySplit="3" topLeftCell="A4" activePane="bottomLeft" state="frozenSplit"/>
      <selection pane="bottomLeft"/>
    </sheetView>
  </sheetViews>
  <sheetFormatPr defaultRowHeight="12.75" x14ac:dyDescent="0.2"/>
  <cols>
    <col min="1" max="1" width="62.7109375" customWidth="1"/>
    <col min="2" max="5" width="13.7109375" customWidth="1"/>
    <col min="6" max="7" width="10.7109375" customWidth="1"/>
    <col min="8" max="8" width="95.7109375" customWidth="1"/>
    <col min="9" max="9" width="3.7109375" customWidth="1"/>
    <col min="10" max="11" width="16.7109375" customWidth="1"/>
  </cols>
  <sheetData>
    <row r="1" spans="1:11" ht="18" x14ac:dyDescent="0.25">
      <c r="A1" s="9" t="s">
        <v>26</v>
      </c>
    </row>
    <row r="2" spans="1:11" x14ac:dyDescent="0.2">
      <c r="A2" s="10" t="s">
        <v>27</v>
      </c>
    </row>
    <row r="4" spans="1:11" ht="15" x14ac:dyDescent="0.25">
      <c r="A4" s="11" t="s">
        <v>28</v>
      </c>
      <c r="J4" s="17" t="s">
        <v>99</v>
      </c>
    </row>
    <row r="5" spans="1:11" ht="25.5" x14ac:dyDescent="0.2">
      <c r="A5" s="20" t="s">
        <v>29</v>
      </c>
      <c r="B5" s="21">
        <v>0.11</v>
      </c>
      <c r="C5" s="20"/>
      <c r="D5" s="20"/>
      <c r="E5" s="20"/>
      <c r="F5" s="20"/>
      <c r="G5" s="20"/>
      <c r="H5" s="18" t="s">
        <v>30</v>
      </c>
      <c r="J5" s="15" t="s">
        <v>100</v>
      </c>
      <c r="K5" s="15" t="s">
        <v>103</v>
      </c>
    </row>
    <row r="6" spans="1:11" x14ac:dyDescent="0.2">
      <c r="A6" s="20" t="s">
        <v>31</v>
      </c>
      <c r="B6" s="22">
        <v>7</v>
      </c>
      <c r="C6" s="20"/>
      <c r="D6" s="20"/>
      <c r="E6" s="20"/>
      <c r="F6" s="20"/>
      <c r="G6" s="20"/>
      <c r="H6" s="18" t="s">
        <v>32</v>
      </c>
      <c r="J6" s="15" t="s">
        <v>101</v>
      </c>
      <c r="K6" s="15" t="s">
        <v>104</v>
      </c>
    </row>
    <row r="7" spans="1:11" x14ac:dyDescent="0.2">
      <c r="A7" s="20" t="s">
        <v>33</v>
      </c>
      <c r="B7" s="22">
        <v>5</v>
      </c>
      <c r="C7" s="20"/>
      <c r="D7" s="20"/>
      <c r="E7" s="20"/>
      <c r="F7" s="20"/>
      <c r="G7" s="20"/>
      <c r="H7" s="18" t="s">
        <v>34</v>
      </c>
      <c r="J7" s="15" t="s">
        <v>102</v>
      </c>
      <c r="K7" s="15" t="s">
        <v>105</v>
      </c>
    </row>
    <row r="8" spans="1:11" x14ac:dyDescent="0.2">
      <c r="A8" s="20" t="s">
        <v>35</v>
      </c>
      <c r="B8" s="23">
        <v>4</v>
      </c>
      <c r="C8" s="20"/>
      <c r="D8" s="20"/>
      <c r="E8" s="20"/>
      <c r="F8" s="20"/>
      <c r="G8" s="20"/>
      <c r="H8" s="18" t="s">
        <v>36</v>
      </c>
      <c r="J8" s="15"/>
      <c r="K8" s="15" t="s">
        <v>106</v>
      </c>
    </row>
    <row r="9" spans="1:11" x14ac:dyDescent="0.2">
      <c r="A9" s="20" t="s">
        <v>37</v>
      </c>
      <c r="B9" s="24">
        <f>(B6+B7)*B8</f>
        <v>48</v>
      </c>
      <c r="C9" s="20"/>
      <c r="D9" s="20"/>
      <c r="E9" s="20"/>
      <c r="F9" s="20"/>
      <c r="G9" s="20"/>
      <c r="H9" s="18"/>
    </row>
    <row r="10" spans="1:11" x14ac:dyDescent="0.2">
      <c r="A10" s="20"/>
      <c r="B10" s="20"/>
      <c r="C10" s="20"/>
      <c r="D10" s="20"/>
      <c r="E10" s="20"/>
      <c r="F10" s="20"/>
      <c r="G10" s="20"/>
      <c r="H10" s="18"/>
    </row>
    <row r="11" spans="1:11" ht="15" x14ac:dyDescent="0.2">
      <c r="A11" s="25" t="s">
        <v>38</v>
      </c>
      <c r="B11" s="20"/>
      <c r="C11" s="20"/>
      <c r="D11" s="20"/>
      <c r="E11" s="20"/>
      <c r="F11" s="20"/>
      <c r="G11" s="20"/>
      <c r="H11" s="18"/>
    </row>
    <row r="12" spans="1:11" x14ac:dyDescent="0.2">
      <c r="A12" s="20" t="s">
        <v>39</v>
      </c>
      <c r="B12" s="21">
        <v>0.05</v>
      </c>
      <c r="C12" s="20"/>
      <c r="D12" s="20"/>
      <c r="E12" s="20"/>
      <c r="F12" s="20"/>
      <c r="G12" s="20"/>
      <c r="H12" s="18" t="s">
        <v>40</v>
      </c>
    </row>
    <row r="13" spans="1:11" x14ac:dyDescent="0.2">
      <c r="A13" s="20" t="s">
        <v>41</v>
      </c>
      <c r="B13" s="21">
        <v>0.97</v>
      </c>
      <c r="C13" s="20"/>
      <c r="D13" s="20"/>
      <c r="E13" s="20"/>
      <c r="F13" s="20"/>
      <c r="G13" s="20"/>
      <c r="H13" s="18" t="s">
        <v>42</v>
      </c>
    </row>
    <row r="14" spans="1:11" x14ac:dyDescent="0.2">
      <c r="A14" s="20" t="s">
        <v>43</v>
      </c>
      <c r="B14" s="21">
        <v>0.1</v>
      </c>
      <c r="C14" s="20"/>
      <c r="D14" s="20"/>
      <c r="E14" s="20"/>
      <c r="F14" s="20"/>
      <c r="G14" s="20"/>
      <c r="H14" s="18" t="s">
        <v>44</v>
      </c>
    </row>
    <row r="15" spans="1:11" x14ac:dyDescent="0.2">
      <c r="A15" s="20"/>
      <c r="B15" s="20"/>
      <c r="C15" s="20"/>
      <c r="D15" s="20"/>
      <c r="E15" s="20"/>
      <c r="F15" s="20"/>
      <c r="G15" s="20"/>
      <c r="H15" s="18"/>
    </row>
    <row r="16" spans="1:11" ht="15" x14ac:dyDescent="0.2">
      <c r="A16" s="25" t="s">
        <v>45</v>
      </c>
      <c r="B16" s="20"/>
      <c r="C16" s="20"/>
      <c r="D16" s="20"/>
      <c r="E16" s="20"/>
      <c r="F16" s="20"/>
      <c r="G16" s="20"/>
      <c r="H16" s="18"/>
    </row>
    <row r="17" spans="1:8" x14ac:dyDescent="0.2">
      <c r="A17" s="26" t="s">
        <v>46</v>
      </c>
      <c r="B17" s="26" t="s">
        <v>47</v>
      </c>
      <c r="C17" s="26" t="s">
        <v>48</v>
      </c>
      <c r="D17" s="26" t="s">
        <v>49</v>
      </c>
      <c r="E17" s="26" t="s">
        <v>50</v>
      </c>
      <c r="F17" s="26" t="s">
        <v>51</v>
      </c>
      <c r="G17" s="26" t="s">
        <v>52</v>
      </c>
      <c r="H17" s="18"/>
    </row>
    <row r="18" spans="1:8" ht="25.5" x14ac:dyDescent="0.2">
      <c r="A18" s="20" t="s">
        <v>53</v>
      </c>
      <c r="B18" s="27">
        <v>0.1</v>
      </c>
      <c r="C18" s="27">
        <v>0.12</v>
      </c>
      <c r="D18" s="27">
        <v>0.15</v>
      </c>
      <c r="E18" s="27">
        <v>0.2</v>
      </c>
      <c r="F18" s="27">
        <v>0.25</v>
      </c>
      <c r="G18" s="27">
        <v>0.33</v>
      </c>
      <c r="H18" s="18" t="s">
        <v>54</v>
      </c>
    </row>
    <row r="19" spans="1:8" x14ac:dyDescent="0.2">
      <c r="A19" s="20"/>
      <c r="B19" s="20"/>
      <c r="C19" s="20"/>
      <c r="D19" s="20"/>
      <c r="E19" s="20"/>
      <c r="F19" s="20"/>
      <c r="G19" s="20"/>
      <c r="H19" s="18"/>
    </row>
    <row r="20" spans="1:8" ht="15" x14ac:dyDescent="0.2">
      <c r="A20" s="25" t="s">
        <v>55</v>
      </c>
      <c r="B20" s="20"/>
      <c r="C20" s="20"/>
      <c r="D20" s="20"/>
      <c r="E20" s="20"/>
      <c r="F20" s="20"/>
      <c r="G20" s="20"/>
      <c r="H20" s="18"/>
    </row>
    <row r="21" spans="1:8" x14ac:dyDescent="0.2">
      <c r="A21" s="26" t="s">
        <v>56</v>
      </c>
      <c r="B21" s="26" t="s">
        <v>57</v>
      </c>
      <c r="C21" s="26" t="s">
        <v>58</v>
      </c>
      <c r="D21" s="26" t="s">
        <v>59</v>
      </c>
      <c r="E21" s="26" t="s">
        <v>60</v>
      </c>
      <c r="F21" s="20"/>
      <c r="G21" s="20"/>
      <c r="H21" s="19" t="s">
        <v>61</v>
      </c>
    </row>
    <row r="22" spans="1:8" ht="38.25" x14ac:dyDescent="0.2">
      <c r="A22" s="28" t="s">
        <v>62</v>
      </c>
      <c r="B22" s="29" t="s">
        <v>63</v>
      </c>
      <c r="C22" s="30">
        <v>0.15</v>
      </c>
      <c r="D22" s="30">
        <v>0.155</v>
      </c>
      <c r="E22" s="30">
        <v>0.12</v>
      </c>
      <c r="F22" s="20"/>
      <c r="G22" s="20"/>
      <c r="H22" s="18" t="s">
        <v>64</v>
      </c>
    </row>
    <row r="23" spans="1:8" ht="25.5" x14ac:dyDescent="0.2">
      <c r="A23" s="28" t="s">
        <v>65</v>
      </c>
      <c r="B23" s="29" t="s">
        <v>63</v>
      </c>
      <c r="C23" s="30">
        <v>0</v>
      </c>
      <c r="D23" s="30">
        <v>0</v>
      </c>
      <c r="E23" s="30">
        <v>0</v>
      </c>
      <c r="F23" s="20"/>
      <c r="G23" s="20"/>
      <c r="H23" s="18" t="s">
        <v>66</v>
      </c>
    </row>
    <row r="24" spans="1:8" ht="25.5" x14ac:dyDescent="0.2">
      <c r="A24" s="28" t="s">
        <v>67</v>
      </c>
      <c r="B24" s="29" t="s">
        <v>63</v>
      </c>
      <c r="C24" s="31">
        <v>1</v>
      </c>
      <c r="D24" s="31">
        <v>0</v>
      </c>
      <c r="E24" s="31">
        <v>0</v>
      </c>
      <c r="F24" s="20"/>
      <c r="G24" s="20"/>
      <c r="H24" s="18" t="s">
        <v>68</v>
      </c>
    </row>
    <row r="25" spans="1:8" ht="25.5" x14ac:dyDescent="0.2">
      <c r="A25" s="28" t="s">
        <v>69</v>
      </c>
      <c r="B25" s="30">
        <v>0</v>
      </c>
      <c r="C25" s="30">
        <v>1.2999999999999999E-2</v>
      </c>
      <c r="D25" s="30">
        <v>0</v>
      </c>
      <c r="E25" s="30">
        <v>0</v>
      </c>
      <c r="F25" s="20"/>
      <c r="G25" s="20"/>
      <c r="H25" s="18" t="s">
        <v>70</v>
      </c>
    </row>
    <row r="26" spans="1:8" ht="25.5" x14ac:dyDescent="0.2">
      <c r="A26" s="28" t="s">
        <v>71</v>
      </c>
      <c r="B26" s="29" t="s">
        <v>63</v>
      </c>
      <c r="C26" s="27">
        <v>0</v>
      </c>
      <c r="D26" s="27">
        <v>0</v>
      </c>
      <c r="E26" s="27">
        <v>0</v>
      </c>
      <c r="F26" s="20"/>
      <c r="G26" s="20"/>
      <c r="H26" s="18" t="s">
        <v>72</v>
      </c>
    </row>
    <row r="27" spans="1:8" ht="25.5" x14ac:dyDescent="0.2">
      <c r="A27" s="28" t="s">
        <v>73</v>
      </c>
      <c r="B27" s="29" t="s">
        <v>63</v>
      </c>
      <c r="C27" s="27">
        <v>0.1</v>
      </c>
      <c r="D27" s="27">
        <v>0</v>
      </c>
      <c r="E27" s="27">
        <v>0</v>
      </c>
      <c r="F27" s="20"/>
      <c r="G27" s="20"/>
      <c r="H27" s="18" t="s">
        <v>74</v>
      </c>
    </row>
    <row r="28" spans="1:8" ht="25.5" x14ac:dyDescent="0.2">
      <c r="A28" s="28" t="s">
        <v>75</v>
      </c>
      <c r="B28" s="29" t="s">
        <v>63</v>
      </c>
      <c r="C28" s="27">
        <v>1</v>
      </c>
      <c r="D28" s="27">
        <v>1</v>
      </c>
      <c r="E28" s="27">
        <v>1</v>
      </c>
      <c r="F28" s="20"/>
      <c r="G28" s="20"/>
      <c r="H28" s="18" t="s">
        <v>76</v>
      </c>
    </row>
    <row r="29" spans="1:8" ht="25.5" x14ac:dyDescent="0.2">
      <c r="A29" s="28" t="s">
        <v>77</v>
      </c>
      <c r="B29" s="29" t="s">
        <v>78</v>
      </c>
      <c r="C29" s="31">
        <v>1</v>
      </c>
      <c r="D29" s="31">
        <v>1</v>
      </c>
      <c r="E29" s="31">
        <v>1</v>
      </c>
      <c r="F29" s="20"/>
      <c r="G29" s="20"/>
      <c r="H29" s="18" t="s">
        <v>79</v>
      </c>
    </row>
    <row r="30" spans="1:8" x14ac:dyDescent="0.2">
      <c r="A30" s="28" t="s">
        <v>80</v>
      </c>
      <c r="B30" s="29" t="s">
        <v>63</v>
      </c>
      <c r="C30" s="32">
        <v>10</v>
      </c>
      <c r="D30" s="32">
        <v>10</v>
      </c>
      <c r="E30" s="32">
        <v>10</v>
      </c>
      <c r="F30" s="20"/>
      <c r="G30" s="20"/>
      <c r="H30" s="18" t="s">
        <v>81</v>
      </c>
    </row>
    <row r="31" spans="1:8" x14ac:dyDescent="0.2">
      <c r="A31" s="20"/>
      <c r="B31" s="20"/>
      <c r="C31" s="20"/>
      <c r="D31" s="20"/>
      <c r="E31" s="20"/>
      <c r="F31" s="20"/>
      <c r="G31" s="20"/>
      <c r="H31" s="18"/>
    </row>
    <row r="32" spans="1:8" ht="15" x14ac:dyDescent="0.2">
      <c r="A32" s="25" t="s">
        <v>82</v>
      </c>
      <c r="B32" s="20"/>
      <c r="C32" s="20"/>
      <c r="D32" s="20"/>
      <c r="E32" s="20"/>
      <c r="F32" s="20"/>
      <c r="G32" s="20"/>
      <c r="H32" s="18"/>
    </row>
    <row r="33" spans="1:8" x14ac:dyDescent="0.2">
      <c r="A33" s="20" t="s">
        <v>83</v>
      </c>
      <c r="B33" s="33" t="s">
        <v>84</v>
      </c>
      <c r="C33" s="20"/>
      <c r="D33" s="20"/>
      <c r="E33" s="20"/>
      <c r="F33" s="20"/>
      <c r="G33" s="20"/>
      <c r="H33" s="18" t="s">
        <v>85</v>
      </c>
    </row>
    <row r="34" spans="1:8" ht="25.5" x14ac:dyDescent="0.2">
      <c r="A34" s="20" t="s">
        <v>86</v>
      </c>
      <c r="B34" s="34">
        <f>MIN(G18,B35-0.01)</f>
        <v>0.32</v>
      </c>
      <c r="C34" s="20"/>
      <c r="D34" s="20"/>
      <c r="E34" s="20"/>
      <c r="F34" s="20"/>
      <c r="G34" s="20"/>
      <c r="H34" s="18" t="s">
        <v>87</v>
      </c>
    </row>
    <row r="35" spans="1:8" x14ac:dyDescent="0.2">
      <c r="A35" s="20" t="s">
        <v>88</v>
      </c>
      <c r="B35" s="34">
        <v>0.33</v>
      </c>
      <c r="C35" s="20"/>
      <c r="D35" s="20"/>
      <c r="E35" s="20"/>
      <c r="F35" s="20"/>
      <c r="G35" s="20"/>
      <c r="H35" s="18"/>
    </row>
    <row r="36" spans="1:8" x14ac:dyDescent="0.2">
      <c r="A36" s="20" t="s">
        <v>89</v>
      </c>
      <c r="B36" s="34">
        <v>0.3</v>
      </c>
      <c r="C36" s="20"/>
      <c r="D36" s="20"/>
      <c r="E36" s="20"/>
      <c r="F36" s="20"/>
      <c r="G36" s="20"/>
      <c r="H36" s="18" t="s">
        <v>90</v>
      </c>
    </row>
    <row r="37" spans="1:8" x14ac:dyDescent="0.2">
      <c r="A37" s="20" t="s">
        <v>91</v>
      </c>
      <c r="B37" s="34">
        <v>0.85</v>
      </c>
      <c r="C37" s="20"/>
      <c r="D37" s="20"/>
      <c r="E37" s="20"/>
      <c r="F37" s="20"/>
      <c r="G37" s="20"/>
      <c r="H37" s="18" t="s">
        <v>92</v>
      </c>
    </row>
    <row r="38" spans="1:8" x14ac:dyDescent="0.2">
      <c r="A38" s="20"/>
      <c r="B38" s="20"/>
      <c r="C38" s="20"/>
      <c r="D38" s="20"/>
      <c r="E38" s="20"/>
      <c r="F38" s="20"/>
      <c r="G38" s="20"/>
      <c r="H38" s="18"/>
    </row>
    <row r="39" spans="1:8" ht="15" x14ac:dyDescent="0.2">
      <c r="A39" s="25" t="s">
        <v>93</v>
      </c>
      <c r="B39" s="20"/>
      <c r="C39" s="20"/>
      <c r="D39" s="20"/>
      <c r="E39" s="20"/>
      <c r="F39" s="20"/>
      <c r="G39" s="20"/>
      <c r="H39" s="18"/>
    </row>
    <row r="40" spans="1:8" ht="25.5" x14ac:dyDescent="0.2">
      <c r="A40" s="20" t="s">
        <v>94</v>
      </c>
      <c r="B40" s="35">
        <v>200</v>
      </c>
      <c r="C40" s="20"/>
      <c r="D40" s="20"/>
      <c r="E40" s="20"/>
      <c r="F40" s="20"/>
      <c r="G40" s="20"/>
      <c r="H40" s="18" t="s">
        <v>95</v>
      </c>
    </row>
    <row r="41" spans="1:8" x14ac:dyDescent="0.2">
      <c r="A41" s="20" t="s">
        <v>96</v>
      </c>
      <c r="B41" s="35">
        <v>70</v>
      </c>
      <c r="C41" s="20"/>
      <c r="D41" s="20"/>
      <c r="E41" s="20"/>
      <c r="F41" s="20"/>
      <c r="G41" s="20"/>
      <c r="H41" s="18"/>
    </row>
    <row r="42" spans="1:8" x14ac:dyDescent="0.2">
      <c r="A42" s="20" t="s">
        <v>97</v>
      </c>
      <c r="B42" s="35">
        <v>140</v>
      </c>
      <c r="C42" s="20"/>
      <c r="D42" s="20"/>
      <c r="E42" s="20"/>
      <c r="F42" s="20"/>
      <c r="G42" s="20"/>
      <c r="H42" s="18"/>
    </row>
    <row r="43" spans="1:8" x14ac:dyDescent="0.2">
      <c r="A43" s="20" t="s">
        <v>98</v>
      </c>
      <c r="B43" s="35">
        <v>50</v>
      </c>
      <c r="C43" s="20"/>
      <c r="D43" s="20"/>
      <c r="E43" s="20"/>
      <c r="F43" s="20"/>
      <c r="G43" s="20"/>
      <c r="H43" s="1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3AC2F-2FC6-4986-8FBB-D31335D927BD}">
  <sheetPr>
    <tabColor rgb="FFFFC000"/>
  </sheetPr>
  <dimension ref="A1:W40"/>
  <sheetViews>
    <sheetView tabSelected="1" workbookViewId="0">
      <pane xSplit="2" ySplit="5" topLeftCell="C6" activePane="bottomRight" state="frozenSplit"/>
      <selection pane="topRight" activeCell="C1" sqref="C1"/>
      <selection pane="bottomLeft" activeCell="A6" sqref="A6"/>
      <selection pane="bottomRight" activeCell="A6" sqref="A6"/>
    </sheetView>
  </sheetViews>
  <sheetFormatPr defaultRowHeight="12.75" x14ac:dyDescent="0.2"/>
  <cols>
    <col min="1" max="1" width="22.7109375" customWidth="1"/>
    <col min="2" max="2" width="16.7109375" customWidth="1"/>
    <col min="3" max="4" width="12.7109375" customWidth="1"/>
    <col min="5" max="5" width="13.7109375" customWidth="1"/>
    <col min="6" max="6" width="9.7109375" customWidth="1"/>
    <col min="7" max="7" width="14.7109375" customWidth="1"/>
    <col min="8" max="13" width="8.7109375" customWidth="1"/>
    <col min="14" max="14" width="17.7109375" customWidth="1"/>
    <col min="15" max="15" width="13.7109375" customWidth="1"/>
    <col min="16" max="16" width="34.7109375" customWidth="1"/>
    <col min="17" max="22" width="8.7109375" customWidth="1"/>
    <col min="23" max="23" width="28.7109375" customWidth="1"/>
  </cols>
  <sheetData>
    <row r="1" spans="1:23" ht="18" x14ac:dyDescent="0.25">
      <c r="A1" s="9" t="s">
        <v>107</v>
      </c>
    </row>
    <row r="2" spans="1:23" x14ac:dyDescent="0.2">
      <c r="A2" s="10" t="s">
        <v>108</v>
      </c>
    </row>
    <row r="3" spans="1:23" x14ac:dyDescent="0.2">
      <c r="A3" s="10" t="s">
        <v>109</v>
      </c>
    </row>
    <row r="4" spans="1:23" x14ac:dyDescent="0.2">
      <c r="H4" s="85" t="s">
        <v>110</v>
      </c>
      <c r="I4" s="85"/>
      <c r="J4" s="85"/>
      <c r="K4" s="85"/>
      <c r="L4" s="85"/>
      <c r="M4" s="85"/>
      <c r="Q4" s="86" t="s">
        <v>111</v>
      </c>
      <c r="R4" s="86"/>
      <c r="S4" s="86"/>
      <c r="T4" s="86"/>
      <c r="U4" s="86"/>
      <c r="V4" s="86"/>
    </row>
    <row r="5" spans="1:23" ht="58.15" customHeight="1" x14ac:dyDescent="0.2">
      <c r="A5" s="13" t="s">
        <v>112</v>
      </c>
      <c r="B5" s="13" t="s">
        <v>113</v>
      </c>
      <c r="C5" s="13" t="s">
        <v>114</v>
      </c>
      <c r="D5" s="13" t="s">
        <v>115</v>
      </c>
      <c r="E5" s="13" t="s">
        <v>116</v>
      </c>
      <c r="F5" s="13" t="s">
        <v>117</v>
      </c>
      <c r="G5" s="13" t="s">
        <v>118</v>
      </c>
      <c r="H5" s="13" t="s">
        <v>47</v>
      </c>
      <c r="I5" s="13" t="s">
        <v>48</v>
      </c>
      <c r="J5" s="13" t="s">
        <v>49</v>
      </c>
      <c r="K5" s="13" t="s">
        <v>50</v>
      </c>
      <c r="L5" s="13" t="s">
        <v>51</v>
      </c>
      <c r="M5" s="13" t="s">
        <v>52</v>
      </c>
      <c r="N5" s="13" t="s">
        <v>119</v>
      </c>
      <c r="O5" s="13" t="s">
        <v>120</v>
      </c>
      <c r="P5" s="13" t="s">
        <v>121</v>
      </c>
      <c r="Q5" s="36" t="s">
        <v>47</v>
      </c>
      <c r="R5" s="36" t="s">
        <v>48</v>
      </c>
      <c r="S5" s="36" t="s">
        <v>49</v>
      </c>
      <c r="T5" s="36" t="s">
        <v>50</v>
      </c>
      <c r="U5" s="36" t="s">
        <v>51</v>
      </c>
      <c r="V5" s="36" t="s">
        <v>52</v>
      </c>
      <c r="W5" s="36" t="s">
        <v>122</v>
      </c>
    </row>
    <row r="6" spans="1:23" x14ac:dyDescent="0.2">
      <c r="A6" s="37" t="s">
        <v>7</v>
      </c>
      <c r="B6" s="37" t="s">
        <v>123</v>
      </c>
      <c r="C6" s="38">
        <v>46204</v>
      </c>
      <c r="D6" s="38">
        <v>46356</v>
      </c>
      <c r="E6" s="39">
        <v>900</v>
      </c>
      <c r="F6" s="40">
        <v>2</v>
      </c>
      <c r="G6" s="40" t="s">
        <v>100</v>
      </c>
      <c r="H6" s="14"/>
      <c r="I6" s="14"/>
      <c r="J6" s="14"/>
      <c r="K6" s="14"/>
      <c r="L6" s="14"/>
      <c r="M6" s="14"/>
      <c r="N6" s="37" t="s">
        <v>103</v>
      </c>
      <c r="O6" s="39">
        <v>474</v>
      </c>
      <c r="P6" s="37"/>
      <c r="Q6" s="42">
        <f>IF(Calcule!$A6="","",Calcule!J6)</f>
        <v>0.1</v>
      </c>
      <c r="R6" s="42">
        <f>IF(Calcule!$A6="","",Calcule!K6)</f>
        <v>0.12</v>
      </c>
      <c r="S6" s="42">
        <f>IF(Calcule!$A6="","",Calcule!L6)</f>
        <v>0.15</v>
      </c>
      <c r="T6" s="42">
        <f>IF(Calcule!$A6="","",Calcule!M6)</f>
        <v>0.2</v>
      </c>
      <c r="U6" s="42">
        <f>IF(Calcule!$A6="","",Calcule!N6)</f>
        <v>0.25</v>
      </c>
      <c r="V6" s="42">
        <f>IF(Calcule!$A6="","",Calcule!O6)</f>
        <v>0.33</v>
      </c>
      <c r="W6" s="43" t="str">
        <f>IF($A6="","",Verificare!$H6)</f>
        <v>OK</v>
      </c>
    </row>
    <row r="7" spans="1:23" x14ac:dyDescent="0.2">
      <c r="A7" s="37" t="s">
        <v>9</v>
      </c>
      <c r="B7" s="37" t="s">
        <v>124</v>
      </c>
      <c r="C7" s="38">
        <v>46357</v>
      </c>
      <c r="D7" s="38">
        <v>46376</v>
      </c>
      <c r="E7" s="39">
        <v>1250</v>
      </c>
      <c r="F7" s="40">
        <v>2</v>
      </c>
      <c r="G7" s="40" t="s">
        <v>100</v>
      </c>
      <c r="H7" s="14"/>
      <c r="I7" s="14"/>
      <c r="J7" s="14"/>
      <c r="K7" s="14"/>
      <c r="L7" s="14"/>
      <c r="M7" s="14"/>
      <c r="N7" s="37" t="s">
        <v>103</v>
      </c>
      <c r="O7" s="39"/>
      <c r="P7" s="37"/>
      <c r="Q7" s="42">
        <f>IF(Calcule!$A7="","",Calcule!J7)</f>
        <v>0.1</v>
      </c>
      <c r="R7" s="42">
        <f>IF(Calcule!$A7="","",Calcule!K7)</f>
        <v>0.12</v>
      </c>
      <c r="S7" s="42">
        <f>IF(Calcule!$A7="","",Calcule!L7)</f>
        <v>0.15</v>
      </c>
      <c r="T7" s="42">
        <f>IF(Calcule!$A7="","",Calcule!M7)</f>
        <v>0.2</v>
      </c>
      <c r="U7" s="42">
        <f>IF(Calcule!$A7="","",Calcule!N7)</f>
        <v>0.25</v>
      </c>
      <c r="V7" s="42">
        <f>IF(Calcule!$A7="","",Calcule!O7)</f>
        <v>0.33</v>
      </c>
      <c r="W7" s="43" t="str">
        <f>IF($A7="","",Verificare!$H7)</f>
        <v>OK</v>
      </c>
    </row>
    <row r="8" spans="1:23" x14ac:dyDescent="0.2">
      <c r="A8" s="37" t="s">
        <v>11</v>
      </c>
      <c r="B8" s="37" t="s">
        <v>124</v>
      </c>
      <c r="C8" s="38">
        <v>46377</v>
      </c>
      <c r="D8" s="38">
        <v>46383</v>
      </c>
      <c r="E8" s="39">
        <v>1500</v>
      </c>
      <c r="F8" s="40">
        <v>3</v>
      </c>
      <c r="G8" s="40" t="s">
        <v>101</v>
      </c>
      <c r="H8" s="14"/>
      <c r="I8" s="14"/>
      <c r="J8" s="14"/>
      <c r="K8" s="14"/>
      <c r="L8" s="14"/>
      <c r="M8" s="14"/>
      <c r="N8" s="37" t="s">
        <v>104</v>
      </c>
      <c r="O8" s="39"/>
      <c r="P8" s="37" t="s">
        <v>125</v>
      </c>
      <c r="Q8" s="42" t="str">
        <f>IF(Calcule!$A8="","",Calcule!J8)</f>
        <v/>
      </c>
      <c r="R8" s="42">
        <f>IF(Calcule!$A8="","",Calcule!K8)</f>
        <v>0</v>
      </c>
      <c r="S8" s="42">
        <f>IF(Calcule!$A8="","",Calcule!L8)</f>
        <v>0</v>
      </c>
      <c r="T8" s="42">
        <f>IF(Calcule!$A8="","",Calcule!M8)</f>
        <v>0</v>
      </c>
      <c r="U8" s="42">
        <f>IF(Calcule!$A8="","",Calcule!N8)</f>
        <v>0</v>
      </c>
      <c r="V8" s="42">
        <f>IF(Calcule!$A8="","",Calcule!O8)</f>
        <v>0</v>
      </c>
      <c r="W8" s="43" t="str">
        <f>IF($A8="","",Verificare!$H8)</f>
        <v>OK</v>
      </c>
    </row>
    <row r="9" spans="1:23" x14ac:dyDescent="0.2">
      <c r="A9" s="37" t="s">
        <v>13</v>
      </c>
      <c r="B9" s="37" t="s">
        <v>124</v>
      </c>
      <c r="C9" s="38">
        <v>46384</v>
      </c>
      <c r="D9" s="38">
        <v>46391</v>
      </c>
      <c r="E9" s="39">
        <v>1800</v>
      </c>
      <c r="F9" s="40">
        <v>4</v>
      </c>
      <c r="G9" s="40" t="s">
        <v>101</v>
      </c>
      <c r="H9" s="14"/>
      <c r="I9" s="14"/>
      <c r="J9" s="14"/>
      <c r="K9" s="14"/>
      <c r="L9" s="14"/>
      <c r="M9" s="14"/>
      <c r="N9" s="37" t="s">
        <v>104</v>
      </c>
      <c r="O9" s="39"/>
      <c r="P9" s="37" t="s">
        <v>125</v>
      </c>
      <c r="Q9" s="42" t="str">
        <f>IF(Calcule!$A9="","",Calcule!J9)</f>
        <v/>
      </c>
      <c r="R9" s="42" t="str">
        <f>IF(Calcule!$A9="","",Calcule!K9)</f>
        <v/>
      </c>
      <c r="S9" s="42">
        <f>IF(Calcule!$A9="","",Calcule!L9)</f>
        <v>0</v>
      </c>
      <c r="T9" s="42">
        <f>IF(Calcule!$A9="","",Calcule!M9)</f>
        <v>0</v>
      </c>
      <c r="U9" s="42">
        <f>IF(Calcule!$A9="","",Calcule!N9)</f>
        <v>0</v>
      </c>
      <c r="V9" s="42">
        <f>IF(Calcule!$A9="","",Calcule!O9)</f>
        <v>0</v>
      </c>
      <c r="W9" s="43" t="str">
        <f>IF($A9="","",Verificare!$H9)</f>
        <v>OK</v>
      </c>
    </row>
    <row r="10" spans="1:23" x14ac:dyDescent="0.2">
      <c r="A10" s="37" t="s">
        <v>15</v>
      </c>
      <c r="B10" s="37" t="s">
        <v>124</v>
      </c>
      <c r="C10" s="38">
        <v>46392</v>
      </c>
      <c r="D10" s="38">
        <v>46432</v>
      </c>
      <c r="E10" s="39">
        <v>1350</v>
      </c>
      <c r="F10" s="40">
        <v>2</v>
      </c>
      <c r="G10" s="40" t="s">
        <v>100</v>
      </c>
      <c r="H10" s="14"/>
      <c r="I10" s="14"/>
      <c r="J10" s="14"/>
      <c r="K10" s="14"/>
      <c r="L10" s="14"/>
      <c r="M10" s="14"/>
      <c r="N10" s="37" t="s">
        <v>103</v>
      </c>
      <c r="O10" s="39"/>
      <c r="P10" s="37"/>
      <c r="Q10" s="42">
        <f>IF(Calcule!$A10="","",Calcule!J10)</f>
        <v>0.1</v>
      </c>
      <c r="R10" s="42">
        <f>IF(Calcule!$A10="","",Calcule!K10)</f>
        <v>0.12</v>
      </c>
      <c r="S10" s="42">
        <f>IF(Calcule!$A10="","",Calcule!L10)</f>
        <v>0.15</v>
      </c>
      <c r="T10" s="42">
        <f>IF(Calcule!$A10="","",Calcule!M10)</f>
        <v>0.2</v>
      </c>
      <c r="U10" s="42">
        <f>IF(Calcule!$A10="","",Calcule!N10)</f>
        <v>0.25</v>
      </c>
      <c r="V10" s="42">
        <f>IF(Calcule!$A10="","",Calcule!O10)</f>
        <v>0.33</v>
      </c>
      <c r="W10" s="43" t="str">
        <f>IF($A10="","",Verificare!$H10)</f>
        <v>OK</v>
      </c>
    </row>
    <row r="11" spans="1:23" x14ac:dyDescent="0.2">
      <c r="A11" s="37" t="s">
        <v>17</v>
      </c>
      <c r="B11" s="37" t="s">
        <v>124</v>
      </c>
      <c r="C11" s="38">
        <v>46433</v>
      </c>
      <c r="D11" s="38">
        <v>46453</v>
      </c>
      <c r="E11" s="39">
        <v>1450</v>
      </c>
      <c r="F11" s="40">
        <v>2</v>
      </c>
      <c r="G11" s="40" t="s">
        <v>100</v>
      </c>
      <c r="H11" s="14"/>
      <c r="I11" s="14"/>
      <c r="J11" s="14"/>
      <c r="K11" s="14"/>
      <c r="L11" s="14"/>
      <c r="M11" s="14"/>
      <c r="N11" s="37" t="s">
        <v>103</v>
      </c>
      <c r="O11" s="39"/>
      <c r="P11" s="37"/>
      <c r="Q11" s="42">
        <f>IF(Calcule!$A11="","",Calcule!J11)</f>
        <v>0.1</v>
      </c>
      <c r="R11" s="42">
        <f>IF(Calcule!$A11="","",Calcule!K11)</f>
        <v>0.12</v>
      </c>
      <c r="S11" s="42">
        <f>IF(Calcule!$A11="","",Calcule!L11)</f>
        <v>0.15</v>
      </c>
      <c r="T11" s="42">
        <f>IF(Calcule!$A11="","",Calcule!M11)</f>
        <v>0.2</v>
      </c>
      <c r="U11" s="42">
        <f>IF(Calcule!$A11="","",Calcule!N11)</f>
        <v>0.25</v>
      </c>
      <c r="V11" s="42">
        <f>IF(Calcule!$A11="","",Calcule!O11)</f>
        <v>0.33</v>
      </c>
      <c r="W11" s="43" t="str">
        <f>IF($A11="","",Verificare!$H11)</f>
        <v>OK</v>
      </c>
    </row>
    <row r="12" spans="1:23" x14ac:dyDescent="0.2">
      <c r="A12" s="37" t="s">
        <v>19</v>
      </c>
      <c r="B12" s="37" t="s">
        <v>126</v>
      </c>
      <c r="C12" s="38">
        <v>46454</v>
      </c>
      <c r="D12" s="38">
        <v>46568</v>
      </c>
      <c r="E12" s="39">
        <v>900</v>
      </c>
      <c r="F12" s="40">
        <v>2</v>
      </c>
      <c r="G12" s="40" t="s">
        <v>100</v>
      </c>
      <c r="H12" s="14"/>
      <c r="I12" s="14"/>
      <c r="J12" s="14"/>
      <c r="K12" s="14"/>
      <c r="L12" s="14"/>
      <c r="M12" s="14"/>
      <c r="N12" s="37" t="s">
        <v>103</v>
      </c>
      <c r="O12" s="39"/>
      <c r="P12" s="37" t="s">
        <v>127</v>
      </c>
      <c r="Q12" s="42">
        <f>IF(Calcule!$A12="","",Calcule!J12)</f>
        <v>0.1</v>
      </c>
      <c r="R12" s="42">
        <f>IF(Calcule!$A12="","",Calcule!K12)</f>
        <v>0.12</v>
      </c>
      <c r="S12" s="42">
        <f>IF(Calcule!$A12="","",Calcule!L12)</f>
        <v>0.15</v>
      </c>
      <c r="T12" s="42">
        <f>IF(Calcule!$A12="","",Calcule!M12)</f>
        <v>0.2</v>
      </c>
      <c r="U12" s="42">
        <f>IF(Calcule!$A12="","",Calcule!N12)</f>
        <v>0.25</v>
      </c>
      <c r="V12" s="42">
        <f>IF(Calcule!$A12="","",Calcule!O12)</f>
        <v>0.33</v>
      </c>
      <c r="W12" s="43" t="str">
        <f>IF($A12="","",Verificare!$H12)</f>
        <v>OK</v>
      </c>
    </row>
    <row r="13" spans="1:23" x14ac:dyDescent="0.2">
      <c r="A13" s="37"/>
      <c r="B13" s="37"/>
      <c r="C13" s="38"/>
      <c r="D13" s="38"/>
      <c r="E13" s="39"/>
      <c r="F13" s="40"/>
      <c r="G13" s="40"/>
      <c r="H13" s="14"/>
      <c r="I13" s="14"/>
      <c r="J13" s="14"/>
      <c r="K13" s="14"/>
      <c r="L13" s="14"/>
      <c r="M13" s="14"/>
      <c r="N13" s="37"/>
      <c r="O13" s="39"/>
      <c r="P13" s="37"/>
      <c r="Q13" s="42" t="str">
        <f>IF(Calcule!$A13="","",Calcule!J13)</f>
        <v/>
      </c>
      <c r="R13" s="42" t="str">
        <f>IF(Calcule!$A13="","",Calcule!K13)</f>
        <v/>
      </c>
      <c r="S13" s="42" t="str">
        <f>IF(Calcule!$A13="","",Calcule!L13)</f>
        <v/>
      </c>
      <c r="T13" s="42" t="str">
        <f>IF(Calcule!$A13="","",Calcule!M13)</f>
        <v/>
      </c>
      <c r="U13" s="42" t="str">
        <f>IF(Calcule!$A13="","",Calcule!N13)</f>
        <v/>
      </c>
      <c r="V13" s="42" t="str">
        <f>IF(Calcule!$A13="","",Calcule!O13)</f>
        <v/>
      </c>
      <c r="W13" s="43" t="str">
        <f>IF($A13="","",Verificare!$H13)</f>
        <v/>
      </c>
    </row>
    <row r="14" spans="1:23" x14ac:dyDescent="0.2">
      <c r="A14" s="37"/>
      <c r="B14" s="37"/>
      <c r="C14" s="38"/>
      <c r="D14" s="38"/>
      <c r="E14" s="39"/>
      <c r="F14" s="40"/>
      <c r="G14" s="40"/>
      <c r="H14" s="14"/>
      <c r="I14" s="14"/>
      <c r="J14" s="14"/>
      <c r="K14" s="14"/>
      <c r="L14" s="14"/>
      <c r="M14" s="14"/>
      <c r="N14" s="37"/>
      <c r="O14" s="39"/>
      <c r="P14" s="37"/>
      <c r="Q14" s="42" t="str">
        <f>IF(Calcule!$A14="","",Calcule!J14)</f>
        <v/>
      </c>
      <c r="R14" s="42" t="str">
        <f>IF(Calcule!$A14="","",Calcule!K14)</f>
        <v/>
      </c>
      <c r="S14" s="42" t="str">
        <f>IF(Calcule!$A14="","",Calcule!L14)</f>
        <v/>
      </c>
      <c r="T14" s="42" t="str">
        <f>IF(Calcule!$A14="","",Calcule!M14)</f>
        <v/>
      </c>
      <c r="U14" s="42" t="str">
        <f>IF(Calcule!$A14="","",Calcule!N14)</f>
        <v/>
      </c>
      <c r="V14" s="42" t="str">
        <f>IF(Calcule!$A14="","",Calcule!O14)</f>
        <v/>
      </c>
      <c r="W14" s="43" t="str">
        <f>IF($A14="","",Verificare!$H14)</f>
        <v/>
      </c>
    </row>
    <row r="15" spans="1:23" x14ac:dyDescent="0.2">
      <c r="A15" s="37"/>
      <c r="B15" s="37"/>
      <c r="C15" s="38"/>
      <c r="D15" s="38"/>
      <c r="E15" s="39"/>
      <c r="F15" s="40"/>
      <c r="G15" s="40"/>
      <c r="H15" s="14"/>
      <c r="I15" s="14"/>
      <c r="J15" s="14"/>
      <c r="K15" s="14"/>
      <c r="L15" s="14"/>
      <c r="M15" s="14"/>
      <c r="N15" s="37"/>
      <c r="O15" s="39"/>
      <c r="P15" s="37"/>
      <c r="Q15" s="42" t="str">
        <f>IF(Calcule!$A15="","",Calcule!J15)</f>
        <v/>
      </c>
      <c r="R15" s="42" t="str">
        <f>IF(Calcule!$A15="","",Calcule!K15)</f>
        <v/>
      </c>
      <c r="S15" s="42" t="str">
        <f>IF(Calcule!$A15="","",Calcule!L15)</f>
        <v/>
      </c>
      <c r="T15" s="42" t="str">
        <f>IF(Calcule!$A15="","",Calcule!M15)</f>
        <v/>
      </c>
      <c r="U15" s="42" t="str">
        <f>IF(Calcule!$A15="","",Calcule!N15)</f>
        <v/>
      </c>
      <c r="V15" s="42" t="str">
        <f>IF(Calcule!$A15="","",Calcule!O15)</f>
        <v/>
      </c>
      <c r="W15" s="43" t="str">
        <f>IF($A15="","",Verificare!$H15)</f>
        <v/>
      </c>
    </row>
    <row r="16" spans="1:23" x14ac:dyDescent="0.2">
      <c r="A16" s="37"/>
      <c r="B16" s="37"/>
      <c r="C16" s="38"/>
      <c r="D16" s="38"/>
      <c r="E16" s="39"/>
      <c r="F16" s="40"/>
      <c r="G16" s="40"/>
      <c r="H16" s="14"/>
      <c r="I16" s="14"/>
      <c r="J16" s="14"/>
      <c r="K16" s="14"/>
      <c r="L16" s="14"/>
      <c r="M16" s="14"/>
      <c r="N16" s="37"/>
      <c r="O16" s="39"/>
      <c r="P16" s="37"/>
      <c r="Q16" s="42" t="str">
        <f>IF(Calcule!$A16="","",Calcule!J16)</f>
        <v/>
      </c>
      <c r="R16" s="42" t="str">
        <f>IF(Calcule!$A16="","",Calcule!K16)</f>
        <v/>
      </c>
      <c r="S16" s="42" t="str">
        <f>IF(Calcule!$A16="","",Calcule!L16)</f>
        <v/>
      </c>
      <c r="T16" s="42" t="str">
        <f>IF(Calcule!$A16="","",Calcule!M16)</f>
        <v/>
      </c>
      <c r="U16" s="42" t="str">
        <f>IF(Calcule!$A16="","",Calcule!N16)</f>
        <v/>
      </c>
      <c r="V16" s="42" t="str">
        <f>IF(Calcule!$A16="","",Calcule!O16)</f>
        <v/>
      </c>
      <c r="W16" s="43" t="str">
        <f>IF($A16="","",Verificare!$H16)</f>
        <v/>
      </c>
    </row>
    <row r="17" spans="1:23" x14ac:dyDescent="0.2">
      <c r="A17" s="37"/>
      <c r="B17" s="37"/>
      <c r="C17" s="38"/>
      <c r="D17" s="38"/>
      <c r="E17" s="39"/>
      <c r="F17" s="40"/>
      <c r="G17" s="40"/>
      <c r="H17" s="14"/>
      <c r="I17" s="14"/>
      <c r="J17" s="14"/>
      <c r="K17" s="14"/>
      <c r="L17" s="14"/>
      <c r="M17" s="14"/>
      <c r="N17" s="37"/>
      <c r="O17" s="39"/>
      <c r="P17" s="37"/>
      <c r="Q17" s="42" t="str">
        <f>IF(Calcule!$A17="","",Calcule!J17)</f>
        <v/>
      </c>
      <c r="R17" s="42" t="str">
        <f>IF(Calcule!$A17="","",Calcule!K17)</f>
        <v/>
      </c>
      <c r="S17" s="42" t="str">
        <f>IF(Calcule!$A17="","",Calcule!L17)</f>
        <v/>
      </c>
      <c r="T17" s="42" t="str">
        <f>IF(Calcule!$A17="","",Calcule!M17)</f>
        <v/>
      </c>
      <c r="U17" s="42" t="str">
        <f>IF(Calcule!$A17="","",Calcule!N17)</f>
        <v/>
      </c>
      <c r="V17" s="42" t="str">
        <f>IF(Calcule!$A17="","",Calcule!O17)</f>
        <v/>
      </c>
      <c r="W17" s="43" t="str">
        <f>IF($A17="","",Verificare!$H17)</f>
        <v/>
      </c>
    </row>
    <row r="18" spans="1:23" x14ac:dyDescent="0.2">
      <c r="A18" s="37"/>
      <c r="B18" s="37"/>
      <c r="C18" s="38"/>
      <c r="D18" s="38"/>
      <c r="E18" s="39"/>
      <c r="F18" s="40"/>
      <c r="G18" s="40"/>
      <c r="H18" s="14"/>
      <c r="I18" s="14"/>
      <c r="J18" s="14"/>
      <c r="K18" s="14"/>
      <c r="L18" s="14"/>
      <c r="M18" s="14"/>
      <c r="N18" s="37"/>
      <c r="O18" s="39"/>
      <c r="P18" s="37"/>
      <c r="Q18" s="42" t="str">
        <f>IF(Calcule!$A18="","",Calcule!J18)</f>
        <v/>
      </c>
      <c r="R18" s="42" t="str">
        <f>IF(Calcule!$A18="","",Calcule!K18)</f>
        <v/>
      </c>
      <c r="S18" s="42" t="str">
        <f>IF(Calcule!$A18="","",Calcule!L18)</f>
        <v/>
      </c>
      <c r="T18" s="42" t="str">
        <f>IF(Calcule!$A18="","",Calcule!M18)</f>
        <v/>
      </c>
      <c r="U18" s="42" t="str">
        <f>IF(Calcule!$A18="","",Calcule!N18)</f>
        <v/>
      </c>
      <c r="V18" s="42" t="str">
        <f>IF(Calcule!$A18="","",Calcule!O18)</f>
        <v/>
      </c>
      <c r="W18" s="43" t="str">
        <f>IF($A18="","",Verificare!$H18)</f>
        <v/>
      </c>
    </row>
    <row r="19" spans="1:23" x14ac:dyDescent="0.2">
      <c r="A19" s="37"/>
      <c r="B19" s="37"/>
      <c r="C19" s="38"/>
      <c r="D19" s="38"/>
      <c r="E19" s="39"/>
      <c r="F19" s="40"/>
      <c r="G19" s="40"/>
      <c r="H19" s="14"/>
      <c r="I19" s="14"/>
      <c r="J19" s="14"/>
      <c r="K19" s="14"/>
      <c r="L19" s="14"/>
      <c r="M19" s="14"/>
      <c r="N19" s="37"/>
      <c r="O19" s="39"/>
      <c r="P19" s="37"/>
      <c r="Q19" s="42" t="str">
        <f>IF(Calcule!$A19="","",Calcule!J19)</f>
        <v/>
      </c>
      <c r="R19" s="42" t="str">
        <f>IF(Calcule!$A19="","",Calcule!K19)</f>
        <v/>
      </c>
      <c r="S19" s="42" t="str">
        <f>IF(Calcule!$A19="","",Calcule!L19)</f>
        <v/>
      </c>
      <c r="T19" s="42" t="str">
        <f>IF(Calcule!$A19="","",Calcule!M19)</f>
        <v/>
      </c>
      <c r="U19" s="42" t="str">
        <f>IF(Calcule!$A19="","",Calcule!N19)</f>
        <v/>
      </c>
      <c r="V19" s="42" t="str">
        <f>IF(Calcule!$A19="","",Calcule!O19)</f>
        <v/>
      </c>
      <c r="W19" s="43" t="str">
        <f>IF($A19="","",Verificare!$H19)</f>
        <v/>
      </c>
    </row>
    <row r="20" spans="1:23" x14ac:dyDescent="0.2">
      <c r="A20" s="37"/>
      <c r="B20" s="37"/>
      <c r="C20" s="38"/>
      <c r="D20" s="38"/>
      <c r="E20" s="39"/>
      <c r="F20" s="40"/>
      <c r="G20" s="40"/>
      <c r="H20" s="14"/>
      <c r="I20" s="14"/>
      <c r="J20" s="14"/>
      <c r="K20" s="14"/>
      <c r="L20" s="14"/>
      <c r="M20" s="14"/>
      <c r="N20" s="37"/>
      <c r="O20" s="39"/>
      <c r="P20" s="37"/>
      <c r="Q20" s="42" t="str">
        <f>IF(Calcule!$A20="","",Calcule!J20)</f>
        <v/>
      </c>
      <c r="R20" s="42" t="str">
        <f>IF(Calcule!$A20="","",Calcule!K20)</f>
        <v/>
      </c>
      <c r="S20" s="42" t="str">
        <f>IF(Calcule!$A20="","",Calcule!L20)</f>
        <v/>
      </c>
      <c r="T20" s="42" t="str">
        <f>IF(Calcule!$A20="","",Calcule!M20)</f>
        <v/>
      </c>
      <c r="U20" s="42" t="str">
        <f>IF(Calcule!$A20="","",Calcule!N20)</f>
        <v/>
      </c>
      <c r="V20" s="42" t="str">
        <f>IF(Calcule!$A20="","",Calcule!O20)</f>
        <v/>
      </c>
      <c r="W20" s="43" t="str">
        <f>IF($A20="","",Verificare!$H20)</f>
        <v/>
      </c>
    </row>
    <row r="21" spans="1:23" x14ac:dyDescent="0.2">
      <c r="A21" s="37"/>
      <c r="B21" s="37"/>
      <c r="C21" s="38"/>
      <c r="D21" s="38"/>
      <c r="E21" s="39"/>
      <c r="F21" s="40"/>
      <c r="G21" s="40"/>
      <c r="H21" s="14"/>
      <c r="I21" s="14"/>
      <c r="J21" s="14"/>
      <c r="K21" s="14"/>
      <c r="L21" s="14"/>
      <c r="M21" s="14"/>
      <c r="N21" s="37"/>
      <c r="O21" s="39"/>
      <c r="P21" s="37"/>
      <c r="Q21" s="42" t="str">
        <f>IF(Calcule!$A21="","",Calcule!J21)</f>
        <v/>
      </c>
      <c r="R21" s="42" t="str">
        <f>IF(Calcule!$A21="","",Calcule!K21)</f>
        <v/>
      </c>
      <c r="S21" s="42" t="str">
        <f>IF(Calcule!$A21="","",Calcule!L21)</f>
        <v/>
      </c>
      <c r="T21" s="42" t="str">
        <f>IF(Calcule!$A21="","",Calcule!M21)</f>
        <v/>
      </c>
      <c r="U21" s="42" t="str">
        <f>IF(Calcule!$A21="","",Calcule!N21)</f>
        <v/>
      </c>
      <c r="V21" s="42" t="str">
        <f>IF(Calcule!$A21="","",Calcule!O21)</f>
        <v/>
      </c>
      <c r="W21" s="43" t="str">
        <f>IF($A21="","",Verificare!$H21)</f>
        <v/>
      </c>
    </row>
    <row r="22" spans="1:23" x14ac:dyDescent="0.2">
      <c r="A22" s="37"/>
      <c r="B22" s="37"/>
      <c r="C22" s="38"/>
      <c r="D22" s="38"/>
      <c r="E22" s="39"/>
      <c r="F22" s="40"/>
      <c r="G22" s="40"/>
      <c r="H22" s="14"/>
      <c r="I22" s="14"/>
      <c r="J22" s="14"/>
      <c r="K22" s="14"/>
      <c r="L22" s="14"/>
      <c r="M22" s="14"/>
      <c r="N22" s="37"/>
      <c r="O22" s="39"/>
      <c r="P22" s="37"/>
      <c r="Q22" s="42" t="str">
        <f>IF(Calcule!$A22="","",Calcule!J22)</f>
        <v/>
      </c>
      <c r="R22" s="42" t="str">
        <f>IF(Calcule!$A22="","",Calcule!K22)</f>
        <v/>
      </c>
      <c r="S22" s="42" t="str">
        <f>IF(Calcule!$A22="","",Calcule!L22)</f>
        <v/>
      </c>
      <c r="T22" s="42" t="str">
        <f>IF(Calcule!$A22="","",Calcule!M22)</f>
        <v/>
      </c>
      <c r="U22" s="42" t="str">
        <f>IF(Calcule!$A22="","",Calcule!N22)</f>
        <v/>
      </c>
      <c r="V22" s="42" t="str">
        <f>IF(Calcule!$A22="","",Calcule!O22)</f>
        <v/>
      </c>
      <c r="W22" s="43" t="str">
        <f>IF($A22="","",Verificare!$H22)</f>
        <v/>
      </c>
    </row>
    <row r="23" spans="1:23" x14ac:dyDescent="0.2">
      <c r="A23" s="37"/>
      <c r="B23" s="37"/>
      <c r="C23" s="38"/>
      <c r="D23" s="38"/>
      <c r="E23" s="39"/>
      <c r="F23" s="40"/>
      <c r="G23" s="40"/>
      <c r="H23" s="14"/>
      <c r="I23" s="14"/>
      <c r="J23" s="14"/>
      <c r="K23" s="14"/>
      <c r="L23" s="14"/>
      <c r="M23" s="14"/>
      <c r="N23" s="37"/>
      <c r="O23" s="39"/>
      <c r="P23" s="37"/>
      <c r="Q23" s="42" t="str">
        <f>IF(Calcule!$A23="","",Calcule!J23)</f>
        <v/>
      </c>
      <c r="R23" s="42" t="str">
        <f>IF(Calcule!$A23="","",Calcule!K23)</f>
        <v/>
      </c>
      <c r="S23" s="42" t="str">
        <f>IF(Calcule!$A23="","",Calcule!L23)</f>
        <v/>
      </c>
      <c r="T23" s="42" t="str">
        <f>IF(Calcule!$A23="","",Calcule!M23)</f>
        <v/>
      </c>
      <c r="U23" s="42" t="str">
        <f>IF(Calcule!$A23="","",Calcule!N23)</f>
        <v/>
      </c>
      <c r="V23" s="42" t="str">
        <f>IF(Calcule!$A23="","",Calcule!O23)</f>
        <v/>
      </c>
      <c r="W23" s="43" t="str">
        <f>IF($A23="","",Verificare!$H23)</f>
        <v/>
      </c>
    </row>
    <row r="24" spans="1:23" x14ac:dyDescent="0.2">
      <c r="A24" s="37"/>
      <c r="B24" s="37"/>
      <c r="C24" s="38"/>
      <c r="D24" s="38"/>
      <c r="E24" s="39"/>
      <c r="F24" s="40"/>
      <c r="G24" s="40"/>
      <c r="H24" s="14"/>
      <c r="I24" s="14"/>
      <c r="J24" s="14"/>
      <c r="K24" s="14"/>
      <c r="L24" s="14"/>
      <c r="M24" s="14"/>
      <c r="N24" s="37"/>
      <c r="O24" s="39"/>
      <c r="P24" s="37"/>
      <c r="Q24" s="42" t="str">
        <f>IF(Calcule!$A24="","",Calcule!J24)</f>
        <v/>
      </c>
      <c r="R24" s="42" t="str">
        <f>IF(Calcule!$A24="","",Calcule!K24)</f>
        <v/>
      </c>
      <c r="S24" s="42" t="str">
        <f>IF(Calcule!$A24="","",Calcule!L24)</f>
        <v/>
      </c>
      <c r="T24" s="42" t="str">
        <f>IF(Calcule!$A24="","",Calcule!M24)</f>
        <v/>
      </c>
      <c r="U24" s="42" t="str">
        <f>IF(Calcule!$A24="","",Calcule!N24)</f>
        <v/>
      </c>
      <c r="V24" s="42" t="str">
        <f>IF(Calcule!$A24="","",Calcule!O24)</f>
        <v/>
      </c>
      <c r="W24" s="43" t="str">
        <f>IF($A24="","",Verificare!$H24)</f>
        <v/>
      </c>
    </row>
    <row r="25" spans="1:23" x14ac:dyDescent="0.2">
      <c r="A25" s="37"/>
      <c r="B25" s="37"/>
      <c r="C25" s="38"/>
      <c r="D25" s="38"/>
      <c r="E25" s="39"/>
      <c r="F25" s="40"/>
      <c r="G25" s="40"/>
      <c r="H25" s="14"/>
      <c r="I25" s="14"/>
      <c r="J25" s="14"/>
      <c r="K25" s="14"/>
      <c r="L25" s="14"/>
      <c r="M25" s="14"/>
      <c r="N25" s="37"/>
      <c r="O25" s="39"/>
      <c r="P25" s="37"/>
      <c r="Q25" s="42" t="str">
        <f>IF(Calcule!$A25="","",Calcule!J25)</f>
        <v/>
      </c>
      <c r="R25" s="42" t="str">
        <f>IF(Calcule!$A25="","",Calcule!K25)</f>
        <v/>
      </c>
      <c r="S25" s="42" t="str">
        <f>IF(Calcule!$A25="","",Calcule!L25)</f>
        <v/>
      </c>
      <c r="T25" s="42" t="str">
        <f>IF(Calcule!$A25="","",Calcule!M25)</f>
        <v/>
      </c>
      <c r="U25" s="42" t="str">
        <f>IF(Calcule!$A25="","",Calcule!N25)</f>
        <v/>
      </c>
      <c r="V25" s="42" t="str">
        <f>IF(Calcule!$A25="","",Calcule!O25)</f>
        <v/>
      </c>
      <c r="W25" s="43" t="str">
        <f>IF($A25="","",Verificare!$H25)</f>
        <v/>
      </c>
    </row>
    <row r="26" spans="1:23" x14ac:dyDescent="0.2">
      <c r="A26" s="37"/>
      <c r="B26" s="37"/>
      <c r="C26" s="38"/>
      <c r="D26" s="38"/>
      <c r="E26" s="39"/>
      <c r="F26" s="40"/>
      <c r="G26" s="40"/>
      <c r="H26" s="14"/>
      <c r="I26" s="14"/>
      <c r="J26" s="14"/>
      <c r="K26" s="14"/>
      <c r="L26" s="14"/>
      <c r="M26" s="14"/>
      <c r="N26" s="37"/>
      <c r="O26" s="39"/>
      <c r="P26" s="37"/>
      <c r="Q26" s="42" t="str">
        <f>IF(Calcule!$A26="","",Calcule!J26)</f>
        <v/>
      </c>
      <c r="R26" s="42" t="str">
        <f>IF(Calcule!$A26="","",Calcule!K26)</f>
        <v/>
      </c>
      <c r="S26" s="42" t="str">
        <f>IF(Calcule!$A26="","",Calcule!L26)</f>
        <v/>
      </c>
      <c r="T26" s="42" t="str">
        <f>IF(Calcule!$A26="","",Calcule!M26)</f>
        <v/>
      </c>
      <c r="U26" s="42" t="str">
        <f>IF(Calcule!$A26="","",Calcule!N26)</f>
        <v/>
      </c>
      <c r="V26" s="42" t="str">
        <f>IF(Calcule!$A26="","",Calcule!O26)</f>
        <v/>
      </c>
      <c r="W26" s="43" t="str">
        <f>IF($A26="","",Verificare!$H26)</f>
        <v/>
      </c>
    </row>
    <row r="27" spans="1:23" x14ac:dyDescent="0.2">
      <c r="A27" s="37"/>
      <c r="B27" s="37"/>
      <c r="C27" s="38"/>
      <c r="D27" s="38"/>
      <c r="E27" s="39"/>
      <c r="F27" s="40"/>
      <c r="G27" s="40"/>
      <c r="H27" s="14"/>
      <c r="I27" s="14"/>
      <c r="J27" s="14"/>
      <c r="K27" s="14"/>
      <c r="L27" s="14"/>
      <c r="M27" s="14"/>
      <c r="N27" s="37"/>
      <c r="O27" s="39"/>
      <c r="P27" s="37"/>
      <c r="Q27" s="42" t="str">
        <f>IF(Calcule!$A27="","",Calcule!J27)</f>
        <v/>
      </c>
      <c r="R27" s="42" t="str">
        <f>IF(Calcule!$A27="","",Calcule!K27)</f>
        <v/>
      </c>
      <c r="S27" s="42" t="str">
        <f>IF(Calcule!$A27="","",Calcule!L27)</f>
        <v/>
      </c>
      <c r="T27" s="42" t="str">
        <f>IF(Calcule!$A27="","",Calcule!M27)</f>
        <v/>
      </c>
      <c r="U27" s="42" t="str">
        <f>IF(Calcule!$A27="","",Calcule!N27)</f>
        <v/>
      </c>
      <c r="V27" s="42" t="str">
        <f>IF(Calcule!$A27="","",Calcule!O27)</f>
        <v/>
      </c>
      <c r="W27" s="43" t="str">
        <f>IF($A27="","",Verificare!$H27)</f>
        <v/>
      </c>
    </row>
    <row r="28" spans="1:23" x14ac:dyDescent="0.2">
      <c r="A28" s="37"/>
      <c r="B28" s="37"/>
      <c r="C28" s="38"/>
      <c r="D28" s="38"/>
      <c r="E28" s="39"/>
      <c r="F28" s="40"/>
      <c r="G28" s="40"/>
      <c r="H28" s="14"/>
      <c r="I28" s="14"/>
      <c r="J28" s="14"/>
      <c r="K28" s="14"/>
      <c r="L28" s="14"/>
      <c r="M28" s="14"/>
      <c r="N28" s="37"/>
      <c r="O28" s="39"/>
      <c r="P28" s="37"/>
      <c r="Q28" s="42" t="str">
        <f>IF(Calcule!$A28="","",Calcule!J28)</f>
        <v/>
      </c>
      <c r="R28" s="42" t="str">
        <f>IF(Calcule!$A28="","",Calcule!K28)</f>
        <v/>
      </c>
      <c r="S28" s="42" t="str">
        <f>IF(Calcule!$A28="","",Calcule!L28)</f>
        <v/>
      </c>
      <c r="T28" s="42" t="str">
        <f>IF(Calcule!$A28="","",Calcule!M28)</f>
        <v/>
      </c>
      <c r="U28" s="42" t="str">
        <f>IF(Calcule!$A28="","",Calcule!N28)</f>
        <v/>
      </c>
      <c r="V28" s="42" t="str">
        <f>IF(Calcule!$A28="","",Calcule!O28)</f>
        <v/>
      </c>
      <c r="W28" s="43" t="str">
        <f>IF($A28="","",Verificare!$H28)</f>
        <v/>
      </c>
    </row>
    <row r="29" spans="1:23" x14ac:dyDescent="0.2">
      <c r="A29" s="37"/>
      <c r="B29" s="37"/>
      <c r="C29" s="38"/>
      <c r="D29" s="38"/>
      <c r="E29" s="39"/>
      <c r="F29" s="40"/>
      <c r="G29" s="40"/>
      <c r="H29" s="14"/>
      <c r="I29" s="14"/>
      <c r="J29" s="14"/>
      <c r="K29" s="14"/>
      <c r="L29" s="14"/>
      <c r="M29" s="14"/>
      <c r="N29" s="37"/>
      <c r="O29" s="39"/>
      <c r="P29" s="37"/>
      <c r="Q29" s="42" t="str">
        <f>IF(Calcule!$A29="","",Calcule!J29)</f>
        <v/>
      </c>
      <c r="R29" s="42" t="str">
        <f>IF(Calcule!$A29="","",Calcule!K29)</f>
        <v/>
      </c>
      <c r="S29" s="42" t="str">
        <f>IF(Calcule!$A29="","",Calcule!L29)</f>
        <v/>
      </c>
      <c r="T29" s="42" t="str">
        <f>IF(Calcule!$A29="","",Calcule!M29)</f>
        <v/>
      </c>
      <c r="U29" s="42" t="str">
        <f>IF(Calcule!$A29="","",Calcule!N29)</f>
        <v/>
      </c>
      <c r="V29" s="42" t="str">
        <f>IF(Calcule!$A29="","",Calcule!O29)</f>
        <v/>
      </c>
      <c r="W29" s="43" t="str">
        <f>IF($A29="","",Verificare!$H29)</f>
        <v/>
      </c>
    </row>
    <row r="30" spans="1:23" x14ac:dyDescent="0.2">
      <c r="A30" s="37"/>
      <c r="B30" s="37"/>
      <c r="C30" s="38"/>
      <c r="D30" s="38"/>
      <c r="E30" s="39"/>
      <c r="F30" s="40"/>
      <c r="G30" s="40"/>
      <c r="H30" s="14"/>
      <c r="I30" s="14"/>
      <c r="J30" s="14"/>
      <c r="K30" s="14"/>
      <c r="L30" s="14"/>
      <c r="M30" s="14"/>
      <c r="N30" s="37"/>
      <c r="O30" s="39"/>
      <c r="P30" s="37"/>
      <c r="Q30" s="42" t="str">
        <f>IF(Calcule!$A30="","",Calcule!J30)</f>
        <v/>
      </c>
      <c r="R30" s="42" t="str">
        <f>IF(Calcule!$A30="","",Calcule!K30)</f>
        <v/>
      </c>
      <c r="S30" s="42" t="str">
        <f>IF(Calcule!$A30="","",Calcule!L30)</f>
        <v/>
      </c>
      <c r="T30" s="42" t="str">
        <f>IF(Calcule!$A30="","",Calcule!M30)</f>
        <v/>
      </c>
      <c r="U30" s="42" t="str">
        <f>IF(Calcule!$A30="","",Calcule!N30)</f>
        <v/>
      </c>
      <c r="V30" s="42" t="str">
        <f>IF(Calcule!$A30="","",Calcule!O30)</f>
        <v/>
      </c>
      <c r="W30" s="43" t="str">
        <f>IF($A30="","",Verificare!$H30)</f>
        <v/>
      </c>
    </row>
    <row r="31" spans="1:23" x14ac:dyDescent="0.2">
      <c r="A31" s="37"/>
      <c r="B31" s="37"/>
      <c r="C31" s="38"/>
      <c r="D31" s="38"/>
      <c r="E31" s="39"/>
      <c r="F31" s="40"/>
      <c r="G31" s="40"/>
      <c r="H31" s="14"/>
      <c r="I31" s="14"/>
      <c r="J31" s="14"/>
      <c r="K31" s="14"/>
      <c r="L31" s="14"/>
      <c r="M31" s="14"/>
      <c r="N31" s="37"/>
      <c r="O31" s="39"/>
      <c r="P31" s="37"/>
      <c r="Q31" s="42" t="str">
        <f>IF(Calcule!$A31="","",Calcule!J31)</f>
        <v/>
      </c>
      <c r="R31" s="42" t="str">
        <f>IF(Calcule!$A31="","",Calcule!K31)</f>
        <v/>
      </c>
      <c r="S31" s="42" t="str">
        <f>IF(Calcule!$A31="","",Calcule!L31)</f>
        <v/>
      </c>
      <c r="T31" s="42" t="str">
        <f>IF(Calcule!$A31="","",Calcule!M31)</f>
        <v/>
      </c>
      <c r="U31" s="42" t="str">
        <f>IF(Calcule!$A31="","",Calcule!N31)</f>
        <v/>
      </c>
      <c r="V31" s="42" t="str">
        <f>IF(Calcule!$A31="","",Calcule!O31)</f>
        <v/>
      </c>
      <c r="W31" s="43" t="str">
        <f>IF($A31="","",Verificare!$H31)</f>
        <v/>
      </c>
    </row>
    <row r="32" spans="1:23" x14ac:dyDescent="0.2">
      <c r="A32" s="37"/>
      <c r="B32" s="37"/>
      <c r="C32" s="38"/>
      <c r="D32" s="38"/>
      <c r="E32" s="39"/>
      <c r="F32" s="40"/>
      <c r="G32" s="40"/>
      <c r="H32" s="14"/>
      <c r="I32" s="14"/>
      <c r="J32" s="14"/>
      <c r="K32" s="14"/>
      <c r="L32" s="14"/>
      <c r="M32" s="14"/>
      <c r="N32" s="37"/>
      <c r="O32" s="39"/>
      <c r="P32" s="37"/>
      <c r="Q32" s="42" t="str">
        <f>IF(Calcule!$A32="","",Calcule!J32)</f>
        <v/>
      </c>
      <c r="R32" s="42" t="str">
        <f>IF(Calcule!$A32="","",Calcule!K32)</f>
        <v/>
      </c>
      <c r="S32" s="42" t="str">
        <f>IF(Calcule!$A32="","",Calcule!L32)</f>
        <v/>
      </c>
      <c r="T32" s="42" t="str">
        <f>IF(Calcule!$A32="","",Calcule!M32)</f>
        <v/>
      </c>
      <c r="U32" s="42" t="str">
        <f>IF(Calcule!$A32="","",Calcule!N32)</f>
        <v/>
      </c>
      <c r="V32" s="42" t="str">
        <f>IF(Calcule!$A32="","",Calcule!O32)</f>
        <v/>
      </c>
      <c r="W32" s="43" t="str">
        <f>IF($A32="","",Verificare!$H32)</f>
        <v/>
      </c>
    </row>
    <row r="33" spans="1:23" x14ac:dyDescent="0.2">
      <c r="A33" s="37"/>
      <c r="B33" s="37"/>
      <c r="C33" s="38"/>
      <c r="D33" s="38"/>
      <c r="E33" s="39"/>
      <c r="F33" s="40"/>
      <c r="G33" s="40"/>
      <c r="H33" s="14"/>
      <c r="I33" s="14"/>
      <c r="J33" s="14"/>
      <c r="K33" s="14"/>
      <c r="L33" s="14"/>
      <c r="M33" s="14"/>
      <c r="N33" s="37"/>
      <c r="O33" s="39"/>
      <c r="P33" s="37"/>
      <c r="Q33" s="42" t="str">
        <f>IF(Calcule!$A33="","",Calcule!J33)</f>
        <v/>
      </c>
      <c r="R33" s="42" t="str">
        <f>IF(Calcule!$A33="","",Calcule!K33)</f>
        <v/>
      </c>
      <c r="S33" s="42" t="str">
        <f>IF(Calcule!$A33="","",Calcule!L33)</f>
        <v/>
      </c>
      <c r="T33" s="42" t="str">
        <f>IF(Calcule!$A33="","",Calcule!M33)</f>
        <v/>
      </c>
      <c r="U33" s="42" t="str">
        <f>IF(Calcule!$A33="","",Calcule!N33)</f>
        <v/>
      </c>
      <c r="V33" s="42" t="str">
        <f>IF(Calcule!$A33="","",Calcule!O33)</f>
        <v/>
      </c>
      <c r="W33" s="43" t="str">
        <f>IF($A33="","",Verificare!$H33)</f>
        <v/>
      </c>
    </row>
    <row r="34" spans="1:23" x14ac:dyDescent="0.2">
      <c r="A34" s="37"/>
      <c r="B34" s="37"/>
      <c r="C34" s="38"/>
      <c r="D34" s="38"/>
      <c r="E34" s="39"/>
      <c r="F34" s="40"/>
      <c r="G34" s="40"/>
      <c r="H34" s="14"/>
      <c r="I34" s="14"/>
      <c r="J34" s="14"/>
      <c r="K34" s="14"/>
      <c r="L34" s="14"/>
      <c r="M34" s="14"/>
      <c r="N34" s="37"/>
      <c r="O34" s="39"/>
      <c r="P34" s="37"/>
      <c r="Q34" s="42" t="str">
        <f>IF(Calcule!$A34="","",Calcule!J34)</f>
        <v/>
      </c>
      <c r="R34" s="42" t="str">
        <f>IF(Calcule!$A34="","",Calcule!K34)</f>
        <v/>
      </c>
      <c r="S34" s="42" t="str">
        <f>IF(Calcule!$A34="","",Calcule!L34)</f>
        <v/>
      </c>
      <c r="T34" s="42" t="str">
        <f>IF(Calcule!$A34="","",Calcule!M34)</f>
        <v/>
      </c>
      <c r="U34" s="42" t="str">
        <f>IF(Calcule!$A34="","",Calcule!N34)</f>
        <v/>
      </c>
      <c r="V34" s="42" t="str">
        <f>IF(Calcule!$A34="","",Calcule!O34)</f>
        <v/>
      </c>
      <c r="W34" s="43" t="str">
        <f>IF($A34="","",Verificare!$H34)</f>
        <v/>
      </c>
    </row>
    <row r="35" spans="1:23" x14ac:dyDescent="0.2">
      <c r="A35" s="37"/>
      <c r="B35" s="37"/>
      <c r="C35" s="38"/>
      <c r="D35" s="38"/>
      <c r="E35" s="39"/>
      <c r="F35" s="40"/>
      <c r="G35" s="40"/>
      <c r="H35" s="14"/>
      <c r="I35" s="14"/>
      <c r="J35" s="14"/>
      <c r="K35" s="14"/>
      <c r="L35" s="14"/>
      <c r="M35" s="14"/>
      <c r="N35" s="37"/>
      <c r="O35" s="39"/>
      <c r="P35" s="37"/>
      <c r="Q35" s="42" t="str">
        <f>IF(Calcule!$A35="","",Calcule!J35)</f>
        <v/>
      </c>
      <c r="R35" s="42" t="str">
        <f>IF(Calcule!$A35="","",Calcule!K35)</f>
        <v/>
      </c>
      <c r="S35" s="42" t="str">
        <f>IF(Calcule!$A35="","",Calcule!L35)</f>
        <v/>
      </c>
      <c r="T35" s="42" t="str">
        <f>IF(Calcule!$A35="","",Calcule!M35)</f>
        <v/>
      </c>
      <c r="U35" s="42" t="str">
        <f>IF(Calcule!$A35="","",Calcule!N35)</f>
        <v/>
      </c>
      <c r="V35" s="42" t="str">
        <f>IF(Calcule!$A35="","",Calcule!O35)</f>
        <v/>
      </c>
      <c r="W35" s="43" t="str">
        <f>IF($A35="","",Verificare!$H35)</f>
        <v/>
      </c>
    </row>
    <row r="36" spans="1:23" x14ac:dyDescent="0.2">
      <c r="A36" s="37"/>
      <c r="B36" s="37"/>
      <c r="C36" s="38"/>
      <c r="D36" s="38"/>
      <c r="E36" s="39"/>
      <c r="F36" s="40"/>
      <c r="G36" s="40"/>
      <c r="H36" s="14"/>
      <c r="I36" s="14"/>
      <c r="J36" s="14"/>
      <c r="K36" s="14"/>
      <c r="L36" s="14"/>
      <c r="M36" s="14"/>
      <c r="N36" s="37"/>
      <c r="O36" s="39"/>
      <c r="P36" s="37"/>
      <c r="Q36" s="42" t="str">
        <f>IF(Calcule!$A36="","",Calcule!J36)</f>
        <v/>
      </c>
      <c r="R36" s="42" t="str">
        <f>IF(Calcule!$A36="","",Calcule!K36)</f>
        <v/>
      </c>
      <c r="S36" s="42" t="str">
        <f>IF(Calcule!$A36="","",Calcule!L36)</f>
        <v/>
      </c>
      <c r="T36" s="42" t="str">
        <f>IF(Calcule!$A36="","",Calcule!M36)</f>
        <v/>
      </c>
      <c r="U36" s="42" t="str">
        <f>IF(Calcule!$A36="","",Calcule!N36)</f>
        <v/>
      </c>
      <c r="V36" s="42" t="str">
        <f>IF(Calcule!$A36="","",Calcule!O36)</f>
        <v/>
      </c>
      <c r="W36" s="43" t="str">
        <f>IF($A36="","",Verificare!$H36)</f>
        <v/>
      </c>
    </row>
    <row r="37" spans="1:23" x14ac:dyDescent="0.2">
      <c r="A37" s="37"/>
      <c r="B37" s="37"/>
      <c r="C37" s="38"/>
      <c r="D37" s="38"/>
      <c r="E37" s="39"/>
      <c r="F37" s="40"/>
      <c r="G37" s="40"/>
      <c r="H37" s="14"/>
      <c r="I37" s="14"/>
      <c r="J37" s="14"/>
      <c r="K37" s="14"/>
      <c r="L37" s="14"/>
      <c r="M37" s="14"/>
      <c r="N37" s="37"/>
      <c r="O37" s="39"/>
      <c r="P37" s="37"/>
      <c r="Q37" s="42" t="str">
        <f>IF(Calcule!$A37="","",Calcule!J37)</f>
        <v/>
      </c>
      <c r="R37" s="42" t="str">
        <f>IF(Calcule!$A37="","",Calcule!K37)</f>
        <v/>
      </c>
      <c r="S37" s="42" t="str">
        <f>IF(Calcule!$A37="","",Calcule!L37)</f>
        <v/>
      </c>
      <c r="T37" s="42" t="str">
        <f>IF(Calcule!$A37="","",Calcule!M37)</f>
        <v/>
      </c>
      <c r="U37" s="42" t="str">
        <f>IF(Calcule!$A37="","",Calcule!N37)</f>
        <v/>
      </c>
      <c r="V37" s="42" t="str">
        <f>IF(Calcule!$A37="","",Calcule!O37)</f>
        <v/>
      </c>
      <c r="W37" s="43" t="str">
        <f>IF($A37="","",Verificare!$H37)</f>
        <v/>
      </c>
    </row>
    <row r="38" spans="1:23" x14ac:dyDescent="0.2">
      <c r="A38" s="37"/>
      <c r="B38" s="37"/>
      <c r="C38" s="38"/>
      <c r="D38" s="38"/>
      <c r="E38" s="39"/>
      <c r="F38" s="40"/>
      <c r="G38" s="40"/>
      <c r="H38" s="14"/>
      <c r="I38" s="14"/>
      <c r="J38" s="14"/>
      <c r="K38" s="14"/>
      <c r="L38" s="14"/>
      <c r="M38" s="14"/>
      <c r="N38" s="37"/>
      <c r="O38" s="39"/>
      <c r="P38" s="37"/>
      <c r="Q38" s="42" t="str">
        <f>IF(Calcule!$A38="","",Calcule!J38)</f>
        <v/>
      </c>
      <c r="R38" s="42" t="str">
        <f>IF(Calcule!$A38="","",Calcule!K38)</f>
        <v/>
      </c>
      <c r="S38" s="42" t="str">
        <f>IF(Calcule!$A38="","",Calcule!L38)</f>
        <v/>
      </c>
      <c r="T38" s="42" t="str">
        <f>IF(Calcule!$A38="","",Calcule!M38)</f>
        <v/>
      </c>
      <c r="U38" s="42" t="str">
        <f>IF(Calcule!$A38="","",Calcule!N38)</f>
        <v/>
      </c>
      <c r="V38" s="42" t="str">
        <f>IF(Calcule!$A38="","",Calcule!O38)</f>
        <v/>
      </c>
      <c r="W38" s="43" t="str">
        <f>IF($A38="","",Verificare!$H38)</f>
        <v/>
      </c>
    </row>
    <row r="39" spans="1:23" x14ac:dyDescent="0.2">
      <c r="A39" s="37"/>
      <c r="B39" s="37"/>
      <c r="C39" s="38"/>
      <c r="D39" s="38"/>
      <c r="E39" s="39"/>
      <c r="F39" s="40"/>
      <c r="G39" s="40"/>
      <c r="H39" s="14"/>
      <c r="I39" s="14"/>
      <c r="J39" s="14"/>
      <c r="K39" s="14"/>
      <c r="L39" s="14"/>
      <c r="M39" s="14"/>
      <c r="N39" s="37"/>
      <c r="O39" s="39"/>
      <c r="P39" s="37"/>
      <c r="Q39" s="42" t="str">
        <f>IF(Calcule!$A39="","",Calcule!J39)</f>
        <v/>
      </c>
      <c r="R39" s="42" t="str">
        <f>IF(Calcule!$A39="","",Calcule!K39)</f>
        <v/>
      </c>
      <c r="S39" s="42" t="str">
        <f>IF(Calcule!$A39="","",Calcule!L39)</f>
        <v/>
      </c>
      <c r="T39" s="42" t="str">
        <f>IF(Calcule!$A39="","",Calcule!M39)</f>
        <v/>
      </c>
      <c r="U39" s="42" t="str">
        <f>IF(Calcule!$A39="","",Calcule!N39)</f>
        <v/>
      </c>
      <c r="V39" s="42" t="str">
        <f>IF(Calcule!$A39="","",Calcule!O39)</f>
        <v/>
      </c>
      <c r="W39" s="43" t="str">
        <f>IF($A39="","",Verificare!$H39)</f>
        <v/>
      </c>
    </row>
    <row r="40" spans="1:23" x14ac:dyDescent="0.2">
      <c r="A40" s="37"/>
      <c r="B40" s="37"/>
      <c r="C40" s="38"/>
      <c r="D40" s="38"/>
      <c r="E40" s="39"/>
      <c r="F40" s="40"/>
      <c r="G40" s="40"/>
      <c r="H40" s="14"/>
      <c r="I40" s="14"/>
      <c r="J40" s="14"/>
      <c r="K40" s="14"/>
      <c r="L40" s="14"/>
      <c r="M40" s="14"/>
      <c r="N40" s="37"/>
      <c r="O40" s="39"/>
      <c r="P40" s="37"/>
      <c r="Q40" s="42" t="str">
        <f>IF(Calcule!$A40="","",Calcule!J40)</f>
        <v/>
      </c>
      <c r="R40" s="42" t="str">
        <f>IF(Calcule!$A40="","",Calcule!K40)</f>
        <v/>
      </c>
      <c r="S40" s="42" t="str">
        <f>IF(Calcule!$A40="","",Calcule!L40)</f>
        <v/>
      </c>
      <c r="T40" s="42" t="str">
        <f>IF(Calcule!$A40="","",Calcule!M40)</f>
        <v/>
      </c>
      <c r="U40" s="42" t="str">
        <f>IF(Calcule!$A40="","",Calcule!N40)</f>
        <v/>
      </c>
      <c r="V40" s="42" t="str">
        <f>IF(Calcule!$A40="","",Calcule!O40)</f>
        <v/>
      </c>
      <c r="W40" s="43" t="str">
        <f>IF($A40="","",Verificare!$H40)</f>
        <v/>
      </c>
    </row>
  </sheetData>
  <mergeCells count="2">
    <mergeCell ref="H4:M4"/>
    <mergeCell ref="Q4:V4"/>
  </mergeCells>
  <conditionalFormatting sqref="H6:M40">
    <cfRule type="expression" dxfId="7" priority="1" stopIfTrue="1">
      <formula>$G6&lt;&gt;"Personalizat"</formula>
    </cfRule>
  </conditionalFormatting>
  <conditionalFormatting sqref="W6:W40">
    <cfRule type="containsText" dxfId="6" priority="2" stopIfTrue="1" operator="containsText" text="⚠">
      <formula>NOT(ISERROR(SEARCH("⚠",W6)))</formula>
    </cfRule>
  </conditionalFormatting>
  <dataValidations count="2">
    <dataValidation type="list" allowBlank="1" showInputMessage="1" showErrorMessage="1" sqref="G6:G40" xr:uid="{348EB61A-D860-4D9D-AD1F-B6902CA8AFCF}">
      <formula1>lst_Tip</formula1>
    </dataValidation>
    <dataValidation type="list" allowBlank="1" showInputMessage="1" showErrorMessage="1" sqref="N6:N40" xr:uid="{E519CE6D-D0CE-4046-B41C-B66D55C23DE3}">
      <formula1>lst_Pol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1F302-80EF-43F2-B31C-F5BC06C53218}">
  <sheetPr>
    <tabColor rgb="FFC65911"/>
  </sheetPr>
  <dimension ref="A1:AE40"/>
  <sheetViews>
    <sheetView workbookViewId="0">
      <pane xSplit="1" ySplit="5" topLeftCell="B6" activePane="bottomRight" state="frozenSplit"/>
      <selection pane="topRight" activeCell="B1" sqref="B1"/>
      <selection pane="bottomLeft" activeCell="A6" sqref="A6"/>
      <selection pane="bottomRight"/>
    </sheetView>
  </sheetViews>
  <sheetFormatPr defaultRowHeight="12.75" x14ac:dyDescent="0.2"/>
  <cols>
    <col min="1" max="1" width="20.7109375" customWidth="1"/>
    <col min="2" max="3" width="11.7109375" customWidth="1"/>
    <col min="4" max="4" width="7.7109375" customWidth="1"/>
    <col min="5" max="5" width="12.7109375" customWidth="1"/>
    <col min="6" max="9" width="13.7109375" customWidth="1"/>
    <col min="10" max="12" width="30.7109375" customWidth="1"/>
    <col min="13" max="24" width="12.28515625" customWidth="1"/>
    <col min="25" max="27" width="11.7109375" customWidth="1"/>
    <col min="28" max="30" width="10.7109375" customWidth="1"/>
    <col min="31" max="31" width="16.7109375" customWidth="1"/>
  </cols>
  <sheetData>
    <row r="1" spans="1:31" ht="18" x14ac:dyDescent="0.25">
      <c r="A1" s="9" t="s">
        <v>207</v>
      </c>
    </row>
    <row r="2" spans="1:31" x14ac:dyDescent="0.2">
      <c r="A2" s="10" t="s">
        <v>208</v>
      </c>
    </row>
    <row r="3" spans="1:31" x14ac:dyDescent="0.2">
      <c r="A3" s="10" t="s">
        <v>209</v>
      </c>
    </row>
    <row r="4" spans="1:31" x14ac:dyDescent="0.2">
      <c r="A4" s="85" t="s">
        <v>210</v>
      </c>
      <c r="B4" s="85"/>
      <c r="C4" s="85"/>
      <c r="D4" s="85"/>
      <c r="E4" s="85"/>
      <c r="F4" s="88" t="s">
        <v>211</v>
      </c>
      <c r="G4" s="88"/>
      <c r="H4" s="88"/>
      <c r="I4" s="88"/>
      <c r="J4" s="88"/>
      <c r="K4" s="88"/>
      <c r="L4" s="88"/>
      <c r="M4" s="86" t="s">
        <v>212</v>
      </c>
      <c r="N4" s="86"/>
      <c r="O4" s="86"/>
      <c r="P4" s="86"/>
      <c r="Q4" s="86"/>
      <c r="R4" s="86"/>
      <c r="S4" s="86"/>
      <c r="T4" s="86"/>
      <c r="U4" s="86" t="s">
        <v>213</v>
      </c>
      <c r="V4" s="86"/>
      <c r="W4" s="86"/>
      <c r="X4" s="86"/>
      <c r="Y4" s="89" t="s">
        <v>214</v>
      </c>
      <c r="Z4" s="89"/>
      <c r="AA4" s="89"/>
      <c r="AB4" s="87" t="s">
        <v>215</v>
      </c>
      <c r="AC4" s="87"/>
      <c r="AD4" s="87"/>
    </row>
    <row r="5" spans="1:31" ht="43.9" customHeight="1" x14ac:dyDescent="0.2">
      <c r="A5" s="13" t="s">
        <v>112</v>
      </c>
      <c r="B5" s="13" t="s">
        <v>216</v>
      </c>
      <c r="C5" s="13" t="s">
        <v>217</v>
      </c>
      <c r="D5" s="13" t="s">
        <v>218</v>
      </c>
      <c r="E5" s="13" t="s">
        <v>118</v>
      </c>
      <c r="F5" s="13" t="s">
        <v>219</v>
      </c>
      <c r="G5" s="13" t="s">
        <v>220</v>
      </c>
      <c r="H5" s="13" t="s">
        <v>221</v>
      </c>
      <c r="I5" s="13" t="s">
        <v>222</v>
      </c>
      <c r="J5" s="13" t="s">
        <v>223</v>
      </c>
      <c r="K5" s="13" t="s">
        <v>224</v>
      </c>
      <c r="L5" s="13" t="s">
        <v>225</v>
      </c>
      <c r="M5" s="13" t="s">
        <v>226</v>
      </c>
      <c r="N5" s="13" t="s">
        <v>227</v>
      </c>
      <c r="O5" s="13" t="s">
        <v>228</v>
      </c>
      <c r="P5" s="13" t="s">
        <v>59</v>
      </c>
      <c r="Q5" s="13" t="s">
        <v>60</v>
      </c>
      <c r="R5" s="13" t="s">
        <v>229</v>
      </c>
      <c r="S5" s="13" t="s">
        <v>230</v>
      </c>
      <c r="T5" s="13" t="s">
        <v>231</v>
      </c>
      <c r="U5" s="13" t="s">
        <v>227</v>
      </c>
      <c r="V5" s="13" t="s">
        <v>228</v>
      </c>
      <c r="W5" s="13" t="s">
        <v>59</v>
      </c>
      <c r="X5" s="13" t="s">
        <v>60</v>
      </c>
      <c r="Y5" s="13" t="s">
        <v>232</v>
      </c>
      <c r="Z5" s="13" t="s">
        <v>233</v>
      </c>
      <c r="AA5" s="13" t="s">
        <v>234</v>
      </c>
      <c r="AB5" s="13" t="s">
        <v>228</v>
      </c>
      <c r="AC5" s="13" t="s">
        <v>59</v>
      </c>
      <c r="AD5" s="13" t="s">
        <v>60</v>
      </c>
      <c r="AE5" s="13" t="s">
        <v>235</v>
      </c>
    </row>
    <row r="6" spans="1:31" ht="24" x14ac:dyDescent="0.2">
      <c r="A6" s="53" t="str">
        <f>IF(Calcule!$A6="","",Calcule!$A6)</f>
        <v>vara-toamna-2026</v>
      </c>
      <c r="B6" s="54">
        <f>IF($A6="","",Perioade!$C6)</f>
        <v>46204</v>
      </c>
      <c r="C6" s="54">
        <f>IF($A6="","",Perioade!$D6)</f>
        <v>46356</v>
      </c>
      <c r="D6" s="55">
        <f>IF($A6="","",Calcule!$C6)</f>
        <v>2</v>
      </c>
      <c r="E6" s="55" t="str">
        <f>IF($A6="","",Calcule!$B6)</f>
        <v>Standard</v>
      </c>
      <c r="F6" s="57">
        <f>IF($A6="","",Calcule!$R6)</f>
        <v>900</v>
      </c>
      <c r="G6" s="57">
        <f>IF($A6="","",Calcule!$Y6)</f>
        <v>1160</v>
      </c>
      <c r="H6" s="57">
        <f>IF($A6="","",Calcule!$AE6)</f>
        <v>940</v>
      </c>
      <c r="I6" s="57">
        <f>IF($A6="","",Calcule!$AI6)</f>
        <v>1000</v>
      </c>
      <c r="J6" s="58" t="str">
        <f>IF($A6="","",IF(b_Durata=0,"Fără planuri pe durată",IF(Calcule!$B6="Preț fix","Doar planul „Sărbători” (fără reduceri pe durată)",IF(Calcule!$B6="Standard","Planurile „2 zile” … „7 zile” (scara standard)","⚠ Planuri separate: "&amp;Calcule!$AS6))))</f>
        <v>Planurile „2 zile” … „7 zile” (scara standard)</v>
      </c>
      <c r="K6" s="58" t="str">
        <f>IF($A6="","",IF(N(Perioade!$O6)&gt;0,"Cu sugestia Airbnb ("&amp;ROUND(a_PondSug*100,0)&amp;"%)",IF(ABS(Calcule!$AB6-Calcule!$Q6)&gt;0.0001,"Urcat pentru reducerea globală ("&amp;ROUND(Calcule!$AB6*100,0)&amp;"% la "&amp;$D6&amp;" nopți) – mai puțin la sejururi lungi","Reducerile Airbnb = cele de pe site")))</f>
        <v>Cu sugestia Airbnb (30%)</v>
      </c>
      <c r="L6" s="58" t="str">
        <f>IF($A6="","",IF(OR(m_Durata=0,Calcule!$P6=0),"Fără reduceri pe durată","Reduceri "&amp;Calcule!$AS6&amp;" pe "&amp;RIGHT("0"&amp;DAY($B6),2)&amp;"."&amp;RIGHT("0"&amp;MONTH($B6),2)&amp;"–"&amp;RIGHT("0"&amp;DAY($C6),2)&amp;"."&amp;RIGHT("0"&amp;MONTH($C6),2)&amp;"."&amp;YEAR($C6)))</f>
        <v>Reduceri 10/12/15/20/25/33% (2…7+ nopți) pe 01.07–30.11.2026</v>
      </c>
      <c r="M6" s="49">
        <f>IF($A6="","",Calcule!$U6)</f>
        <v>653.79665379665369</v>
      </c>
      <c r="N6" s="49">
        <f>IF($A6="","",Calcule!$T6)</f>
        <v>686.48648648648646</v>
      </c>
      <c r="O6" s="49">
        <f>IF($A6="","",Calcule!$AK6)</f>
        <v>657.28844324324325</v>
      </c>
      <c r="P6" s="49">
        <f>IF($A6="","",Calcule!$AM6)</f>
        <v>587.78891891891885</v>
      </c>
      <c r="Q6" s="49">
        <f>IF($A6="","",Calcule!$AO6)</f>
        <v>659.56756756756749</v>
      </c>
      <c r="R6" s="59">
        <f t="shared" ref="R6:R40" si="0">IF($A6="","",O6/$M6)</f>
        <v>1.0053407881889767</v>
      </c>
      <c r="S6" s="59">
        <f t="shared" ref="S6:S40" si="1">IF($A6="","",P6/$M6)</f>
        <v>0.89903935039370086</v>
      </c>
      <c r="T6" s="59">
        <f t="shared" ref="T6:T40" si="2">IF($A6="","",Q6/$M6)</f>
        <v>1.0088267716535433</v>
      </c>
      <c r="U6" s="49">
        <f>IF($A6="","",Calcule!$S6)</f>
        <v>810</v>
      </c>
      <c r="V6" s="49">
        <f>IF($A6="","",Calcule!$AJ6)</f>
        <v>939.6</v>
      </c>
      <c r="W6" s="49">
        <f>IF($A6="","",Calcule!$AL6)</f>
        <v>846</v>
      </c>
      <c r="X6" s="49">
        <f>IF($A6="","",Calcule!$AN6)</f>
        <v>900</v>
      </c>
      <c r="Y6" s="56">
        <f>IF($A6="","",IFERROR(INDEX('Date actuale'!$C$6:$C$40,MATCH($A6,'Date actuale'!$A$6:$A$40,0)),""))</f>
        <v>1160</v>
      </c>
      <c r="Z6" s="56">
        <f>IF($A6="","",IFERROR(INDEX('Date actuale'!$D$6:$D$40,MATCH($A6,'Date actuale'!$A$6:$A$40,0)),""))</f>
        <v>940</v>
      </c>
      <c r="AA6" s="56">
        <f>IF($A6="","",IFERROR(INDEX('Date actuale'!$E$6:$E$40,MATCH($A6,'Date actuale'!$A$6:$A$40,0)),""))</f>
        <v>1000</v>
      </c>
      <c r="AB6" s="60">
        <f>IF($A6="","",Calcule!$AP6)</f>
        <v>0.18170685060565278</v>
      </c>
      <c r="AC6" s="60">
        <f>IF($A6="","",Calcule!$AQ6)</f>
        <v>0.18239887218045114</v>
      </c>
      <c r="AD6" s="60">
        <f>IF($A6="","",Calcule!$AR6)</f>
        <v>0.14070422535211269</v>
      </c>
      <c r="AE6" s="52" t="str">
        <f>IF($A6="","",Perioade!$N6)</f>
        <v>Flexibil 14 zile</v>
      </c>
    </row>
    <row r="7" spans="1:31" ht="24" x14ac:dyDescent="0.2">
      <c r="A7" s="53" t="str">
        <f>IF(Calcule!$A7="","",Calcule!$A7)</f>
        <v>iarna-2026</v>
      </c>
      <c r="B7" s="54">
        <f>IF($A7="","",Perioade!$C7)</f>
        <v>46357</v>
      </c>
      <c r="C7" s="54">
        <f>IF($A7="","",Perioade!$D7)</f>
        <v>46376</v>
      </c>
      <c r="D7" s="55">
        <f>IF($A7="","",Calcule!$C7)</f>
        <v>2</v>
      </c>
      <c r="E7" s="55" t="str">
        <f>IF($A7="","",Calcule!$B7)</f>
        <v>Standard</v>
      </c>
      <c r="F7" s="57">
        <f>IF($A7="","",Calcule!$R7)</f>
        <v>1250</v>
      </c>
      <c r="G7" s="57">
        <f>IF($A7="","",Calcule!$Y7)</f>
        <v>1610</v>
      </c>
      <c r="H7" s="57">
        <f>IF($A7="","",Calcule!$AE7)</f>
        <v>1450</v>
      </c>
      <c r="I7" s="57">
        <f>IF($A7="","",Calcule!$AI7)</f>
        <v>1380</v>
      </c>
      <c r="J7" s="58" t="str">
        <f>IF($A7="","",IF(b_Durata=0,"Fără planuri pe durată",IF(Calcule!$B7="Preț fix","Doar planul „Sărbători” (fără reduceri pe durată)",IF(Calcule!$B7="Standard","Planurile „2 zile” … „7 zile” (scara standard)","⚠ Planuri separate: "&amp;Calcule!$AS7))))</f>
        <v>Planurile „2 zile” … „7 zile” (scara standard)</v>
      </c>
      <c r="K7" s="58" t="str">
        <f>IF($A7="","",IF(N(Perioade!$O7)&gt;0,"Cu sugestia Airbnb ("&amp;ROUND(a_PondSug*100,0)&amp;"%)",IF(ABS(Calcule!$AB7-Calcule!$Q7)&gt;0.0001,"Urcat pentru reducerea globală ("&amp;ROUND(Calcule!$AB7*100,0)&amp;"% la "&amp;$D7&amp;" nopți) – mai puțin la sejururi lungi","Reducerile Airbnb = cele de pe site")))</f>
        <v>Reducerile Airbnb = cele de pe site</v>
      </c>
      <c r="L7" s="58" t="str">
        <f>IF($A7="","",IF(OR(m_Durata=0,Calcule!$P7=0),"Fără reduceri pe durată","Reduceri "&amp;Calcule!$AS7&amp;" pe "&amp;RIGHT("0"&amp;DAY($B7),2)&amp;"."&amp;RIGHT("0"&amp;MONTH($B7),2)&amp;"–"&amp;RIGHT("0"&amp;DAY($C7),2)&amp;"."&amp;RIGHT("0"&amp;MONTH($C7),2)&amp;"."&amp;YEAR($C7)))</f>
        <v>Reduceri 10/12/15/20/25/33% (2…7+ nopți) pe 01.12–20.12.2026</v>
      </c>
      <c r="M7" s="49">
        <f>IF($A7="","",Calcule!$U7)</f>
        <v>924.066924066924</v>
      </c>
      <c r="N7" s="49">
        <f>IF($A7="","",Calcule!$T7)</f>
        <v>970.2702702702702</v>
      </c>
      <c r="O7" s="49">
        <f>IF($A7="","",Calcule!$AK7)</f>
        <v>926.25332162162169</v>
      </c>
      <c r="P7" s="49">
        <f>IF($A7="","",Calcule!$AM7)</f>
        <v>930.1574324324323</v>
      </c>
      <c r="Q7" s="49">
        <f>IF($A7="","",Calcule!$AO7)</f>
        <v>926.63567567567566</v>
      </c>
      <c r="R7" s="59">
        <f t="shared" si="0"/>
        <v>1.0023660597493038</v>
      </c>
      <c r="S7" s="59">
        <f t="shared" si="1"/>
        <v>1.0065909818941503</v>
      </c>
      <c r="T7" s="59">
        <f t="shared" si="2"/>
        <v>1.0027798328690809</v>
      </c>
      <c r="U7" s="49">
        <f>IF($A7="","",Calcule!$S7)</f>
        <v>1125</v>
      </c>
      <c r="V7" s="49">
        <f>IF($A7="","",Calcule!$AJ7)</f>
        <v>1304.1000000000001</v>
      </c>
      <c r="W7" s="49">
        <f>IF($A7="","",Calcule!$AL7)</f>
        <v>1305</v>
      </c>
      <c r="X7" s="49">
        <f>IF($A7="","",Calcule!$AN7)</f>
        <v>1242</v>
      </c>
      <c r="Y7" s="56">
        <f>IF($A7="","",IFERROR(INDEX('Date actuale'!$C$6:$C$40,MATCH($A7,'Date actuale'!$A$6:$A$40,0)),""))</f>
        <v>1610</v>
      </c>
      <c r="Z7" s="56">
        <f>IF($A7="","",IFERROR(INDEX('Date actuale'!$D$6:$D$40,MATCH($A7,'Date actuale'!$A$6:$A$40,0)),""))</f>
        <v>1450</v>
      </c>
      <c r="AA7" s="56">
        <f>IF($A7="","",IFERROR(INDEX('Date actuale'!$E$6:$E$40,MATCH($A7,'Date actuale'!$A$6:$A$40,0)),""))</f>
        <v>1380</v>
      </c>
      <c r="AB7" s="60">
        <f>IF($A7="","",Calcule!$AP7)</f>
        <v>0.18148142106520185</v>
      </c>
      <c r="AC7" s="60">
        <f>IF($A7="","",Calcule!$AQ7)</f>
        <v>0.17861992840095467</v>
      </c>
      <c r="AD7" s="60">
        <f>IF($A7="","",Calcule!$AR7)</f>
        <v>0.13855477386934673</v>
      </c>
      <c r="AE7" s="52" t="str">
        <f>IF($A7="","",Perioade!$N7)</f>
        <v>Flexibil 14 zile</v>
      </c>
    </row>
    <row r="8" spans="1:31" ht="36" x14ac:dyDescent="0.2">
      <c r="A8" s="53" t="str">
        <f>IF(Calcule!$A8="","",Calcule!$A8)</f>
        <v>Craciun-2026</v>
      </c>
      <c r="B8" s="54">
        <f>IF($A8="","",Perioade!$C8)</f>
        <v>46377</v>
      </c>
      <c r="C8" s="54">
        <f>IF($A8="","",Perioade!$D8)</f>
        <v>46383</v>
      </c>
      <c r="D8" s="55">
        <f>IF($A8="","",Calcule!$C8)</f>
        <v>3</v>
      </c>
      <c r="E8" s="55" t="str">
        <f>IF($A8="","",Calcule!$B8)</f>
        <v>Preț fix</v>
      </c>
      <c r="F8" s="57">
        <f>IF($A8="","",Calcule!$R8)</f>
        <v>1500</v>
      </c>
      <c r="G8" s="57">
        <f>IF($A8="","",Calcule!$Y8)</f>
        <v>1940</v>
      </c>
      <c r="H8" s="57">
        <f>IF($A8="","",Calcule!$AE8)</f>
        <v>1970</v>
      </c>
      <c r="I8" s="57">
        <f>IF($A8="","",Calcule!$AI8)</f>
        <v>1660</v>
      </c>
      <c r="J8" s="58" t="str">
        <f>IF($A8="","",IF(b_Durata=0,"Fără planuri pe durată",IF(Calcule!$B8="Preț fix","Doar planul „Sărbători” (fără reduceri pe durată)",IF(Calcule!$B8="Standard","Planurile „2 zile” … „7 zile” (scara standard)","⚠ Planuri separate: "&amp;Calcule!$AS8))))</f>
        <v>Doar planul „Sărbători” (fără reduceri pe durată)</v>
      </c>
      <c r="K8" s="58" t="str">
        <f>IF($A8="","",IF(N(Perioade!$O8)&gt;0,"Cu sugestia Airbnb ("&amp;ROUND(a_PondSug*100,0)&amp;"%)",IF(ABS(Calcule!$AB8-Calcule!$Q8)&gt;0.0001,"Urcat pentru reducerea globală ("&amp;ROUND(Calcule!$AB8*100,0)&amp;"% la "&amp;$D8&amp;" nopți) – mai puțin la sejururi lungi","Reducerile Airbnb = cele de pe site")))</f>
        <v>Urcat pentru reducerea globală (12% la 3 nopți) – mai puțin la sejururi lungi</v>
      </c>
      <c r="L8" s="58" t="str">
        <f>IF($A8="","",IF(OR(m_Durata=0,Calcule!$P8=0),"Fără reduceri pe durată","Reduceri "&amp;Calcule!$AS8&amp;" pe "&amp;RIGHT("0"&amp;DAY($B8),2)&amp;"."&amp;RIGHT("0"&amp;MONTH($B8),2)&amp;"–"&amp;RIGHT("0"&amp;DAY($C8),2)&amp;"."&amp;RIGHT("0"&amp;MONTH($C8),2)&amp;"."&amp;YEAR($C8)))</f>
        <v>Fără reduceri pe durată</v>
      </c>
      <c r="M8" s="49">
        <f>IF($A8="","",Calcule!$U8)</f>
        <v>1245.8172458172455</v>
      </c>
      <c r="N8" s="49">
        <f>IF($A8="","",Calcule!$T8)</f>
        <v>1308.1081081081079</v>
      </c>
      <c r="O8" s="49">
        <f>IF($A8="","",Calcule!$AK8)</f>
        <v>1252.3317297297294</v>
      </c>
      <c r="P8" s="49">
        <f>IF($A8="","",Calcule!$AM8)</f>
        <v>1249.8505585585585</v>
      </c>
      <c r="Q8" s="49">
        <f>IF($A8="","",Calcule!$AO8)</f>
        <v>1253.0522522522522</v>
      </c>
      <c r="R8" s="59">
        <f t="shared" si="0"/>
        <v>1.0052290847107439</v>
      </c>
      <c r="S8" s="59">
        <f t="shared" si="1"/>
        <v>1.0032374834710747</v>
      </c>
      <c r="T8" s="59">
        <f t="shared" si="2"/>
        <v>1.0058074380165292</v>
      </c>
      <c r="U8" s="49">
        <f>IF($A8="","",Calcule!$S8)</f>
        <v>1500</v>
      </c>
      <c r="V8" s="49">
        <f>IF($A8="","",Calcule!$AJ8)</f>
        <v>1746</v>
      </c>
      <c r="W8" s="49">
        <f>IF($A8="","",Calcule!$AL8)</f>
        <v>1733.6</v>
      </c>
      <c r="X8" s="49">
        <f>IF($A8="","",Calcule!$AN8)</f>
        <v>1660</v>
      </c>
      <c r="Y8" s="56">
        <f>IF($A8="","",IFERROR(INDEX('Date actuale'!$C$6:$C$40,MATCH($A8,'Date actuale'!$A$6:$A$40,0)),""))</f>
        <v>1940</v>
      </c>
      <c r="Z8" s="56">
        <f>IF($A8="","",IFERROR(INDEX('Date actuale'!$D$6:$D$40,MATCH($A8,'Date actuale'!$A$6:$A$40,0)),""))</f>
        <v>1970</v>
      </c>
      <c r="AA8" s="56">
        <f>IF($A8="","",IFERROR(INDEX('Date actuale'!$E$6:$E$40,MATCH($A8,'Date actuale'!$A$6:$A$40,0)),""))</f>
        <v>1660</v>
      </c>
      <c r="AB8" s="60">
        <f>IF($A8="","",Calcule!$AP8)</f>
        <v>0.18133791519434628</v>
      </c>
      <c r="AC8" s="60">
        <f>IF($A8="","",Calcule!$AQ8)</f>
        <v>0.17694938300901755</v>
      </c>
      <c r="AD8" s="60">
        <f>IF($A8="","",Calcule!$AR8)</f>
        <v>0.13716625310173697</v>
      </c>
      <c r="AE8" s="52" t="str">
        <f>IF($A8="","",Perioade!$N8)</f>
        <v>Nerambursabil</v>
      </c>
    </row>
    <row r="9" spans="1:31" ht="36" x14ac:dyDescent="0.2">
      <c r="A9" s="53" t="str">
        <f>IF(Calcule!$A9="","",Calcule!$A9)</f>
        <v>Revelion-2026-2027</v>
      </c>
      <c r="B9" s="54">
        <f>IF($A9="","",Perioade!$C9)</f>
        <v>46384</v>
      </c>
      <c r="C9" s="54">
        <f>IF($A9="","",Perioade!$D9)</f>
        <v>46391</v>
      </c>
      <c r="D9" s="55">
        <f>IF($A9="","",Calcule!$C9)</f>
        <v>4</v>
      </c>
      <c r="E9" s="55" t="str">
        <f>IF($A9="","",Calcule!$B9)</f>
        <v>Preț fix</v>
      </c>
      <c r="F9" s="57">
        <f>IF($A9="","",Calcule!$R9)</f>
        <v>1800</v>
      </c>
      <c r="G9" s="57">
        <f>IF($A9="","",Calcule!$Y9)</f>
        <v>2320</v>
      </c>
      <c r="H9" s="57">
        <f>IF($A9="","",Calcule!$AE9)</f>
        <v>2440</v>
      </c>
      <c r="I9" s="57">
        <f>IF($A9="","",Calcule!$AI9)</f>
        <v>1990</v>
      </c>
      <c r="J9" s="58" t="str">
        <f>IF($A9="","",IF(b_Durata=0,"Fără planuri pe durată",IF(Calcule!$B9="Preț fix","Doar planul „Sărbători” (fără reduceri pe durată)",IF(Calcule!$B9="Standard","Planurile „2 zile” … „7 zile” (scara standard)","⚠ Planuri separate: "&amp;Calcule!$AS9))))</f>
        <v>Doar planul „Sărbători” (fără reduceri pe durată)</v>
      </c>
      <c r="K9" s="58" t="str">
        <f>IF($A9="","",IF(N(Perioade!$O9)&gt;0,"Cu sugestia Airbnb ("&amp;ROUND(a_PondSug*100,0)&amp;"%)",IF(ABS(Calcule!$AB9-Calcule!$Q9)&gt;0.0001,"Urcat pentru reducerea globală ("&amp;ROUND(Calcule!$AB9*100,0)&amp;"% la "&amp;$D9&amp;" nopți) – mai puțin la sejururi lungi","Reducerile Airbnb = cele de pe site")))</f>
        <v>Urcat pentru reducerea globală (15% la 4 nopți) – mai puțin la sejururi lungi</v>
      </c>
      <c r="L9" s="58" t="str">
        <f>IF($A9="","",IF(OR(m_Durata=0,Calcule!$P9=0),"Fără reduceri pe durată","Reduceri "&amp;Calcule!$AS9&amp;" pe "&amp;RIGHT("0"&amp;DAY($B9),2)&amp;"."&amp;RIGHT("0"&amp;MONTH($B9),2)&amp;"–"&amp;RIGHT("0"&amp;DAY($C9),2)&amp;"."&amp;RIGHT("0"&amp;MONTH($C9),2)&amp;"."&amp;YEAR($C9)))</f>
        <v>Fără reduceri pe durată</v>
      </c>
      <c r="M9" s="49">
        <f>IF($A9="","",Calcule!$U9)</f>
        <v>1503.217503217503</v>
      </c>
      <c r="N9" s="49">
        <f>IF($A9="","",Calcule!$T9)</f>
        <v>1578.3783783783783</v>
      </c>
      <c r="O9" s="49">
        <f>IF($A9="","",Calcule!$AK9)</f>
        <v>1504.6938378378377</v>
      </c>
      <c r="P9" s="49">
        <f>IF($A9="","",Calcule!$AM9)</f>
        <v>1503.7552252252251</v>
      </c>
      <c r="Q9" s="49">
        <f>IF($A9="","",Calcule!$AO9)</f>
        <v>1510.7495495495493</v>
      </c>
      <c r="R9" s="59">
        <f t="shared" si="0"/>
        <v>1.0009821164383561</v>
      </c>
      <c r="S9" s="59">
        <f t="shared" si="1"/>
        <v>1.000357714041096</v>
      </c>
      <c r="T9" s="59">
        <f t="shared" si="2"/>
        <v>1.0050106164383561</v>
      </c>
      <c r="U9" s="49">
        <f>IF($A9="","",Calcule!$S9)</f>
        <v>1800</v>
      </c>
      <c r="V9" s="49">
        <f>IF($A9="","",Calcule!$AJ9)</f>
        <v>2088</v>
      </c>
      <c r="W9" s="49">
        <f>IF($A9="","",Calcule!$AL9)</f>
        <v>2074</v>
      </c>
      <c r="X9" s="49">
        <f>IF($A9="","",Calcule!$AN9)</f>
        <v>1990</v>
      </c>
      <c r="Y9" s="56">
        <f>IF($A9="","",IFERROR(INDEX('Date actuale'!$C$6:$C$40,MATCH($A9,'Date actuale'!$A$6:$A$40,0)),""))</f>
        <v>2320</v>
      </c>
      <c r="Z9" s="56">
        <f>IF($A9="","",IFERROR(INDEX('Date actuale'!$D$6:$D$40,MATCH($A9,'Date actuale'!$A$6:$A$40,0)),""))</f>
        <v>2440</v>
      </c>
      <c r="AA9" s="56">
        <f>IF($A9="","",IFERROR(INDEX('Date actuale'!$E$6:$E$40,MATCH($A9,'Date actuale'!$A$6:$A$40,0)),""))</f>
        <v>1990</v>
      </c>
      <c r="AB9" s="60">
        <f>IF($A9="","",Calcule!$AP9)</f>
        <v>0.18126952941176472</v>
      </c>
      <c r="AC9" s="60">
        <f>IF($A9="","",Calcule!$AQ9)</f>
        <v>0.1761262092793682</v>
      </c>
      <c r="AD9" s="60">
        <f>IF($A9="","",Calcule!$AR9)</f>
        <v>0.13649227600411948</v>
      </c>
      <c r="AE9" s="52" t="str">
        <f>IF($A9="","",Perioade!$N9)</f>
        <v>Nerambursabil</v>
      </c>
    </row>
    <row r="10" spans="1:31" ht="24" x14ac:dyDescent="0.2">
      <c r="A10" s="53" t="str">
        <f>IF(Calcule!$A10="","",Calcule!$A10)</f>
        <v>iarna-2027</v>
      </c>
      <c r="B10" s="54">
        <f>IF($A10="","",Perioade!$C10)</f>
        <v>46392</v>
      </c>
      <c r="C10" s="54">
        <f>IF($A10="","",Perioade!$D10)</f>
        <v>46432</v>
      </c>
      <c r="D10" s="55">
        <f>IF($A10="","",Calcule!$C10)</f>
        <v>2</v>
      </c>
      <c r="E10" s="55" t="str">
        <f>IF($A10="","",Calcule!$B10)</f>
        <v>Standard</v>
      </c>
      <c r="F10" s="57">
        <f>IF($A10="","",Calcule!$R10)</f>
        <v>1350</v>
      </c>
      <c r="G10" s="57">
        <f>IF($A10="","",Calcule!$Y10)</f>
        <v>1740</v>
      </c>
      <c r="H10" s="57">
        <f>IF($A10="","",Calcule!$AE10)</f>
        <v>1560</v>
      </c>
      <c r="I10" s="57">
        <f>IF($A10="","",Calcule!$AI10)</f>
        <v>1490</v>
      </c>
      <c r="J10" s="58" t="str">
        <f>IF($A10="","",IF(b_Durata=0,"Fără planuri pe durată",IF(Calcule!$B10="Preț fix","Doar planul „Sărbători” (fără reduceri pe durată)",IF(Calcule!$B10="Standard","Planurile „2 zile” … „7 zile” (scara standard)","⚠ Planuri separate: "&amp;Calcule!$AS10))))</f>
        <v>Planurile „2 zile” … „7 zile” (scara standard)</v>
      </c>
      <c r="K10" s="58" t="str">
        <f>IF($A10="","",IF(N(Perioade!$O10)&gt;0,"Cu sugestia Airbnb ("&amp;ROUND(a_PondSug*100,0)&amp;"%)",IF(ABS(Calcule!$AB10-Calcule!$Q10)&gt;0.0001,"Urcat pentru reducerea globală ("&amp;ROUND(Calcule!$AB10*100,0)&amp;"% la "&amp;$D10&amp;" nopți) – mai puțin la sejururi lungi","Reducerile Airbnb = cele de pe site")))</f>
        <v>Reducerile Airbnb = cele de pe site</v>
      </c>
      <c r="L10" s="58" t="str">
        <f>IF($A10="","",IF(OR(m_Durata=0,Calcule!$P10=0),"Fără reduceri pe durată","Reduceri "&amp;Calcule!$AS10&amp;" pe "&amp;RIGHT("0"&amp;DAY($B10),2)&amp;"."&amp;RIGHT("0"&amp;MONTH($B10),2)&amp;"–"&amp;RIGHT("0"&amp;DAY($C10),2)&amp;"."&amp;RIGHT("0"&amp;MONTH($C10),2)&amp;"."&amp;YEAR($C10)))</f>
        <v>Reduceri 10/12/15/20/25/33% (2…7+ nopți) pe 05.01–14.02.2027</v>
      </c>
      <c r="M10" s="49">
        <f>IF($A10="","",Calcule!$U10)</f>
        <v>1001.2870012870011</v>
      </c>
      <c r="N10" s="49">
        <f>IF($A10="","",Calcule!$T10)</f>
        <v>1051.3513513513512</v>
      </c>
      <c r="O10" s="49">
        <f>IF($A10="","",Calcule!$AK10)</f>
        <v>1003.9542864864865</v>
      </c>
      <c r="P10" s="49">
        <f>IF($A10="","",Calcule!$AM10)</f>
        <v>1004.0016216216214</v>
      </c>
      <c r="Q10" s="49">
        <f>IF($A10="","",Calcule!$AO10)</f>
        <v>1003.9448648648648</v>
      </c>
      <c r="R10" s="59">
        <f t="shared" si="0"/>
        <v>1.0026638568123396</v>
      </c>
      <c r="S10" s="59">
        <f t="shared" si="1"/>
        <v>1.0027111311053984</v>
      </c>
      <c r="T10" s="59">
        <f t="shared" si="2"/>
        <v>1.0026544473007715</v>
      </c>
      <c r="U10" s="49">
        <f>IF($A10="","",Calcule!$S10)</f>
        <v>1215</v>
      </c>
      <c r="V10" s="49">
        <f>IF($A10="","",Calcule!$AJ10)</f>
        <v>1409.4</v>
      </c>
      <c r="W10" s="49">
        <f>IF($A10="","",Calcule!$AL10)</f>
        <v>1404</v>
      </c>
      <c r="X10" s="49">
        <f>IF($A10="","",Calcule!$AN10)</f>
        <v>1341</v>
      </c>
      <c r="Y10" s="56">
        <f>IF($A10="","",IFERROR(INDEX('Date actuale'!$C$6:$C$40,MATCH($A10,'Date actuale'!$A$6:$A$40,0)),""))</f>
        <v>1740</v>
      </c>
      <c r="Z10" s="56">
        <f>IF($A10="","",IFERROR(INDEX('Date actuale'!$D$6:$D$40,MATCH($A10,'Date actuale'!$A$6:$A$40,0)),""))</f>
        <v>1560</v>
      </c>
      <c r="AA10" s="56">
        <f>IF($A10="","",IFERROR(INDEX('Date actuale'!$E$6:$E$40,MATCH($A10,'Date actuale'!$A$6:$A$40,0)),""))</f>
        <v>1490</v>
      </c>
      <c r="AB10" s="60">
        <f>IF($A10="","",Calcule!$AP10)</f>
        <v>0.18143877038342884</v>
      </c>
      <c r="AC10" s="60">
        <f>IF($A10="","",Calcule!$AQ10)</f>
        <v>0.17814026548672568</v>
      </c>
      <c r="AD10" s="60">
        <f>IF($A10="","",Calcule!$AR10)</f>
        <v>0.13814477958236659</v>
      </c>
      <c r="AE10" s="52" t="str">
        <f>IF($A10="","",Perioade!$N10)</f>
        <v>Flexibil 14 zile</v>
      </c>
    </row>
    <row r="11" spans="1:31" ht="24" x14ac:dyDescent="0.2">
      <c r="A11" s="53" t="str">
        <f>IF(Calcule!$A11="","",Calcule!$A11)</f>
        <v>Vacanta-schi-2027</v>
      </c>
      <c r="B11" s="54">
        <f>IF($A11="","",Perioade!$C11)</f>
        <v>46433</v>
      </c>
      <c r="C11" s="54">
        <f>IF($A11="","",Perioade!$D11)</f>
        <v>46453</v>
      </c>
      <c r="D11" s="55">
        <f>IF($A11="","",Calcule!$C11)</f>
        <v>2</v>
      </c>
      <c r="E11" s="55" t="str">
        <f>IF($A11="","",Calcule!$B11)</f>
        <v>Standard</v>
      </c>
      <c r="F11" s="57">
        <f>IF($A11="","",Calcule!$R11)</f>
        <v>1450</v>
      </c>
      <c r="G11" s="57">
        <f>IF($A11="","",Calcule!$Y11)</f>
        <v>1870</v>
      </c>
      <c r="H11" s="57">
        <f>IF($A11="","",Calcule!$AE11)</f>
        <v>1680</v>
      </c>
      <c r="I11" s="57">
        <f>IF($A11="","",Calcule!$AI11)</f>
        <v>1600</v>
      </c>
      <c r="J11" s="58" t="str">
        <f>IF($A11="","",IF(b_Durata=0,"Fără planuri pe durată",IF(Calcule!$B11="Preț fix","Doar planul „Sărbători” (fără reduceri pe durată)",IF(Calcule!$B11="Standard","Planurile „2 zile” … „7 zile” (scara standard)","⚠ Planuri separate: "&amp;Calcule!$AS11))))</f>
        <v>Planurile „2 zile” … „7 zile” (scara standard)</v>
      </c>
      <c r="K11" s="58" t="str">
        <f>IF($A11="","",IF(N(Perioade!$O11)&gt;0,"Cu sugestia Airbnb ("&amp;ROUND(a_PondSug*100,0)&amp;"%)",IF(ABS(Calcule!$AB11-Calcule!$Q11)&gt;0.0001,"Urcat pentru reducerea globală ("&amp;ROUND(Calcule!$AB11*100,0)&amp;"% la "&amp;$D11&amp;" nopți) – mai puțin la sejururi lungi","Reducerile Airbnb = cele de pe site")))</f>
        <v>Reducerile Airbnb = cele de pe site</v>
      </c>
      <c r="L11" s="58" t="str">
        <f>IF($A11="","",IF(OR(m_Durata=0,Calcule!$P11=0),"Fără reduceri pe durată","Reduceri "&amp;Calcule!$AS11&amp;" pe "&amp;RIGHT("0"&amp;DAY($B11),2)&amp;"."&amp;RIGHT("0"&amp;MONTH($B11),2)&amp;"–"&amp;RIGHT("0"&amp;DAY($C11),2)&amp;"."&amp;RIGHT("0"&amp;MONTH($C11),2)&amp;"."&amp;YEAR($C11)))</f>
        <v>Reduceri 10/12/15/20/25/33% (2…7+ nopți) pe 15.02–07.03.2027</v>
      </c>
      <c r="M11" s="49">
        <f>IF($A11="","",Calcule!$U11)</f>
        <v>1078.5070785070784</v>
      </c>
      <c r="N11" s="49">
        <f>IF($A11="","",Calcule!$T11)</f>
        <v>1132.4324324324323</v>
      </c>
      <c r="O11" s="49">
        <f>IF($A11="","",Calcule!$AK11)</f>
        <v>1081.6552513513511</v>
      </c>
      <c r="P11" s="49">
        <f>IF($A11="","",Calcule!$AM11)</f>
        <v>1084.5589189189188</v>
      </c>
      <c r="Q11" s="49">
        <f>IF($A11="","",Calcule!$AO11)</f>
        <v>1081.254054054054</v>
      </c>
      <c r="R11" s="59">
        <f t="shared" si="0"/>
        <v>1.0029190099045344</v>
      </c>
      <c r="S11" s="59">
        <f t="shared" si="1"/>
        <v>1.0056113126491646</v>
      </c>
      <c r="T11" s="59">
        <f t="shared" si="2"/>
        <v>1.0025470167064439</v>
      </c>
      <c r="U11" s="49">
        <f>IF($A11="","",Calcule!$S11)</f>
        <v>1305</v>
      </c>
      <c r="V11" s="49">
        <f>IF($A11="","",Calcule!$AJ11)</f>
        <v>1514.7</v>
      </c>
      <c r="W11" s="49">
        <f>IF($A11="","",Calcule!$AL11)</f>
        <v>1512</v>
      </c>
      <c r="X11" s="49">
        <f>IF($A11="","",Calcule!$AN11)</f>
        <v>1440</v>
      </c>
      <c r="Y11" s="56">
        <f>IF($A11="","",IFERROR(INDEX('Date actuale'!$C$6:$C$40,MATCH($A11,'Date actuale'!$A$6:$A$40,0)),""))</f>
        <v>1870</v>
      </c>
      <c r="Z11" s="56">
        <f>IF($A11="","",IFERROR(INDEX('Date actuale'!$D$6:$D$40,MATCH($A11,'Date actuale'!$A$6:$A$40,0)),""))</f>
        <v>1680</v>
      </c>
      <c r="AA11" s="56">
        <f>IF($A11="","",IFERROR(INDEX('Date actuale'!$E$6:$E$40,MATCH($A11,'Date actuale'!$A$6:$A$40,0)),""))</f>
        <v>1600</v>
      </c>
      <c r="AB11" s="60">
        <f>IF($A11="","",Calcule!$AP11)</f>
        <v>0.18140224381264064</v>
      </c>
      <c r="AC11" s="60">
        <f>IF($A11="","",Calcule!$AQ11)</f>
        <v>0.17769098360655738</v>
      </c>
      <c r="AD11" s="60">
        <f>IF($A11="","",Calcule!$AR11)</f>
        <v>0.13779310344827586</v>
      </c>
      <c r="AE11" s="52" t="str">
        <f>IF($A11="","",Perioade!$N11)</f>
        <v>Flexibil 14 zile</v>
      </c>
    </row>
    <row r="12" spans="1:31" ht="24" x14ac:dyDescent="0.2">
      <c r="A12" s="53" t="str">
        <f>IF(Calcule!$A12="","",Calcule!$A12)</f>
        <v>primavara-2027</v>
      </c>
      <c r="B12" s="54">
        <f>IF($A12="","",Perioade!$C12)</f>
        <v>46454</v>
      </c>
      <c r="C12" s="54">
        <f>IF($A12="","",Perioade!$D12)</f>
        <v>46568</v>
      </c>
      <c r="D12" s="55">
        <f>IF($A12="","",Calcule!$C12)</f>
        <v>2</v>
      </c>
      <c r="E12" s="55" t="str">
        <f>IF($A12="","",Calcule!$B12)</f>
        <v>Standard</v>
      </c>
      <c r="F12" s="57">
        <f>IF($A12="","",Calcule!$R12)</f>
        <v>900</v>
      </c>
      <c r="G12" s="57">
        <f>IF($A12="","",Calcule!$Y12)</f>
        <v>1160</v>
      </c>
      <c r="H12" s="57">
        <f>IF($A12="","",Calcule!$AE12)</f>
        <v>1040</v>
      </c>
      <c r="I12" s="57">
        <f>IF($A12="","",Calcule!$AI12)</f>
        <v>1000</v>
      </c>
      <c r="J12" s="58" t="str">
        <f>IF($A12="","",IF(b_Durata=0,"Fără planuri pe durată",IF(Calcule!$B12="Preț fix","Doar planul „Sărbători” (fără reduceri pe durată)",IF(Calcule!$B12="Standard","Planurile „2 zile” … „7 zile” (scara standard)","⚠ Planuri separate: "&amp;Calcule!$AS12))))</f>
        <v>Planurile „2 zile” … „7 zile” (scara standard)</v>
      </c>
      <c r="K12" s="58" t="str">
        <f>IF($A12="","",IF(N(Perioade!$O12)&gt;0,"Cu sugestia Airbnb ("&amp;ROUND(a_PondSug*100,0)&amp;"%)",IF(ABS(Calcule!$AB12-Calcule!$Q12)&gt;0.0001,"Urcat pentru reducerea globală ("&amp;ROUND(Calcule!$AB12*100,0)&amp;"% la "&amp;$D12&amp;" nopți) – mai puțin la sejururi lungi","Reducerile Airbnb = cele de pe site")))</f>
        <v>Reducerile Airbnb = cele de pe site</v>
      </c>
      <c r="L12" s="58" t="str">
        <f>IF($A12="","",IF(OR(m_Durata=0,Calcule!$P12=0),"Fără reduceri pe durată","Reduceri "&amp;Calcule!$AS12&amp;" pe "&amp;RIGHT("0"&amp;DAY($B12),2)&amp;"."&amp;RIGHT("0"&amp;MONTH($B12),2)&amp;"–"&amp;RIGHT("0"&amp;DAY($C12),2)&amp;"."&amp;RIGHT("0"&amp;MONTH($C12),2)&amp;"."&amp;YEAR($C12)))</f>
        <v>Reduceri 10/12/15/20/25/33% (2…7+ nopți) pe 08.03–30.06.2027</v>
      </c>
      <c r="M12" s="49">
        <f>IF($A12="","",Calcule!$U12)</f>
        <v>653.79665379665369</v>
      </c>
      <c r="N12" s="49">
        <f>IF($A12="","",Calcule!$T12)</f>
        <v>686.48648648648646</v>
      </c>
      <c r="O12" s="49">
        <f>IF($A12="","",Calcule!$AK12)</f>
        <v>657.28844324324325</v>
      </c>
      <c r="P12" s="49">
        <f>IF($A12="","",Calcule!$AM12)</f>
        <v>654.91999999999985</v>
      </c>
      <c r="Q12" s="49">
        <f>IF($A12="","",Calcule!$AO12)</f>
        <v>659.56756756756749</v>
      </c>
      <c r="R12" s="59">
        <f t="shared" si="0"/>
        <v>1.0053407881889767</v>
      </c>
      <c r="S12" s="59">
        <f t="shared" si="1"/>
        <v>1.001718188976378</v>
      </c>
      <c r="T12" s="59">
        <f t="shared" si="2"/>
        <v>1.0088267716535433</v>
      </c>
      <c r="U12" s="49">
        <f>IF($A12="","",Calcule!$S12)</f>
        <v>810</v>
      </c>
      <c r="V12" s="49">
        <f>IF($A12="","",Calcule!$AJ12)</f>
        <v>939.6</v>
      </c>
      <c r="W12" s="49">
        <f>IF($A12="","",Calcule!$AL12)</f>
        <v>936</v>
      </c>
      <c r="X12" s="49">
        <f>IF($A12="","",Calcule!$AN12)</f>
        <v>900</v>
      </c>
      <c r="Y12" s="56">
        <f>IF($A12="","",IFERROR(INDEX('Date actuale'!$C$6:$C$40,MATCH($A12,'Date actuale'!$A$6:$A$40,0)),""))</f>
        <v>1160</v>
      </c>
      <c r="Z12" s="56">
        <f>IF($A12="","",IFERROR(INDEX('Date actuale'!$D$6:$D$40,MATCH($A12,'Date actuale'!$A$6:$A$40,0)),""))</f>
        <v>1040</v>
      </c>
      <c r="AA12" s="56">
        <f>IF($A12="","",IFERROR(INDEX('Date actuale'!$E$6:$E$40,MATCH($A12,'Date actuale'!$A$6:$A$40,0)),""))</f>
        <v>1000</v>
      </c>
      <c r="AB12" s="60">
        <f>IF($A12="","",Calcule!$AP12)</f>
        <v>0.18170685060565278</v>
      </c>
      <c r="AC12" s="60">
        <f>IF($A12="","",Calcule!$AQ12)</f>
        <v>0.18135000000000004</v>
      </c>
      <c r="AD12" s="60">
        <f>IF($A12="","",Calcule!$AR12)</f>
        <v>0.14070422535211269</v>
      </c>
      <c r="AE12" s="52" t="str">
        <f>IF($A12="","",Perioade!$N12)</f>
        <v>Flexibil 14 zile</v>
      </c>
    </row>
    <row r="13" spans="1:31" x14ac:dyDescent="0.2">
      <c r="A13" s="53" t="str">
        <f>IF(Calcule!$A13="","",Calcule!$A13)</f>
        <v/>
      </c>
      <c r="B13" s="54" t="str">
        <f>IF($A13="","",Perioade!$C13)</f>
        <v/>
      </c>
      <c r="C13" s="54" t="str">
        <f>IF($A13="","",Perioade!$D13)</f>
        <v/>
      </c>
      <c r="D13" s="55" t="str">
        <f>IF($A13="","",Calcule!$C13)</f>
        <v/>
      </c>
      <c r="E13" s="55" t="str">
        <f>IF($A13="","",Calcule!$B13)</f>
        <v/>
      </c>
      <c r="F13" s="57" t="str">
        <f>IF($A13="","",Calcule!$R13)</f>
        <v/>
      </c>
      <c r="G13" s="57" t="str">
        <f>IF($A13="","",Calcule!$Y13)</f>
        <v/>
      </c>
      <c r="H13" s="57" t="str">
        <f>IF($A13="","",Calcule!$AE13)</f>
        <v/>
      </c>
      <c r="I13" s="57" t="str">
        <f>IF($A13="","",Calcule!$AI13)</f>
        <v/>
      </c>
      <c r="J13" s="58" t="str">
        <f>IF($A13="","",IF(b_Durata=0,"Fără planuri pe durată",IF(Calcule!$B13="Preț fix","Doar planul „Sărbători” (fără reduceri pe durată)",IF(Calcule!$B13="Standard","Planurile „2 zile” … „7 zile” (scara standard)","⚠ Planuri separate: "&amp;Calcule!$AS13))))</f>
        <v/>
      </c>
      <c r="K13" s="58" t="str">
        <f>IF($A13="","",IF(N(Perioade!$O13)&gt;0,"Cu sugestia Airbnb ("&amp;ROUND(a_PondSug*100,0)&amp;"%)",IF(ABS(Calcule!$AB13-Calcule!$Q13)&gt;0.0001,"Urcat pentru reducerea globală ("&amp;ROUND(Calcule!$AB13*100,0)&amp;"% la "&amp;$D13&amp;" nopți) – mai puțin la sejururi lungi","Reducerile Airbnb = cele de pe site")))</f>
        <v/>
      </c>
      <c r="L13" s="58" t="str">
        <f>IF($A13="","",IF(OR(m_Durata=0,Calcule!$P13=0),"Fără reduceri pe durată","Reduceri "&amp;Calcule!$AS13&amp;" pe "&amp;RIGHT("0"&amp;DAY($B13),2)&amp;"."&amp;RIGHT("0"&amp;MONTH($B13),2)&amp;"–"&amp;RIGHT("0"&amp;DAY($C13),2)&amp;"."&amp;RIGHT("0"&amp;MONTH($C13),2)&amp;"."&amp;YEAR($C13)))</f>
        <v/>
      </c>
      <c r="M13" s="49" t="str">
        <f>IF($A13="","",Calcule!$U13)</f>
        <v/>
      </c>
      <c r="N13" s="49" t="str">
        <f>IF($A13="","",Calcule!$T13)</f>
        <v/>
      </c>
      <c r="O13" s="49" t="str">
        <f>IF($A13="","",Calcule!$AK13)</f>
        <v/>
      </c>
      <c r="P13" s="49" t="str">
        <f>IF($A13="","",Calcule!$AM13)</f>
        <v/>
      </c>
      <c r="Q13" s="49" t="str">
        <f>IF($A13="","",Calcule!$AO13)</f>
        <v/>
      </c>
      <c r="R13" s="59" t="str">
        <f t="shared" si="0"/>
        <v/>
      </c>
      <c r="S13" s="59" t="str">
        <f t="shared" si="1"/>
        <v/>
      </c>
      <c r="T13" s="59" t="str">
        <f t="shared" si="2"/>
        <v/>
      </c>
      <c r="U13" s="49" t="str">
        <f>IF($A13="","",Calcule!$S13)</f>
        <v/>
      </c>
      <c r="V13" s="49" t="str">
        <f>IF($A13="","",Calcule!$AJ13)</f>
        <v/>
      </c>
      <c r="W13" s="49" t="str">
        <f>IF($A13="","",Calcule!$AL13)</f>
        <v/>
      </c>
      <c r="X13" s="49" t="str">
        <f>IF($A13="","",Calcule!$AN13)</f>
        <v/>
      </c>
      <c r="Y13" s="56" t="str">
        <f>IF($A13="","",IFERROR(INDEX('Date actuale'!$C$6:$C$40,MATCH($A13,'Date actuale'!$A$6:$A$40,0)),""))</f>
        <v/>
      </c>
      <c r="Z13" s="56" t="str">
        <f>IF($A13="","",IFERROR(INDEX('Date actuale'!$D$6:$D$40,MATCH($A13,'Date actuale'!$A$6:$A$40,0)),""))</f>
        <v/>
      </c>
      <c r="AA13" s="56" t="str">
        <f>IF($A13="","",IFERROR(INDEX('Date actuale'!$E$6:$E$40,MATCH($A13,'Date actuale'!$A$6:$A$40,0)),""))</f>
        <v/>
      </c>
      <c r="AB13" s="60" t="str">
        <f>IF($A13="","",Calcule!$AP13)</f>
        <v/>
      </c>
      <c r="AC13" s="60" t="str">
        <f>IF($A13="","",Calcule!$AQ13)</f>
        <v/>
      </c>
      <c r="AD13" s="60" t="str">
        <f>IF($A13="","",Calcule!$AR13)</f>
        <v/>
      </c>
      <c r="AE13" s="52" t="str">
        <f>IF($A13="","",Perioade!$N13)</f>
        <v/>
      </c>
    </row>
    <row r="14" spans="1:31" x14ac:dyDescent="0.2">
      <c r="A14" s="53" t="str">
        <f>IF(Calcule!$A14="","",Calcule!$A14)</f>
        <v/>
      </c>
      <c r="B14" s="54" t="str">
        <f>IF($A14="","",Perioade!$C14)</f>
        <v/>
      </c>
      <c r="C14" s="54" t="str">
        <f>IF($A14="","",Perioade!$D14)</f>
        <v/>
      </c>
      <c r="D14" s="55" t="str">
        <f>IF($A14="","",Calcule!$C14)</f>
        <v/>
      </c>
      <c r="E14" s="55" t="str">
        <f>IF($A14="","",Calcule!$B14)</f>
        <v/>
      </c>
      <c r="F14" s="57" t="str">
        <f>IF($A14="","",Calcule!$R14)</f>
        <v/>
      </c>
      <c r="G14" s="57" t="str">
        <f>IF($A14="","",Calcule!$Y14)</f>
        <v/>
      </c>
      <c r="H14" s="57" t="str">
        <f>IF($A14="","",Calcule!$AE14)</f>
        <v/>
      </c>
      <c r="I14" s="57" t="str">
        <f>IF($A14="","",Calcule!$AI14)</f>
        <v/>
      </c>
      <c r="J14" s="58" t="str">
        <f>IF($A14="","",IF(b_Durata=0,"Fără planuri pe durată",IF(Calcule!$B14="Preț fix","Doar planul „Sărbători” (fără reduceri pe durată)",IF(Calcule!$B14="Standard","Planurile „2 zile” … „7 zile” (scara standard)","⚠ Planuri separate: "&amp;Calcule!$AS14))))</f>
        <v/>
      </c>
      <c r="K14" s="58" t="str">
        <f>IF($A14="","",IF(N(Perioade!$O14)&gt;0,"Cu sugestia Airbnb ("&amp;ROUND(a_PondSug*100,0)&amp;"%)",IF(ABS(Calcule!$AB14-Calcule!$Q14)&gt;0.0001,"Urcat pentru reducerea globală ("&amp;ROUND(Calcule!$AB14*100,0)&amp;"% la "&amp;$D14&amp;" nopți) – mai puțin la sejururi lungi","Reducerile Airbnb = cele de pe site")))</f>
        <v/>
      </c>
      <c r="L14" s="58" t="str">
        <f>IF($A14="","",IF(OR(m_Durata=0,Calcule!$P14=0),"Fără reduceri pe durată","Reduceri "&amp;Calcule!$AS14&amp;" pe "&amp;RIGHT("0"&amp;DAY($B14),2)&amp;"."&amp;RIGHT("0"&amp;MONTH($B14),2)&amp;"–"&amp;RIGHT("0"&amp;DAY($C14),2)&amp;"."&amp;RIGHT("0"&amp;MONTH($C14),2)&amp;"."&amp;YEAR($C14)))</f>
        <v/>
      </c>
      <c r="M14" s="49" t="str">
        <f>IF($A14="","",Calcule!$U14)</f>
        <v/>
      </c>
      <c r="N14" s="49" t="str">
        <f>IF($A14="","",Calcule!$T14)</f>
        <v/>
      </c>
      <c r="O14" s="49" t="str">
        <f>IF($A14="","",Calcule!$AK14)</f>
        <v/>
      </c>
      <c r="P14" s="49" t="str">
        <f>IF($A14="","",Calcule!$AM14)</f>
        <v/>
      </c>
      <c r="Q14" s="49" t="str">
        <f>IF($A14="","",Calcule!$AO14)</f>
        <v/>
      </c>
      <c r="R14" s="59" t="str">
        <f t="shared" si="0"/>
        <v/>
      </c>
      <c r="S14" s="59" t="str">
        <f t="shared" si="1"/>
        <v/>
      </c>
      <c r="T14" s="59" t="str">
        <f t="shared" si="2"/>
        <v/>
      </c>
      <c r="U14" s="49" t="str">
        <f>IF($A14="","",Calcule!$S14)</f>
        <v/>
      </c>
      <c r="V14" s="49" t="str">
        <f>IF($A14="","",Calcule!$AJ14)</f>
        <v/>
      </c>
      <c r="W14" s="49" t="str">
        <f>IF($A14="","",Calcule!$AL14)</f>
        <v/>
      </c>
      <c r="X14" s="49" t="str">
        <f>IF($A14="","",Calcule!$AN14)</f>
        <v/>
      </c>
      <c r="Y14" s="56" t="str">
        <f>IF($A14="","",IFERROR(INDEX('Date actuale'!$C$6:$C$40,MATCH($A14,'Date actuale'!$A$6:$A$40,0)),""))</f>
        <v/>
      </c>
      <c r="Z14" s="56" t="str">
        <f>IF($A14="","",IFERROR(INDEX('Date actuale'!$D$6:$D$40,MATCH($A14,'Date actuale'!$A$6:$A$40,0)),""))</f>
        <v/>
      </c>
      <c r="AA14" s="56" t="str">
        <f>IF($A14="","",IFERROR(INDEX('Date actuale'!$E$6:$E$40,MATCH($A14,'Date actuale'!$A$6:$A$40,0)),""))</f>
        <v/>
      </c>
      <c r="AB14" s="60" t="str">
        <f>IF($A14="","",Calcule!$AP14)</f>
        <v/>
      </c>
      <c r="AC14" s="60" t="str">
        <f>IF($A14="","",Calcule!$AQ14)</f>
        <v/>
      </c>
      <c r="AD14" s="60" t="str">
        <f>IF($A14="","",Calcule!$AR14)</f>
        <v/>
      </c>
      <c r="AE14" s="52" t="str">
        <f>IF($A14="","",Perioade!$N14)</f>
        <v/>
      </c>
    </row>
    <row r="15" spans="1:31" x14ac:dyDescent="0.2">
      <c r="A15" s="53" t="str">
        <f>IF(Calcule!$A15="","",Calcule!$A15)</f>
        <v/>
      </c>
      <c r="B15" s="54" t="str">
        <f>IF($A15="","",Perioade!$C15)</f>
        <v/>
      </c>
      <c r="C15" s="54" t="str">
        <f>IF($A15="","",Perioade!$D15)</f>
        <v/>
      </c>
      <c r="D15" s="55" t="str">
        <f>IF($A15="","",Calcule!$C15)</f>
        <v/>
      </c>
      <c r="E15" s="55" t="str">
        <f>IF($A15="","",Calcule!$B15)</f>
        <v/>
      </c>
      <c r="F15" s="57" t="str">
        <f>IF($A15="","",Calcule!$R15)</f>
        <v/>
      </c>
      <c r="G15" s="57" t="str">
        <f>IF($A15="","",Calcule!$Y15)</f>
        <v/>
      </c>
      <c r="H15" s="57" t="str">
        <f>IF($A15="","",Calcule!$AE15)</f>
        <v/>
      </c>
      <c r="I15" s="57" t="str">
        <f>IF($A15="","",Calcule!$AI15)</f>
        <v/>
      </c>
      <c r="J15" s="58" t="str">
        <f>IF($A15="","",IF(b_Durata=0,"Fără planuri pe durată",IF(Calcule!$B15="Preț fix","Doar planul „Sărbători” (fără reduceri pe durată)",IF(Calcule!$B15="Standard","Planurile „2 zile” … „7 zile” (scara standard)","⚠ Planuri separate: "&amp;Calcule!$AS15))))</f>
        <v/>
      </c>
      <c r="K15" s="58" t="str">
        <f>IF($A15="","",IF(N(Perioade!$O15)&gt;0,"Cu sugestia Airbnb ("&amp;ROUND(a_PondSug*100,0)&amp;"%)",IF(ABS(Calcule!$AB15-Calcule!$Q15)&gt;0.0001,"Urcat pentru reducerea globală ("&amp;ROUND(Calcule!$AB15*100,0)&amp;"% la "&amp;$D15&amp;" nopți) – mai puțin la sejururi lungi","Reducerile Airbnb = cele de pe site")))</f>
        <v/>
      </c>
      <c r="L15" s="58" t="str">
        <f>IF($A15="","",IF(OR(m_Durata=0,Calcule!$P15=0),"Fără reduceri pe durată","Reduceri "&amp;Calcule!$AS15&amp;" pe "&amp;RIGHT("0"&amp;DAY($B15),2)&amp;"."&amp;RIGHT("0"&amp;MONTH($B15),2)&amp;"–"&amp;RIGHT("0"&amp;DAY($C15),2)&amp;"."&amp;RIGHT("0"&amp;MONTH($C15),2)&amp;"."&amp;YEAR($C15)))</f>
        <v/>
      </c>
      <c r="M15" s="49" t="str">
        <f>IF($A15="","",Calcule!$U15)</f>
        <v/>
      </c>
      <c r="N15" s="49" t="str">
        <f>IF($A15="","",Calcule!$T15)</f>
        <v/>
      </c>
      <c r="O15" s="49" t="str">
        <f>IF($A15="","",Calcule!$AK15)</f>
        <v/>
      </c>
      <c r="P15" s="49" t="str">
        <f>IF($A15="","",Calcule!$AM15)</f>
        <v/>
      </c>
      <c r="Q15" s="49" t="str">
        <f>IF($A15="","",Calcule!$AO15)</f>
        <v/>
      </c>
      <c r="R15" s="59" t="str">
        <f t="shared" si="0"/>
        <v/>
      </c>
      <c r="S15" s="59" t="str">
        <f t="shared" si="1"/>
        <v/>
      </c>
      <c r="T15" s="59" t="str">
        <f t="shared" si="2"/>
        <v/>
      </c>
      <c r="U15" s="49" t="str">
        <f>IF($A15="","",Calcule!$S15)</f>
        <v/>
      </c>
      <c r="V15" s="49" t="str">
        <f>IF($A15="","",Calcule!$AJ15)</f>
        <v/>
      </c>
      <c r="W15" s="49" t="str">
        <f>IF($A15="","",Calcule!$AL15)</f>
        <v/>
      </c>
      <c r="X15" s="49" t="str">
        <f>IF($A15="","",Calcule!$AN15)</f>
        <v/>
      </c>
      <c r="Y15" s="56" t="str">
        <f>IF($A15="","",IFERROR(INDEX('Date actuale'!$C$6:$C$40,MATCH($A15,'Date actuale'!$A$6:$A$40,0)),""))</f>
        <v/>
      </c>
      <c r="Z15" s="56" t="str">
        <f>IF($A15="","",IFERROR(INDEX('Date actuale'!$D$6:$D$40,MATCH($A15,'Date actuale'!$A$6:$A$40,0)),""))</f>
        <v/>
      </c>
      <c r="AA15" s="56" t="str">
        <f>IF($A15="","",IFERROR(INDEX('Date actuale'!$E$6:$E$40,MATCH($A15,'Date actuale'!$A$6:$A$40,0)),""))</f>
        <v/>
      </c>
      <c r="AB15" s="60" t="str">
        <f>IF($A15="","",Calcule!$AP15)</f>
        <v/>
      </c>
      <c r="AC15" s="60" t="str">
        <f>IF($A15="","",Calcule!$AQ15)</f>
        <v/>
      </c>
      <c r="AD15" s="60" t="str">
        <f>IF($A15="","",Calcule!$AR15)</f>
        <v/>
      </c>
      <c r="AE15" s="52" t="str">
        <f>IF($A15="","",Perioade!$N15)</f>
        <v/>
      </c>
    </row>
    <row r="16" spans="1:31" x14ac:dyDescent="0.2">
      <c r="A16" s="53" t="str">
        <f>IF(Calcule!$A16="","",Calcule!$A16)</f>
        <v/>
      </c>
      <c r="B16" s="54" t="str">
        <f>IF($A16="","",Perioade!$C16)</f>
        <v/>
      </c>
      <c r="C16" s="54" t="str">
        <f>IF($A16="","",Perioade!$D16)</f>
        <v/>
      </c>
      <c r="D16" s="55" t="str">
        <f>IF($A16="","",Calcule!$C16)</f>
        <v/>
      </c>
      <c r="E16" s="55" t="str">
        <f>IF($A16="","",Calcule!$B16)</f>
        <v/>
      </c>
      <c r="F16" s="57" t="str">
        <f>IF($A16="","",Calcule!$R16)</f>
        <v/>
      </c>
      <c r="G16" s="57" t="str">
        <f>IF($A16="","",Calcule!$Y16)</f>
        <v/>
      </c>
      <c r="H16" s="57" t="str">
        <f>IF($A16="","",Calcule!$AE16)</f>
        <v/>
      </c>
      <c r="I16" s="57" t="str">
        <f>IF($A16="","",Calcule!$AI16)</f>
        <v/>
      </c>
      <c r="J16" s="58" t="str">
        <f>IF($A16="","",IF(b_Durata=0,"Fără planuri pe durată",IF(Calcule!$B16="Preț fix","Doar planul „Sărbători” (fără reduceri pe durată)",IF(Calcule!$B16="Standard","Planurile „2 zile” … „7 zile” (scara standard)","⚠ Planuri separate: "&amp;Calcule!$AS16))))</f>
        <v/>
      </c>
      <c r="K16" s="58" t="str">
        <f>IF($A16="","",IF(N(Perioade!$O16)&gt;0,"Cu sugestia Airbnb ("&amp;ROUND(a_PondSug*100,0)&amp;"%)",IF(ABS(Calcule!$AB16-Calcule!$Q16)&gt;0.0001,"Urcat pentru reducerea globală ("&amp;ROUND(Calcule!$AB16*100,0)&amp;"% la "&amp;$D16&amp;" nopți) – mai puțin la sejururi lungi","Reducerile Airbnb = cele de pe site")))</f>
        <v/>
      </c>
      <c r="L16" s="58" t="str">
        <f>IF($A16="","",IF(OR(m_Durata=0,Calcule!$P16=0),"Fără reduceri pe durată","Reduceri "&amp;Calcule!$AS16&amp;" pe "&amp;RIGHT("0"&amp;DAY($B16),2)&amp;"."&amp;RIGHT("0"&amp;MONTH($B16),2)&amp;"–"&amp;RIGHT("0"&amp;DAY($C16),2)&amp;"."&amp;RIGHT("0"&amp;MONTH($C16),2)&amp;"."&amp;YEAR($C16)))</f>
        <v/>
      </c>
      <c r="M16" s="49" t="str">
        <f>IF($A16="","",Calcule!$U16)</f>
        <v/>
      </c>
      <c r="N16" s="49" t="str">
        <f>IF($A16="","",Calcule!$T16)</f>
        <v/>
      </c>
      <c r="O16" s="49" t="str">
        <f>IF($A16="","",Calcule!$AK16)</f>
        <v/>
      </c>
      <c r="P16" s="49" t="str">
        <f>IF($A16="","",Calcule!$AM16)</f>
        <v/>
      </c>
      <c r="Q16" s="49" t="str">
        <f>IF($A16="","",Calcule!$AO16)</f>
        <v/>
      </c>
      <c r="R16" s="59" t="str">
        <f t="shared" si="0"/>
        <v/>
      </c>
      <c r="S16" s="59" t="str">
        <f t="shared" si="1"/>
        <v/>
      </c>
      <c r="T16" s="59" t="str">
        <f t="shared" si="2"/>
        <v/>
      </c>
      <c r="U16" s="49" t="str">
        <f>IF($A16="","",Calcule!$S16)</f>
        <v/>
      </c>
      <c r="V16" s="49" t="str">
        <f>IF($A16="","",Calcule!$AJ16)</f>
        <v/>
      </c>
      <c r="W16" s="49" t="str">
        <f>IF($A16="","",Calcule!$AL16)</f>
        <v/>
      </c>
      <c r="X16" s="49" t="str">
        <f>IF($A16="","",Calcule!$AN16)</f>
        <v/>
      </c>
      <c r="Y16" s="56" t="str">
        <f>IF($A16="","",IFERROR(INDEX('Date actuale'!$C$6:$C$40,MATCH($A16,'Date actuale'!$A$6:$A$40,0)),""))</f>
        <v/>
      </c>
      <c r="Z16" s="56" t="str">
        <f>IF($A16="","",IFERROR(INDEX('Date actuale'!$D$6:$D$40,MATCH($A16,'Date actuale'!$A$6:$A$40,0)),""))</f>
        <v/>
      </c>
      <c r="AA16" s="56" t="str">
        <f>IF($A16="","",IFERROR(INDEX('Date actuale'!$E$6:$E$40,MATCH($A16,'Date actuale'!$A$6:$A$40,0)),""))</f>
        <v/>
      </c>
      <c r="AB16" s="60" t="str">
        <f>IF($A16="","",Calcule!$AP16)</f>
        <v/>
      </c>
      <c r="AC16" s="60" t="str">
        <f>IF($A16="","",Calcule!$AQ16)</f>
        <v/>
      </c>
      <c r="AD16" s="60" t="str">
        <f>IF($A16="","",Calcule!$AR16)</f>
        <v/>
      </c>
      <c r="AE16" s="52" t="str">
        <f>IF($A16="","",Perioade!$N16)</f>
        <v/>
      </c>
    </row>
    <row r="17" spans="1:31" x14ac:dyDescent="0.2">
      <c r="A17" s="53" t="str">
        <f>IF(Calcule!$A17="","",Calcule!$A17)</f>
        <v/>
      </c>
      <c r="B17" s="54" t="str">
        <f>IF($A17="","",Perioade!$C17)</f>
        <v/>
      </c>
      <c r="C17" s="54" t="str">
        <f>IF($A17="","",Perioade!$D17)</f>
        <v/>
      </c>
      <c r="D17" s="55" t="str">
        <f>IF($A17="","",Calcule!$C17)</f>
        <v/>
      </c>
      <c r="E17" s="55" t="str">
        <f>IF($A17="","",Calcule!$B17)</f>
        <v/>
      </c>
      <c r="F17" s="57" t="str">
        <f>IF($A17="","",Calcule!$R17)</f>
        <v/>
      </c>
      <c r="G17" s="57" t="str">
        <f>IF($A17="","",Calcule!$Y17)</f>
        <v/>
      </c>
      <c r="H17" s="57" t="str">
        <f>IF($A17="","",Calcule!$AE17)</f>
        <v/>
      </c>
      <c r="I17" s="57" t="str">
        <f>IF($A17="","",Calcule!$AI17)</f>
        <v/>
      </c>
      <c r="J17" s="58" t="str">
        <f>IF($A17="","",IF(b_Durata=0,"Fără planuri pe durată",IF(Calcule!$B17="Preț fix","Doar planul „Sărbători” (fără reduceri pe durată)",IF(Calcule!$B17="Standard","Planurile „2 zile” … „7 zile” (scara standard)","⚠ Planuri separate: "&amp;Calcule!$AS17))))</f>
        <v/>
      </c>
      <c r="K17" s="58" t="str">
        <f>IF($A17="","",IF(N(Perioade!$O17)&gt;0,"Cu sugestia Airbnb ("&amp;ROUND(a_PondSug*100,0)&amp;"%)",IF(ABS(Calcule!$AB17-Calcule!$Q17)&gt;0.0001,"Urcat pentru reducerea globală ("&amp;ROUND(Calcule!$AB17*100,0)&amp;"% la "&amp;$D17&amp;" nopți) – mai puțin la sejururi lungi","Reducerile Airbnb = cele de pe site")))</f>
        <v/>
      </c>
      <c r="L17" s="58" t="str">
        <f>IF($A17="","",IF(OR(m_Durata=0,Calcule!$P17=0),"Fără reduceri pe durată","Reduceri "&amp;Calcule!$AS17&amp;" pe "&amp;RIGHT("0"&amp;DAY($B17),2)&amp;"."&amp;RIGHT("0"&amp;MONTH($B17),2)&amp;"–"&amp;RIGHT("0"&amp;DAY($C17),2)&amp;"."&amp;RIGHT("0"&amp;MONTH($C17),2)&amp;"."&amp;YEAR($C17)))</f>
        <v/>
      </c>
      <c r="M17" s="49" t="str">
        <f>IF($A17="","",Calcule!$U17)</f>
        <v/>
      </c>
      <c r="N17" s="49" t="str">
        <f>IF($A17="","",Calcule!$T17)</f>
        <v/>
      </c>
      <c r="O17" s="49" t="str">
        <f>IF($A17="","",Calcule!$AK17)</f>
        <v/>
      </c>
      <c r="P17" s="49" t="str">
        <f>IF($A17="","",Calcule!$AM17)</f>
        <v/>
      </c>
      <c r="Q17" s="49" t="str">
        <f>IF($A17="","",Calcule!$AO17)</f>
        <v/>
      </c>
      <c r="R17" s="59" t="str">
        <f t="shared" si="0"/>
        <v/>
      </c>
      <c r="S17" s="59" t="str">
        <f t="shared" si="1"/>
        <v/>
      </c>
      <c r="T17" s="59" t="str">
        <f t="shared" si="2"/>
        <v/>
      </c>
      <c r="U17" s="49" t="str">
        <f>IF($A17="","",Calcule!$S17)</f>
        <v/>
      </c>
      <c r="V17" s="49" t="str">
        <f>IF($A17="","",Calcule!$AJ17)</f>
        <v/>
      </c>
      <c r="W17" s="49" t="str">
        <f>IF($A17="","",Calcule!$AL17)</f>
        <v/>
      </c>
      <c r="X17" s="49" t="str">
        <f>IF($A17="","",Calcule!$AN17)</f>
        <v/>
      </c>
      <c r="Y17" s="56" t="str">
        <f>IF($A17="","",IFERROR(INDEX('Date actuale'!$C$6:$C$40,MATCH($A17,'Date actuale'!$A$6:$A$40,0)),""))</f>
        <v/>
      </c>
      <c r="Z17" s="56" t="str">
        <f>IF($A17="","",IFERROR(INDEX('Date actuale'!$D$6:$D$40,MATCH($A17,'Date actuale'!$A$6:$A$40,0)),""))</f>
        <v/>
      </c>
      <c r="AA17" s="56" t="str">
        <f>IF($A17="","",IFERROR(INDEX('Date actuale'!$E$6:$E$40,MATCH($A17,'Date actuale'!$A$6:$A$40,0)),""))</f>
        <v/>
      </c>
      <c r="AB17" s="60" t="str">
        <f>IF($A17="","",Calcule!$AP17)</f>
        <v/>
      </c>
      <c r="AC17" s="60" t="str">
        <f>IF($A17="","",Calcule!$AQ17)</f>
        <v/>
      </c>
      <c r="AD17" s="60" t="str">
        <f>IF($A17="","",Calcule!$AR17)</f>
        <v/>
      </c>
      <c r="AE17" s="52" t="str">
        <f>IF($A17="","",Perioade!$N17)</f>
        <v/>
      </c>
    </row>
    <row r="18" spans="1:31" x14ac:dyDescent="0.2">
      <c r="A18" s="53" t="str">
        <f>IF(Calcule!$A18="","",Calcule!$A18)</f>
        <v/>
      </c>
      <c r="B18" s="54" t="str">
        <f>IF($A18="","",Perioade!$C18)</f>
        <v/>
      </c>
      <c r="C18" s="54" t="str">
        <f>IF($A18="","",Perioade!$D18)</f>
        <v/>
      </c>
      <c r="D18" s="55" t="str">
        <f>IF($A18="","",Calcule!$C18)</f>
        <v/>
      </c>
      <c r="E18" s="55" t="str">
        <f>IF($A18="","",Calcule!$B18)</f>
        <v/>
      </c>
      <c r="F18" s="57" t="str">
        <f>IF($A18="","",Calcule!$R18)</f>
        <v/>
      </c>
      <c r="G18" s="57" t="str">
        <f>IF($A18="","",Calcule!$Y18)</f>
        <v/>
      </c>
      <c r="H18" s="57" t="str">
        <f>IF($A18="","",Calcule!$AE18)</f>
        <v/>
      </c>
      <c r="I18" s="57" t="str">
        <f>IF($A18="","",Calcule!$AI18)</f>
        <v/>
      </c>
      <c r="J18" s="58" t="str">
        <f>IF($A18="","",IF(b_Durata=0,"Fără planuri pe durată",IF(Calcule!$B18="Preț fix","Doar planul „Sărbători” (fără reduceri pe durată)",IF(Calcule!$B18="Standard","Planurile „2 zile” … „7 zile” (scara standard)","⚠ Planuri separate: "&amp;Calcule!$AS18))))</f>
        <v/>
      </c>
      <c r="K18" s="58" t="str">
        <f>IF($A18="","",IF(N(Perioade!$O18)&gt;0,"Cu sugestia Airbnb ("&amp;ROUND(a_PondSug*100,0)&amp;"%)",IF(ABS(Calcule!$AB18-Calcule!$Q18)&gt;0.0001,"Urcat pentru reducerea globală ("&amp;ROUND(Calcule!$AB18*100,0)&amp;"% la "&amp;$D18&amp;" nopți) – mai puțin la sejururi lungi","Reducerile Airbnb = cele de pe site")))</f>
        <v/>
      </c>
      <c r="L18" s="58" t="str">
        <f>IF($A18="","",IF(OR(m_Durata=0,Calcule!$P18=0),"Fără reduceri pe durată","Reduceri "&amp;Calcule!$AS18&amp;" pe "&amp;RIGHT("0"&amp;DAY($B18),2)&amp;"."&amp;RIGHT("0"&amp;MONTH($B18),2)&amp;"–"&amp;RIGHT("0"&amp;DAY($C18),2)&amp;"."&amp;RIGHT("0"&amp;MONTH($C18),2)&amp;"."&amp;YEAR($C18)))</f>
        <v/>
      </c>
      <c r="M18" s="49" t="str">
        <f>IF($A18="","",Calcule!$U18)</f>
        <v/>
      </c>
      <c r="N18" s="49" t="str">
        <f>IF($A18="","",Calcule!$T18)</f>
        <v/>
      </c>
      <c r="O18" s="49" t="str">
        <f>IF($A18="","",Calcule!$AK18)</f>
        <v/>
      </c>
      <c r="P18" s="49" t="str">
        <f>IF($A18="","",Calcule!$AM18)</f>
        <v/>
      </c>
      <c r="Q18" s="49" t="str">
        <f>IF($A18="","",Calcule!$AO18)</f>
        <v/>
      </c>
      <c r="R18" s="59" t="str">
        <f t="shared" si="0"/>
        <v/>
      </c>
      <c r="S18" s="59" t="str">
        <f t="shared" si="1"/>
        <v/>
      </c>
      <c r="T18" s="59" t="str">
        <f t="shared" si="2"/>
        <v/>
      </c>
      <c r="U18" s="49" t="str">
        <f>IF($A18="","",Calcule!$S18)</f>
        <v/>
      </c>
      <c r="V18" s="49" t="str">
        <f>IF($A18="","",Calcule!$AJ18)</f>
        <v/>
      </c>
      <c r="W18" s="49" t="str">
        <f>IF($A18="","",Calcule!$AL18)</f>
        <v/>
      </c>
      <c r="X18" s="49" t="str">
        <f>IF($A18="","",Calcule!$AN18)</f>
        <v/>
      </c>
      <c r="Y18" s="56" t="str">
        <f>IF($A18="","",IFERROR(INDEX('Date actuale'!$C$6:$C$40,MATCH($A18,'Date actuale'!$A$6:$A$40,0)),""))</f>
        <v/>
      </c>
      <c r="Z18" s="56" t="str">
        <f>IF($A18="","",IFERROR(INDEX('Date actuale'!$D$6:$D$40,MATCH($A18,'Date actuale'!$A$6:$A$40,0)),""))</f>
        <v/>
      </c>
      <c r="AA18" s="56" t="str">
        <f>IF($A18="","",IFERROR(INDEX('Date actuale'!$E$6:$E$40,MATCH($A18,'Date actuale'!$A$6:$A$40,0)),""))</f>
        <v/>
      </c>
      <c r="AB18" s="60" t="str">
        <f>IF($A18="","",Calcule!$AP18)</f>
        <v/>
      </c>
      <c r="AC18" s="60" t="str">
        <f>IF($A18="","",Calcule!$AQ18)</f>
        <v/>
      </c>
      <c r="AD18" s="60" t="str">
        <f>IF($A18="","",Calcule!$AR18)</f>
        <v/>
      </c>
      <c r="AE18" s="52" t="str">
        <f>IF($A18="","",Perioade!$N18)</f>
        <v/>
      </c>
    </row>
    <row r="19" spans="1:31" x14ac:dyDescent="0.2">
      <c r="A19" s="53" t="str">
        <f>IF(Calcule!$A19="","",Calcule!$A19)</f>
        <v/>
      </c>
      <c r="B19" s="54" t="str">
        <f>IF($A19="","",Perioade!$C19)</f>
        <v/>
      </c>
      <c r="C19" s="54" t="str">
        <f>IF($A19="","",Perioade!$D19)</f>
        <v/>
      </c>
      <c r="D19" s="55" t="str">
        <f>IF($A19="","",Calcule!$C19)</f>
        <v/>
      </c>
      <c r="E19" s="55" t="str">
        <f>IF($A19="","",Calcule!$B19)</f>
        <v/>
      </c>
      <c r="F19" s="57" t="str">
        <f>IF($A19="","",Calcule!$R19)</f>
        <v/>
      </c>
      <c r="G19" s="57" t="str">
        <f>IF($A19="","",Calcule!$Y19)</f>
        <v/>
      </c>
      <c r="H19" s="57" t="str">
        <f>IF($A19="","",Calcule!$AE19)</f>
        <v/>
      </c>
      <c r="I19" s="57" t="str">
        <f>IF($A19="","",Calcule!$AI19)</f>
        <v/>
      </c>
      <c r="J19" s="58" t="str">
        <f>IF($A19="","",IF(b_Durata=0,"Fără planuri pe durată",IF(Calcule!$B19="Preț fix","Doar planul „Sărbători” (fără reduceri pe durată)",IF(Calcule!$B19="Standard","Planurile „2 zile” … „7 zile” (scara standard)","⚠ Planuri separate: "&amp;Calcule!$AS19))))</f>
        <v/>
      </c>
      <c r="K19" s="58" t="str">
        <f>IF($A19="","",IF(N(Perioade!$O19)&gt;0,"Cu sugestia Airbnb ("&amp;ROUND(a_PondSug*100,0)&amp;"%)",IF(ABS(Calcule!$AB19-Calcule!$Q19)&gt;0.0001,"Urcat pentru reducerea globală ("&amp;ROUND(Calcule!$AB19*100,0)&amp;"% la "&amp;$D19&amp;" nopți) – mai puțin la sejururi lungi","Reducerile Airbnb = cele de pe site")))</f>
        <v/>
      </c>
      <c r="L19" s="58" t="str">
        <f>IF($A19="","",IF(OR(m_Durata=0,Calcule!$P19=0),"Fără reduceri pe durată","Reduceri "&amp;Calcule!$AS19&amp;" pe "&amp;RIGHT("0"&amp;DAY($B19),2)&amp;"."&amp;RIGHT("0"&amp;MONTH($B19),2)&amp;"–"&amp;RIGHT("0"&amp;DAY($C19),2)&amp;"."&amp;RIGHT("0"&amp;MONTH($C19),2)&amp;"."&amp;YEAR($C19)))</f>
        <v/>
      </c>
      <c r="M19" s="49" t="str">
        <f>IF($A19="","",Calcule!$U19)</f>
        <v/>
      </c>
      <c r="N19" s="49" t="str">
        <f>IF($A19="","",Calcule!$T19)</f>
        <v/>
      </c>
      <c r="O19" s="49" t="str">
        <f>IF($A19="","",Calcule!$AK19)</f>
        <v/>
      </c>
      <c r="P19" s="49" t="str">
        <f>IF($A19="","",Calcule!$AM19)</f>
        <v/>
      </c>
      <c r="Q19" s="49" t="str">
        <f>IF($A19="","",Calcule!$AO19)</f>
        <v/>
      </c>
      <c r="R19" s="59" t="str">
        <f t="shared" si="0"/>
        <v/>
      </c>
      <c r="S19" s="59" t="str">
        <f t="shared" si="1"/>
        <v/>
      </c>
      <c r="T19" s="59" t="str">
        <f t="shared" si="2"/>
        <v/>
      </c>
      <c r="U19" s="49" t="str">
        <f>IF($A19="","",Calcule!$S19)</f>
        <v/>
      </c>
      <c r="V19" s="49" t="str">
        <f>IF($A19="","",Calcule!$AJ19)</f>
        <v/>
      </c>
      <c r="W19" s="49" t="str">
        <f>IF($A19="","",Calcule!$AL19)</f>
        <v/>
      </c>
      <c r="X19" s="49" t="str">
        <f>IF($A19="","",Calcule!$AN19)</f>
        <v/>
      </c>
      <c r="Y19" s="56" t="str">
        <f>IF($A19="","",IFERROR(INDEX('Date actuale'!$C$6:$C$40,MATCH($A19,'Date actuale'!$A$6:$A$40,0)),""))</f>
        <v/>
      </c>
      <c r="Z19" s="56" t="str">
        <f>IF($A19="","",IFERROR(INDEX('Date actuale'!$D$6:$D$40,MATCH($A19,'Date actuale'!$A$6:$A$40,0)),""))</f>
        <v/>
      </c>
      <c r="AA19" s="56" t="str">
        <f>IF($A19="","",IFERROR(INDEX('Date actuale'!$E$6:$E$40,MATCH($A19,'Date actuale'!$A$6:$A$40,0)),""))</f>
        <v/>
      </c>
      <c r="AB19" s="60" t="str">
        <f>IF($A19="","",Calcule!$AP19)</f>
        <v/>
      </c>
      <c r="AC19" s="60" t="str">
        <f>IF($A19="","",Calcule!$AQ19)</f>
        <v/>
      </c>
      <c r="AD19" s="60" t="str">
        <f>IF($A19="","",Calcule!$AR19)</f>
        <v/>
      </c>
      <c r="AE19" s="52" t="str">
        <f>IF($A19="","",Perioade!$N19)</f>
        <v/>
      </c>
    </row>
    <row r="20" spans="1:31" x14ac:dyDescent="0.2">
      <c r="A20" s="53" t="str">
        <f>IF(Calcule!$A20="","",Calcule!$A20)</f>
        <v/>
      </c>
      <c r="B20" s="54" t="str">
        <f>IF($A20="","",Perioade!$C20)</f>
        <v/>
      </c>
      <c r="C20" s="54" t="str">
        <f>IF($A20="","",Perioade!$D20)</f>
        <v/>
      </c>
      <c r="D20" s="55" t="str">
        <f>IF($A20="","",Calcule!$C20)</f>
        <v/>
      </c>
      <c r="E20" s="55" t="str">
        <f>IF($A20="","",Calcule!$B20)</f>
        <v/>
      </c>
      <c r="F20" s="57" t="str">
        <f>IF($A20="","",Calcule!$R20)</f>
        <v/>
      </c>
      <c r="G20" s="57" t="str">
        <f>IF($A20="","",Calcule!$Y20)</f>
        <v/>
      </c>
      <c r="H20" s="57" t="str">
        <f>IF($A20="","",Calcule!$AE20)</f>
        <v/>
      </c>
      <c r="I20" s="57" t="str">
        <f>IF($A20="","",Calcule!$AI20)</f>
        <v/>
      </c>
      <c r="J20" s="58" t="str">
        <f>IF($A20="","",IF(b_Durata=0,"Fără planuri pe durată",IF(Calcule!$B20="Preț fix","Doar planul „Sărbători” (fără reduceri pe durată)",IF(Calcule!$B20="Standard","Planurile „2 zile” … „7 zile” (scara standard)","⚠ Planuri separate: "&amp;Calcule!$AS20))))</f>
        <v/>
      </c>
      <c r="K20" s="58" t="str">
        <f>IF($A20="","",IF(N(Perioade!$O20)&gt;0,"Cu sugestia Airbnb ("&amp;ROUND(a_PondSug*100,0)&amp;"%)",IF(ABS(Calcule!$AB20-Calcule!$Q20)&gt;0.0001,"Urcat pentru reducerea globală ("&amp;ROUND(Calcule!$AB20*100,0)&amp;"% la "&amp;$D20&amp;" nopți) – mai puțin la sejururi lungi","Reducerile Airbnb = cele de pe site")))</f>
        <v/>
      </c>
      <c r="L20" s="58" t="str">
        <f>IF($A20="","",IF(OR(m_Durata=0,Calcule!$P20=0),"Fără reduceri pe durată","Reduceri "&amp;Calcule!$AS20&amp;" pe "&amp;RIGHT("0"&amp;DAY($B20),2)&amp;"."&amp;RIGHT("0"&amp;MONTH($B20),2)&amp;"–"&amp;RIGHT("0"&amp;DAY($C20),2)&amp;"."&amp;RIGHT("0"&amp;MONTH($C20),2)&amp;"."&amp;YEAR($C20)))</f>
        <v/>
      </c>
      <c r="M20" s="49" t="str">
        <f>IF($A20="","",Calcule!$U20)</f>
        <v/>
      </c>
      <c r="N20" s="49" t="str">
        <f>IF($A20="","",Calcule!$T20)</f>
        <v/>
      </c>
      <c r="O20" s="49" t="str">
        <f>IF($A20="","",Calcule!$AK20)</f>
        <v/>
      </c>
      <c r="P20" s="49" t="str">
        <f>IF($A20="","",Calcule!$AM20)</f>
        <v/>
      </c>
      <c r="Q20" s="49" t="str">
        <f>IF($A20="","",Calcule!$AO20)</f>
        <v/>
      </c>
      <c r="R20" s="59" t="str">
        <f t="shared" si="0"/>
        <v/>
      </c>
      <c r="S20" s="59" t="str">
        <f t="shared" si="1"/>
        <v/>
      </c>
      <c r="T20" s="59" t="str">
        <f t="shared" si="2"/>
        <v/>
      </c>
      <c r="U20" s="49" t="str">
        <f>IF($A20="","",Calcule!$S20)</f>
        <v/>
      </c>
      <c r="V20" s="49" t="str">
        <f>IF($A20="","",Calcule!$AJ20)</f>
        <v/>
      </c>
      <c r="W20" s="49" t="str">
        <f>IF($A20="","",Calcule!$AL20)</f>
        <v/>
      </c>
      <c r="X20" s="49" t="str">
        <f>IF($A20="","",Calcule!$AN20)</f>
        <v/>
      </c>
      <c r="Y20" s="56" t="str">
        <f>IF($A20="","",IFERROR(INDEX('Date actuale'!$C$6:$C$40,MATCH($A20,'Date actuale'!$A$6:$A$40,0)),""))</f>
        <v/>
      </c>
      <c r="Z20" s="56" t="str">
        <f>IF($A20="","",IFERROR(INDEX('Date actuale'!$D$6:$D$40,MATCH($A20,'Date actuale'!$A$6:$A$40,0)),""))</f>
        <v/>
      </c>
      <c r="AA20" s="56" t="str">
        <f>IF($A20="","",IFERROR(INDEX('Date actuale'!$E$6:$E$40,MATCH($A20,'Date actuale'!$A$6:$A$40,0)),""))</f>
        <v/>
      </c>
      <c r="AB20" s="60" t="str">
        <f>IF($A20="","",Calcule!$AP20)</f>
        <v/>
      </c>
      <c r="AC20" s="60" t="str">
        <f>IF($A20="","",Calcule!$AQ20)</f>
        <v/>
      </c>
      <c r="AD20" s="60" t="str">
        <f>IF($A20="","",Calcule!$AR20)</f>
        <v/>
      </c>
      <c r="AE20" s="52" t="str">
        <f>IF($A20="","",Perioade!$N20)</f>
        <v/>
      </c>
    </row>
    <row r="21" spans="1:31" x14ac:dyDescent="0.2">
      <c r="A21" s="53" t="str">
        <f>IF(Calcule!$A21="","",Calcule!$A21)</f>
        <v/>
      </c>
      <c r="B21" s="54" t="str">
        <f>IF($A21="","",Perioade!$C21)</f>
        <v/>
      </c>
      <c r="C21" s="54" t="str">
        <f>IF($A21="","",Perioade!$D21)</f>
        <v/>
      </c>
      <c r="D21" s="55" t="str">
        <f>IF($A21="","",Calcule!$C21)</f>
        <v/>
      </c>
      <c r="E21" s="55" t="str">
        <f>IF($A21="","",Calcule!$B21)</f>
        <v/>
      </c>
      <c r="F21" s="57" t="str">
        <f>IF($A21="","",Calcule!$R21)</f>
        <v/>
      </c>
      <c r="G21" s="57" t="str">
        <f>IF($A21="","",Calcule!$Y21)</f>
        <v/>
      </c>
      <c r="H21" s="57" t="str">
        <f>IF($A21="","",Calcule!$AE21)</f>
        <v/>
      </c>
      <c r="I21" s="57" t="str">
        <f>IF($A21="","",Calcule!$AI21)</f>
        <v/>
      </c>
      <c r="J21" s="58" t="str">
        <f>IF($A21="","",IF(b_Durata=0,"Fără planuri pe durată",IF(Calcule!$B21="Preț fix","Doar planul „Sărbători” (fără reduceri pe durată)",IF(Calcule!$B21="Standard","Planurile „2 zile” … „7 zile” (scara standard)","⚠ Planuri separate: "&amp;Calcule!$AS21))))</f>
        <v/>
      </c>
      <c r="K21" s="58" t="str">
        <f>IF($A21="","",IF(N(Perioade!$O21)&gt;0,"Cu sugestia Airbnb ("&amp;ROUND(a_PondSug*100,0)&amp;"%)",IF(ABS(Calcule!$AB21-Calcule!$Q21)&gt;0.0001,"Urcat pentru reducerea globală ("&amp;ROUND(Calcule!$AB21*100,0)&amp;"% la "&amp;$D21&amp;" nopți) – mai puțin la sejururi lungi","Reducerile Airbnb = cele de pe site")))</f>
        <v/>
      </c>
      <c r="L21" s="58" t="str">
        <f>IF($A21="","",IF(OR(m_Durata=0,Calcule!$P21=0),"Fără reduceri pe durată","Reduceri "&amp;Calcule!$AS21&amp;" pe "&amp;RIGHT("0"&amp;DAY($B21),2)&amp;"."&amp;RIGHT("0"&amp;MONTH($B21),2)&amp;"–"&amp;RIGHT("0"&amp;DAY($C21),2)&amp;"."&amp;RIGHT("0"&amp;MONTH($C21),2)&amp;"."&amp;YEAR($C21)))</f>
        <v/>
      </c>
      <c r="M21" s="49" t="str">
        <f>IF($A21="","",Calcule!$U21)</f>
        <v/>
      </c>
      <c r="N21" s="49" t="str">
        <f>IF($A21="","",Calcule!$T21)</f>
        <v/>
      </c>
      <c r="O21" s="49" t="str">
        <f>IF($A21="","",Calcule!$AK21)</f>
        <v/>
      </c>
      <c r="P21" s="49" t="str">
        <f>IF($A21="","",Calcule!$AM21)</f>
        <v/>
      </c>
      <c r="Q21" s="49" t="str">
        <f>IF($A21="","",Calcule!$AO21)</f>
        <v/>
      </c>
      <c r="R21" s="59" t="str">
        <f t="shared" si="0"/>
        <v/>
      </c>
      <c r="S21" s="59" t="str">
        <f t="shared" si="1"/>
        <v/>
      </c>
      <c r="T21" s="59" t="str">
        <f t="shared" si="2"/>
        <v/>
      </c>
      <c r="U21" s="49" t="str">
        <f>IF($A21="","",Calcule!$S21)</f>
        <v/>
      </c>
      <c r="V21" s="49" t="str">
        <f>IF($A21="","",Calcule!$AJ21)</f>
        <v/>
      </c>
      <c r="W21" s="49" t="str">
        <f>IF($A21="","",Calcule!$AL21)</f>
        <v/>
      </c>
      <c r="X21" s="49" t="str">
        <f>IF($A21="","",Calcule!$AN21)</f>
        <v/>
      </c>
      <c r="Y21" s="56" t="str">
        <f>IF($A21="","",IFERROR(INDEX('Date actuale'!$C$6:$C$40,MATCH($A21,'Date actuale'!$A$6:$A$40,0)),""))</f>
        <v/>
      </c>
      <c r="Z21" s="56" t="str">
        <f>IF($A21="","",IFERROR(INDEX('Date actuale'!$D$6:$D$40,MATCH($A21,'Date actuale'!$A$6:$A$40,0)),""))</f>
        <v/>
      </c>
      <c r="AA21" s="56" t="str">
        <f>IF($A21="","",IFERROR(INDEX('Date actuale'!$E$6:$E$40,MATCH($A21,'Date actuale'!$A$6:$A$40,0)),""))</f>
        <v/>
      </c>
      <c r="AB21" s="60" t="str">
        <f>IF($A21="","",Calcule!$AP21)</f>
        <v/>
      </c>
      <c r="AC21" s="60" t="str">
        <f>IF($A21="","",Calcule!$AQ21)</f>
        <v/>
      </c>
      <c r="AD21" s="60" t="str">
        <f>IF($A21="","",Calcule!$AR21)</f>
        <v/>
      </c>
      <c r="AE21" s="52" t="str">
        <f>IF($A21="","",Perioade!$N21)</f>
        <v/>
      </c>
    </row>
    <row r="22" spans="1:31" x14ac:dyDescent="0.2">
      <c r="A22" s="53" t="str">
        <f>IF(Calcule!$A22="","",Calcule!$A22)</f>
        <v/>
      </c>
      <c r="B22" s="54" t="str">
        <f>IF($A22="","",Perioade!$C22)</f>
        <v/>
      </c>
      <c r="C22" s="54" t="str">
        <f>IF($A22="","",Perioade!$D22)</f>
        <v/>
      </c>
      <c r="D22" s="55" t="str">
        <f>IF($A22="","",Calcule!$C22)</f>
        <v/>
      </c>
      <c r="E22" s="55" t="str">
        <f>IF($A22="","",Calcule!$B22)</f>
        <v/>
      </c>
      <c r="F22" s="57" t="str">
        <f>IF($A22="","",Calcule!$R22)</f>
        <v/>
      </c>
      <c r="G22" s="57" t="str">
        <f>IF($A22="","",Calcule!$Y22)</f>
        <v/>
      </c>
      <c r="H22" s="57" t="str">
        <f>IF($A22="","",Calcule!$AE22)</f>
        <v/>
      </c>
      <c r="I22" s="57" t="str">
        <f>IF($A22="","",Calcule!$AI22)</f>
        <v/>
      </c>
      <c r="J22" s="58" t="str">
        <f>IF($A22="","",IF(b_Durata=0,"Fără planuri pe durată",IF(Calcule!$B22="Preț fix","Doar planul „Sărbători” (fără reduceri pe durată)",IF(Calcule!$B22="Standard","Planurile „2 zile” … „7 zile” (scara standard)","⚠ Planuri separate: "&amp;Calcule!$AS22))))</f>
        <v/>
      </c>
      <c r="K22" s="58" t="str">
        <f>IF($A22="","",IF(N(Perioade!$O22)&gt;0,"Cu sugestia Airbnb ("&amp;ROUND(a_PondSug*100,0)&amp;"%)",IF(ABS(Calcule!$AB22-Calcule!$Q22)&gt;0.0001,"Urcat pentru reducerea globală ("&amp;ROUND(Calcule!$AB22*100,0)&amp;"% la "&amp;$D22&amp;" nopți) – mai puțin la sejururi lungi","Reducerile Airbnb = cele de pe site")))</f>
        <v/>
      </c>
      <c r="L22" s="58" t="str">
        <f>IF($A22="","",IF(OR(m_Durata=0,Calcule!$P22=0),"Fără reduceri pe durată","Reduceri "&amp;Calcule!$AS22&amp;" pe "&amp;RIGHT("0"&amp;DAY($B22),2)&amp;"."&amp;RIGHT("0"&amp;MONTH($B22),2)&amp;"–"&amp;RIGHT("0"&amp;DAY($C22),2)&amp;"."&amp;RIGHT("0"&amp;MONTH($C22),2)&amp;"."&amp;YEAR($C22)))</f>
        <v/>
      </c>
      <c r="M22" s="49" t="str">
        <f>IF($A22="","",Calcule!$U22)</f>
        <v/>
      </c>
      <c r="N22" s="49" t="str">
        <f>IF($A22="","",Calcule!$T22)</f>
        <v/>
      </c>
      <c r="O22" s="49" t="str">
        <f>IF($A22="","",Calcule!$AK22)</f>
        <v/>
      </c>
      <c r="P22" s="49" t="str">
        <f>IF($A22="","",Calcule!$AM22)</f>
        <v/>
      </c>
      <c r="Q22" s="49" t="str">
        <f>IF($A22="","",Calcule!$AO22)</f>
        <v/>
      </c>
      <c r="R22" s="59" t="str">
        <f t="shared" si="0"/>
        <v/>
      </c>
      <c r="S22" s="59" t="str">
        <f t="shared" si="1"/>
        <v/>
      </c>
      <c r="T22" s="59" t="str">
        <f t="shared" si="2"/>
        <v/>
      </c>
      <c r="U22" s="49" t="str">
        <f>IF($A22="","",Calcule!$S22)</f>
        <v/>
      </c>
      <c r="V22" s="49" t="str">
        <f>IF($A22="","",Calcule!$AJ22)</f>
        <v/>
      </c>
      <c r="W22" s="49" t="str">
        <f>IF($A22="","",Calcule!$AL22)</f>
        <v/>
      </c>
      <c r="X22" s="49" t="str">
        <f>IF($A22="","",Calcule!$AN22)</f>
        <v/>
      </c>
      <c r="Y22" s="56" t="str">
        <f>IF($A22="","",IFERROR(INDEX('Date actuale'!$C$6:$C$40,MATCH($A22,'Date actuale'!$A$6:$A$40,0)),""))</f>
        <v/>
      </c>
      <c r="Z22" s="56" t="str">
        <f>IF($A22="","",IFERROR(INDEX('Date actuale'!$D$6:$D$40,MATCH($A22,'Date actuale'!$A$6:$A$40,0)),""))</f>
        <v/>
      </c>
      <c r="AA22" s="56" t="str">
        <f>IF($A22="","",IFERROR(INDEX('Date actuale'!$E$6:$E$40,MATCH($A22,'Date actuale'!$A$6:$A$40,0)),""))</f>
        <v/>
      </c>
      <c r="AB22" s="60" t="str">
        <f>IF($A22="","",Calcule!$AP22)</f>
        <v/>
      </c>
      <c r="AC22" s="60" t="str">
        <f>IF($A22="","",Calcule!$AQ22)</f>
        <v/>
      </c>
      <c r="AD22" s="60" t="str">
        <f>IF($A22="","",Calcule!$AR22)</f>
        <v/>
      </c>
      <c r="AE22" s="52" t="str">
        <f>IF($A22="","",Perioade!$N22)</f>
        <v/>
      </c>
    </row>
    <row r="23" spans="1:31" x14ac:dyDescent="0.2">
      <c r="A23" s="53" t="str">
        <f>IF(Calcule!$A23="","",Calcule!$A23)</f>
        <v/>
      </c>
      <c r="B23" s="54" t="str">
        <f>IF($A23="","",Perioade!$C23)</f>
        <v/>
      </c>
      <c r="C23" s="54" t="str">
        <f>IF($A23="","",Perioade!$D23)</f>
        <v/>
      </c>
      <c r="D23" s="55" t="str">
        <f>IF($A23="","",Calcule!$C23)</f>
        <v/>
      </c>
      <c r="E23" s="55" t="str">
        <f>IF($A23="","",Calcule!$B23)</f>
        <v/>
      </c>
      <c r="F23" s="57" t="str">
        <f>IF($A23="","",Calcule!$R23)</f>
        <v/>
      </c>
      <c r="G23" s="57" t="str">
        <f>IF($A23="","",Calcule!$Y23)</f>
        <v/>
      </c>
      <c r="H23" s="57" t="str">
        <f>IF($A23="","",Calcule!$AE23)</f>
        <v/>
      </c>
      <c r="I23" s="57" t="str">
        <f>IF($A23="","",Calcule!$AI23)</f>
        <v/>
      </c>
      <c r="J23" s="58" t="str">
        <f>IF($A23="","",IF(b_Durata=0,"Fără planuri pe durată",IF(Calcule!$B23="Preț fix","Doar planul „Sărbători” (fără reduceri pe durată)",IF(Calcule!$B23="Standard","Planurile „2 zile” … „7 zile” (scara standard)","⚠ Planuri separate: "&amp;Calcule!$AS23))))</f>
        <v/>
      </c>
      <c r="K23" s="58" t="str">
        <f>IF($A23="","",IF(N(Perioade!$O23)&gt;0,"Cu sugestia Airbnb ("&amp;ROUND(a_PondSug*100,0)&amp;"%)",IF(ABS(Calcule!$AB23-Calcule!$Q23)&gt;0.0001,"Urcat pentru reducerea globală ("&amp;ROUND(Calcule!$AB23*100,0)&amp;"% la "&amp;$D23&amp;" nopți) – mai puțin la sejururi lungi","Reducerile Airbnb = cele de pe site")))</f>
        <v/>
      </c>
      <c r="L23" s="58" t="str">
        <f>IF($A23="","",IF(OR(m_Durata=0,Calcule!$P23=0),"Fără reduceri pe durată","Reduceri "&amp;Calcule!$AS23&amp;" pe "&amp;RIGHT("0"&amp;DAY($B23),2)&amp;"."&amp;RIGHT("0"&amp;MONTH($B23),2)&amp;"–"&amp;RIGHT("0"&amp;DAY($C23),2)&amp;"."&amp;RIGHT("0"&amp;MONTH($C23),2)&amp;"."&amp;YEAR($C23)))</f>
        <v/>
      </c>
      <c r="M23" s="49" t="str">
        <f>IF($A23="","",Calcule!$U23)</f>
        <v/>
      </c>
      <c r="N23" s="49" t="str">
        <f>IF($A23="","",Calcule!$T23)</f>
        <v/>
      </c>
      <c r="O23" s="49" t="str">
        <f>IF($A23="","",Calcule!$AK23)</f>
        <v/>
      </c>
      <c r="P23" s="49" t="str">
        <f>IF($A23="","",Calcule!$AM23)</f>
        <v/>
      </c>
      <c r="Q23" s="49" t="str">
        <f>IF($A23="","",Calcule!$AO23)</f>
        <v/>
      </c>
      <c r="R23" s="59" t="str">
        <f t="shared" si="0"/>
        <v/>
      </c>
      <c r="S23" s="59" t="str">
        <f t="shared" si="1"/>
        <v/>
      </c>
      <c r="T23" s="59" t="str">
        <f t="shared" si="2"/>
        <v/>
      </c>
      <c r="U23" s="49" t="str">
        <f>IF($A23="","",Calcule!$S23)</f>
        <v/>
      </c>
      <c r="V23" s="49" t="str">
        <f>IF($A23="","",Calcule!$AJ23)</f>
        <v/>
      </c>
      <c r="W23" s="49" t="str">
        <f>IF($A23="","",Calcule!$AL23)</f>
        <v/>
      </c>
      <c r="X23" s="49" t="str">
        <f>IF($A23="","",Calcule!$AN23)</f>
        <v/>
      </c>
      <c r="Y23" s="56" t="str">
        <f>IF($A23="","",IFERROR(INDEX('Date actuale'!$C$6:$C$40,MATCH($A23,'Date actuale'!$A$6:$A$40,0)),""))</f>
        <v/>
      </c>
      <c r="Z23" s="56" t="str">
        <f>IF($A23="","",IFERROR(INDEX('Date actuale'!$D$6:$D$40,MATCH($A23,'Date actuale'!$A$6:$A$40,0)),""))</f>
        <v/>
      </c>
      <c r="AA23" s="56" t="str">
        <f>IF($A23="","",IFERROR(INDEX('Date actuale'!$E$6:$E$40,MATCH($A23,'Date actuale'!$A$6:$A$40,0)),""))</f>
        <v/>
      </c>
      <c r="AB23" s="60" t="str">
        <f>IF($A23="","",Calcule!$AP23)</f>
        <v/>
      </c>
      <c r="AC23" s="60" t="str">
        <f>IF($A23="","",Calcule!$AQ23)</f>
        <v/>
      </c>
      <c r="AD23" s="60" t="str">
        <f>IF($A23="","",Calcule!$AR23)</f>
        <v/>
      </c>
      <c r="AE23" s="52" t="str">
        <f>IF($A23="","",Perioade!$N23)</f>
        <v/>
      </c>
    </row>
    <row r="24" spans="1:31" x14ac:dyDescent="0.2">
      <c r="A24" s="53" t="str">
        <f>IF(Calcule!$A24="","",Calcule!$A24)</f>
        <v/>
      </c>
      <c r="B24" s="54" t="str">
        <f>IF($A24="","",Perioade!$C24)</f>
        <v/>
      </c>
      <c r="C24" s="54" t="str">
        <f>IF($A24="","",Perioade!$D24)</f>
        <v/>
      </c>
      <c r="D24" s="55" t="str">
        <f>IF($A24="","",Calcule!$C24)</f>
        <v/>
      </c>
      <c r="E24" s="55" t="str">
        <f>IF($A24="","",Calcule!$B24)</f>
        <v/>
      </c>
      <c r="F24" s="57" t="str">
        <f>IF($A24="","",Calcule!$R24)</f>
        <v/>
      </c>
      <c r="G24" s="57" t="str">
        <f>IF($A24="","",Calcule!$Y24)</f>
        <v/>
      </c>
      <c r="H24" s="57" t="str">
        <f>IF($A24="","",Calcule!$AE24)</f>
        <v/>
      </c>
      <c r="I24" s="57" t="str">
        <f>IF($A24="","",Calcule!$AI24)</f>
        <v/>
      </c>
      <c r="J24" s="58" t="str">
        <f>IF($A24="","",IF(b_Durata=0,"Fără planuri pe durată",IF(Calcule!$B24="Preț fix","Doar planul „Sărbători” (fără reduceri pe durată)",IF(Calcule!$B24="Standard","Planurile „2 zile” … „7 zile” (scara standard)","⚠ Planuri separate: "&amp;Calcule!$AS24))))</f>
        <v/>
      </c>
      <c r="K24" s="58" t="str">
        <f>IF($A24="","",IF(N(Perioade!$O24)&gt;0,"Cu sugestia Airbnb ("&amp;ROUND(a_PondSug*100,0)&amp;"%)",IF(ABS(Calcule!$AB24-Calcule!$Q24)&gt;0.0001,"Urcat pentru reducerea globală ("&amp;ROUND(Calcule!$AB24*100,0)&amp;"% la "&amp;$D24&amp;" nopți) – mai puțin la sejururi lungi","Reducerile Airbnb = cele de pe site")))</f>
        <v/>
      </c>
      <c r="L24" s="58" t="str">
        <f>IF($A24="","",IF(OR(m_Durata=0,Calcule!$P24=0),"Fără reduceri pe durată","Reduceri "&amp;Calcule!$AS24&amp;" pe "&amp;RIGHT("0"&amp;DAY($B24),2)&amp;"."&amp;RIGHT("0"&amp;MONTH($B24),2)&amp;"–"&amp;RIGHT("0"&amp;DAY($C24),2)&amp;"."&amp;RIGHT("0"&amp;MONTH($C24),2)&amp;"."&amp;YEAR($C24)))</f>
        <v/>
      </c>
      <c r="M24" s="49" t="str">
        <f>IF($A24="","",Calcule!$U24)</f>
        <v/>
      </c>
      <c r="N24" s="49" t="str">
        <f>IF($A24="","",Calcule!$T24)</f>
        <v/>
      </c>
      <c r="O24" s="49" t="str">
        <f>IF($A24="","",Calcule!$AK24)</f>
        <v/>
      </c>
      <c r="P24" s="49" t="str">
        <f>IF($A24="","",Calcule!$AM24)</f>
        <v/>
      </c>
      <c r="Q24" s="49" t="str">
        <f>IF($A24="","",Calcule!$AO24)</f>
        <v/>
      </c>
      <c r="R24" s="59" t="str">
        <f t="shared" si="0"/>
        <v/>
      </c>
      <c r="S24" s="59" t="str">
        <f t="shared" si="1"/>
        <v/>
      </c>
      <c r="T24" s="59" t="str">
        <f t="shared" si="2"/>
        <v/>
      </c>
      <c r="U24" s="49" t="str">
        <f>IF($A24="","",Calcule!$S24)</f>
        <v/>
      </c>
      <c r="V24" s="49" t="str">
        <f>IF($A24="","",Calcule!$AJ24)</f>
        <v/>
      </c>
      <c r="W24" s="49" t="str">
        <f>IF($A24="","",Calcule!$AL24)</f>
        <v/>
      </c>
      <c r="X24" s="49" t="str">
        <f>IF($A24="","",Calcule!$AN24)</f>
        <v/>
      </c>
      <c r="Y24" s="56" t="str">
        <f>IF($A24="","",IFERROR(INDEX('Date actuale'!$C$6:$C$40,MATCH($A24,'Date actuale'!$A$6:$A$40,0)),""))</f>
        <v/>
      </c>
      <c r="Z24" s="56" t="str">
        <f>IF($A24="","",IFERROR(INDEX('Date actuale'!$D$6:$D$40,MATCH($A24,'Date actuale'!$A$6:$A$40,0)),""))</f>
        <v/>
      </c>
      <c r="AA24" s="56" t="str">
        <f>IF($A24="","",IFERROR(INDEX('Date actuale'!$E$6:$E$40,MATCH($A24,'Date actuale'!$A$6:$A$40,0)),""))</f>
        <v/>
      </c>
      <c r="AB24" s="60" t="str">
        <f>IF($A24="","",Calcule!$AP24)</f>
        <v/>
      </c>
      <c r="AC24" s="60" t="str">
        <f>IF($A24="","",Calcule!$AQ24)</f>
        <v/>
      </c>
      <c r="AD24" s="60" t="str">
        <f>IF($A24="","",Calcule!$AR24)</f>
        <v/>
      </c>
      <c r="AE24" s="52" t="str">
        <f>IF($A24="","",Perioade!$N24)</f>
        <v/>
      </c>
    </row>
    <row r="25" spans="1:31" x14ac:dyDescent="0.2">
      <c r="A25" s="53" t="str">
        <f>IF(Calcule!$A25="","",Calcule!$A25)</f>
        <v/>
      </c>
      <c r="B25" s="54" t="str">
        <f>IF($A25="","",Perioade!$C25)</f>
        <v/>
      </c>
      <c r="C25" s="54" t="str">
        <f>IF($A25="","",Perioade!$D25)</f>
        <v/>
      </c>
      <c r="D25" s="55" t="str">
        <f>IF($A25="","",Calcule!$C25)</f>
        <v/>
      </c>
      <c r="E25" s="55" t="str">
        <f>IF($A25="","",Calcule!$B25)</f>
        <v/>
      </c>
      <c r="F25" s="57" t="str">
        <f>IF($A25="","",Calcule!$R25)</f>
        <v/>
      </c>
      <c r="G25" s="57" t="str">
        <f>IF($A25="","",Calcule!$Y25)</f>
        <v/>
      </c>
      <c r="H25" s="57" t="str">
        <f>IF($A25="","",Calcule!$AE25)</f>
        <v/>
      </c>
      <c r="I25" s="57" t="str">
        <f>IF($A25="","",Calcule!$AI25)</f>
        <v/>
      </c>
      <c r="J25" s="58" t="str">
        <f>IF($A25="","",IF(b_Durata=0,"Fără planuri pe durată",IF(Calcule!$B25="Preț fix","Doar planul „Sărbători” (fără reduceri pe durată)",IF(Calcule!$B25="Standard","Planurile „2 zile” … „7 zile” (scara standard)","⚠ Planuri separate: "&amp;Calcule!$AS25))))</f>
        <v/>
      </c>
      <c r="K25" s="58" t="str">
        <f>IF($A25="","",IF(N(Perioade!$O25)&gt;0,"Cu sugestia Airbnb ("&amp;ROUND(a_PondSug*100,0)&amp;"%)",IF(ABS(Calcule!$AB25-Calcule!$Q25)&gt;0.0001,"Urcat pentru reducerea globală ("&amp;ROUND(Calcule!$AB25*100,0)&amp;"% la "&amp;$D25&amp;" nopți) – mai puțin la sejururi lungi","Reducerile Airbnb = cele de pe site")))</f>
        <v/>
      </c>
      <c r="L25" s="58" t="str">
        <f>IF($A25="","",IF(OR(m_Durata=0,Calcule!$P25=0),"Fără reduceri pe durată","Reduceri "&amp;Calcule!$AS25&amp;" pe "&amp;RIGHT("0"&amp;DAY($B25),2)&amp;"."&amp;RIGHT("0"&amp;MONTH($B25),2)&amp;"–"&amp;RIGHT("0"&amp;DAY($C25),2)&amp;"."&amp;RIGHT("0"&amp;MONTH($C25),2)&amp;"."&amp;YEAR($C25)))</f>
        <v/>
      </c>
      <c r="M25" s="49" t="str">
        <f>IF($A25="","",Calcule!$U25)</f>
        <v/>
      </c>
      <c r="N25" s="49" t="str">
        <f>IF($A25="","",Calcule!$T25)</f>
        <v/>
      </c>
      <c r="O25" s="49" t="str">
        <f>IF($A25="","",Calcule!$AK25)</f>
        <v/>
      </c>
      <c r="P25" s="49" t="str">
        <f>IF($A25="","",Calcule!$AM25)</f>
        <v/>
      </c>
      <c r="Q25" s="49" t="str">
        <f>IF($A25="","",Calcule!$AO25)</f>
        <v/>
      </c>
      <c r="R25" s="59" t="str">
        <f t="shared" si="0"/>
        <v/>
      </c>
      <c r="S25" s="59" t="str">
        <f t="shared" si="1"/>
        <v/>
      </c>
      <c r="T25" s="59" t="str">
        <f t="shared" si="2"/>
        <v/>
      </c>
      <c r="U25" s="49" t="str">
        <f>IF($A25="","",Calcule!$S25)</f>
        <v/>
      </c>
      <c r="V25" s="49" t="str">
        <f>IF($A25="","",Calcule!$AJ25)</f>
        <v/>
      </c>
      <c r="W25" s="49" t="str">
        <f>IF($A25="","",Calcule!$AL25)</f>
        <v/>
      </c>
      <c r="X25" s="49" t="str">
        <f>IF($A25="","",Calcule!$AN25)</f>
        <v/>
      </c>
      <c r="Y25" s="56" t="str">
        <f>IF($A25="","",IFERROR(INDEX('Date actuale'!$C$6:$C$40,MATCH($A25,'Date actuale'!$A$6:$A$40,0)),""))</f>
        <v/>
      </c>
      <c r="Z25" s="56" t="str">
        <f>IF($A25="","",IFERROR(INDEX('Date actuale'!$D$6:$D$40,MATCH($A25,'Date actuale'!$A$6:$A$40,0)),""))</f>
        <v/>
      </c>
      <c r="AA25" s="56" t="str">
        <f>IF($A25="","",IFERROR(INDEX('Date actuale'!$E$6:$E$40,MATCH($A25,'Date actuale'!$A$6:$A$40,0)),""))</f>
        <v/>
      </c>
      <c r="AB25" s="60" t="str">
        <f>IF($A25="","",Calcule!$AP25)</f>
        <v/>
      </c>
      <c r="AC25" s="60" t="str">
        <f>IF($A25="","",Calcule!$AQ25)</f>
        <v/>
      </c>
      <c r="AD25" s="60" t="str">
        <f>IF($A25="","",Calcule!$AR25)</f>
        <v/>
      </c>
      <c r="AE25" s="52" t="str">
        <f>IF($A25="","",Perioade!$N25)</f>
        <v/>
      </c>
    </row>
    <row r="26" spans="1:31" x14ac:dyDescent="0.2">
      <c r="A26" s="53" t="str">
        <f>IF(Calcule!$A26="","",Calcule!$A26)</f>
        <v/>
      </c>
      <c r="B26" s="54" t="str">
        <f>IF($A26="","",Perioade!$C26)</f>
        <v/>
      </c>
      <c r="C26" s="54" t="str">
        <f>IF($A26="","",Perioade!$D26)</f>
        <v/>
      </c>
      <c r="D26" s="55" t="str">
        <f>IF($A26="","",Calcule!$C26)</f>
        <v/>
      </c>
      <c r="E26" s="55" t="str">
        <f>IF($A26="","",Calcule!$B26)</f>
        <v/>
      </c>
      <c r="F26" s="57" t="str">
        <f>IF($A26="","",Calcule!$R26)</f>
        <v/>
      </c>
      <c r="G26" s="57" t="str">
        <f>IF($A26="","",Calcule!$Y26)</f>
        <v/>
      </c>
      <c r="H26" s="57" t="str">
        <f>IF($A26="","",Calcule!$AE26)</f>
        <v/>
      </c>
      <c r="I26" s="57" t="str">
        <f>IF($A26="","",Calcule!$AI26)</f>
        <v/>
      </c>
      <c r="J26" s="58" t="str">
        <f>IF($A26="","",IF(b_Durata=0,"Fără planuri pe durată",IF(Calcule!$B26="Preț fix","Doar planul „Sărbători” (fără reduceri pe durată)",IF(Calcule!$B26="Standard","Planurile „2 zile” … „7 zile” (scara standard)","⚠ Planuri separate: "&amp;Calcule!$AS26))))</f>
        <v/>
      </c>
      <c r="K26" s="58" t="str">
        <f>IF($A26="","",IF(N(Perioade!$O26)&gt;0,"Cu sugestia Airbnb ("&amp;ROUND(a_PondSug*100,0)&amp;"%)",IF(ABS(Calcule!$AB26-Calcule!$Q26)&gt;0.0001,"Urcat pentru reducerea globală ("&amp;ROUND(Calcule!$AB26*100,0)&amp;"% la "&amp;$D26&amp;" nopți) – mai puțin la sejururi lungi","Reducerile Airbnb = cele de pe site")))</f>
        <v/>
      </c>
      <c r="L26" s="58" t="str">
        <f>IF($A26="","",IF(OR(m_Durata=0,Calcule!$P26=0),"Fără reduceri pe durată","Reduceri "&amp;Calcule!$AS26&amp;" pe "&amp;RIGHT("0"&amp;DAY($B26),2)&amp;"."&amp;RIGHT("0"&amp;MONTH($B26),2)&amp;"–"&amp;RIGHT("0"&amp;DAY($C26),2)&amp;"."&amp;RIGHT("0"&amp;MONTH($C26),2)&amp;"."&amp;YEAR($C26)))</f>
        <v/>
      </c>
      <c r="M26" s="49" t="str">
        <f>IF($A26="","",Calcule!$U26)</f>
        <v/>
      </c>
      <c r="N26" s="49" t="str">
        <f>IF($A26="","",Calcule!$T26)</f>
        <v/>
      </c>
      <c r="O26" s="49" t="str">
        <f>IF($A26="","",Calcule!$AK26)</f>
        <v/>
      </c>
      <c r="P26" s="49" t="str">
        <f>IF($A26="","",Calcule!$AM26)</f>
        <v/>
      </c>
      <c r="Q26" s="49" t="str">
        <f>IF($A26="","",Calcule!$AO26)</f>
        <v/>
      </c>
      <c r="R26" s="59" t="str">
        <f t="shared" si="0"/>
        <v/>
      </c>
      <c r="S26" s="59" t="str">
        <f t="shared" si="1"/>
        <v/>
      </c>
      <c r="T26" s="59" t="str">
        <f t="shared" si="2"/>
        <v/>
      </c>
      <c r="U26" s="49" t="str">
        <f>IF($A26="","",Calcule!$S26)</f>
        <v/>
      </c>
      <c r="V26" s="49" t="str">
        <f>IF($A26="","",Calcule!$AJ26)</f>
        <v/>
      </c>
      <c r="W26" s="49" t="str">
        <f>IF($A26="","",Calcule!$AL26)</f>
        <v/>
      </c>
      <c r="X26" s="49" t="str">
        <f>IF($A26="","",Calcule!$AN26)</f>
        <v/>
      </c>
      <c r="Y26" s="56" t="str">
        <f>IF($A26="","",IFERROR(INDEX('Date actuale'!$C$6:$C$40,MATCH($A26,'Date actuale'!$A$6:$A$40,0)),""))</f>
        <v/>
      </c>
      <c r="Z26" s="56" t="str">
        <f>IF($A26="","",IFERROR(INDEX('Date actuale'!$D$6:$D$40,MATCH($A26,'Date actuale'!$A$6:$A$40,0)),""))</f>
        <v/>
      </c>
      <c r="AA26" s="56" t="str">
        <f>IF($A26="","",IFERROR(INDEX('Date actuale'!$E$6:$E$40,MATCH($A26,'Date actuale'!$A$6:$A$40,0)),""))</f>
        <v/>
      </c>
      <c r="AB26" s="60" t="str">
        <f>IF($A26="","",Calcule!$AP26)</f>
        <v/>
      </c>
      <c r="AC26" s="60" t="str">
        <f>IF($A26="","",Calcule!$AQ26)</f>
        <v/>
      </c>
      <c r="AD26" s="60" t="str">
        <f>IF($A26="","",Calcule!$AR26)</f>
        <v/>
      </c>
      <c r="AE26" s="52" t="str">
        <f>IF($A26="","",Perioade!$N26)</f>
        <v/>
      </c>
    </row>
    <row r="27" spans="1:31" x14ac:dyDescent="0.2">
      <c r="A27" s="53" t="str">
        <f>IF(Calcule!$A27="","",Calcule!$A27)</f>
        <v/>
      </c>
      <c r="B27" s="54" t="str">
        <f>IF($A27="","",Perioade!$C27)</f>
        <v/>
      </c>
      <c r="C27" s="54" t="str">
        <f>IF($A27="","",Perioade!$D27)</f>
        <v/>
      </c>
      <c r="D27" s="55" t="str">
        <f>IF($A27="","",Calcule!$C27)</f>
        <v/>
      </c>
      <c r="E27" s="55" t="str">
        <f>IF($A27="","",Calcule!$B27)</f>
        <v/>
      </c>
      <c r="F27" s="57" t="str">
        <f>IF($A27="","",Calcule!$R27)</f>
        <v/>
      </c>
      <c r="G27" s="57" t="str">
        <f>IF($A27="","",Calcule!$Y27)</f>
        <v/>
      </c>
      <c r="H27" s="57" t="str">
        <f>IF($A27="","",Calcule!$AE27)</f>
        <v/>
      </c>
      <c r="I27" s="57" t="str">
        <f>IF($A27="","",Calcule!$AI27)</f>
        <v/>
      </c>
      <c r="J27" s="58" t="str">
        <f>IF($A27="","",IF(b_Durata=0,"Fără planuri pe durată",IF(Calcule!$B27="Preț fix","Doar planul „Sărbători” (fără reduceri pe durată)",IF(Calcule!$B27="Standard","Planurile „2 zile” … „7 zile” (scara standard)","⚠ Planuri separate: "&amp;Calcule!$AS27))))</f>
        <v/>
      </c>
      <c r="K27" s="58" t="str">
        <f>IF($A27="","",IF(N(Perioade!$O27)&gt;0,"Cu sugestia Airbnb ("&amp;ROUND(a_PondSug*100,0)&amp;"%)",IF(ABS(Calcule!$AB27-Calcule!$Q27)&gt;0.0001,"Urcat pentru reducerea globală ("&amp;ROUND(Calcule!$AB27*100,0)&amp;"% la "&amp;$D27&amp;" nopți) – mai puțin la sejururi lungi","Reducerile Airbnb = cele de pe site")))</f>
        <v/>
      </c>
      <c r="L27" s="58" t="str">
        <f>IF($A27="","",IF(OR(m_Durata=0,Calcule!$P27=0),"Fără reduceri pe durată","Reduceri "&amp;Calcule!$AS27&amp;" pe "&amp;RIGHT("0"&amp;DAY($B27),2)&amp;"."&amp;RIGHT("0"&amp;MONTH($B27),2)&amp;"–"&amp;RIGHT("0"&amp;DAY($C27),2)&amp;"."&amp;RIGHT("0"&amp;MONTH($C27),2)&amp;"."&amp;YEAR($C27)))</f>
        <v/>
      </c>
      <c r="M27" s="49" t="str">
        <f>IF($A27="","",Calcule!$U27)</f>
        <v/>
      </c>
      <c r="N27" s="49" t="str">
        <f>IF($A27="","",Calcule!$T27)</f>
        <v/>
      </c>
      <c r="O27" s="49" t="str">
        <f>IF($A27="","",Calcule!$AK27)</f>
        <v/>
      </c>
      <c r="P27" s="49" t="str">
        <f>IF($A27="","",Calcule!$AM27)</f>
        <v/>
      </c>
      <c r="Q27" s="49" t="str">
        <f>IF($A27="","",Calcule!$AO27)</f>
        <v/>
      </c>
      <c r="R27" s="59" t="str">
        <f t="shared" si="0"/>
        <v/>
      </c>
      <c r="S27" s="59" t="str">
        <f t="shared" si="1"/>
        <v/>
      </c>
      <c r="T27" s="59" t="str">
        <f t="shared" si="2"/>
        <v/>
      </c>
      <c r="U27" s="49" t="str">
        <f>IF($A27="","",Calcule!$S27)</f>
        <v/>
      </c>
      <c r="V27" s="49" t="str">
        <f>IF($A27="","",Calcule!$AJ27)</f>
        <v/>
      </c>
      <c r="W27" s="49" t="str">
        <f>IF($A27="","",Calcule!$AL27)</f>
        <v/>
      </c>
      <c r="X27" s="49" t="str">
        <f>IF($A27="","",Calcule!$AN27)</f>
        <v/>
      </c>
      <c r="Y27" s="56" t="str">
        <f>IF($A27="","",IFERROR(INDEX('Date actuale'!$C$6:$C$40,MATCH($A27,'Date actuale'!$A$6:$A$40,0)),""))</f>
        <v/>
      </c>
      <c r="Z27" s="56" t="str">
        <f>IF($A27="","",IFERROR(INDEX('Date actuale'!$D$6:$D$40,MATCH($A27,'Date actuale'!$A$6:$A$40,0)),""))</f>
        <v/>
      </c>
      <c r="AA27" s="56" t="str">
        <f>IF($A27="","",IFERROR(INDEX('Date actuale'!$E$6:$E$40,MATCH($A27,'Date actuale'!$A$6:$A$40,0)),""))</f>
        <v/>
      </c>
      <c r="AB27" s="60" t="str">
        <f>IF($A27="","",Calcule!$AP27)</f>
        <v/>
      </c>
      <c r="AC27" s="60" t="str">
        <f>IF($A27="","",Calcule!$AQ27)</f>
        <v/>
      </c>
      <c r="AD27" s="60" t="str">
        <f>IF($A27="","",Calcule!$AR27)</f>
        <v/>
      </c>
      <c r="AE27" s="52" t="str">
        <f>IF($A27="","",Perioade!$N27)</f>
        <v/>
      </c>
    </row>
    <row r="28" spans="1:31" x14ac:dyDescent="0.2">
      <c r="A28" s="53" t="str">
        <f>IF(Calcule!$A28="","",Calcule!$A28)</f>
        <v/>
      </c>
      <c r="B28" s="54" t="str">
        <f>IF($A28="","",Perioade!$C28)</f>
        <v/>
      </c>
      <c r="C28" s="54" t="str">
        <f>IF($A28="","",Perioade!$D28)</f>
        <v/>
      </c>
      <c r="D28" s="55" t="str">
        <f>IF($A28="","",Calcule!$C28)</f>
        <v/>
      </c>
      <c r="E28" s="55" t="str">
        <f>IF($A28="","",Calcule!$B28)</f>
        <v/>
      </c>
      <c r="F28" s="57" t="str">
        <f>IF($A28="","",Calcule!$R28)</f>
        <v/>
      </c>
      <c r="G28" s="57" t="str">
        <f>IF($A28="","",Calcule!$Y28)</f>
        <v/>
      </c>
      <c r="H28" s="57" t="str">
        <f>IF($A28="","",Calcule!$AE28)</f>
        <v/>
      </c>
      <c r="I28" s="57" t="str">
        <f>IF($A28="","",Calcule!$AI28)</f>
        <v/>
      </c>
      <c r="J28" s="58" t="str">
        <f>IF($A28="","",IF(b_Durata=0,"Fără planuri pe durată",IF(Calcule!$B28="Preț fix","Doar planul „Sărbători” (fără reduceri pe durată)",IF(Calcule!$B28="Standard","Planurile „2 zile” … „7 zile” (scara standard)","⚠ Planuri separate: "&amp;Calcule!$AS28))))</f>
        <v/>
      </c>
      <c r="K28" s="58" t="str">
        <f>IF($A28="","",IF(N(Perioade!$O28)&gt;0,"Cu sugestia Airbnb ("&amp;ROUND(a_PondSug*100,0)&amp;"%)",IF(ABS(Calcule!$AB28-Calcule!$Q28)&gt;0.0001,"Urcat pentru reducerea globală ("&amp;ROUND(Calcule!$AB28*100,0)&amp;"% la "&amp;$D28&amp;" nopți) – mai puțin la sejururi lungi","Reducerile Airbnb = cele de pe site")))</f>
        <v/>
      </c>
      <c r="L28" s="58" t="str">
        <f>IF($A28="","",IF(OR(m_Durata=0,Calcule!$P28=0),"Fără reduceri pe durată","Reduceri "&amp;Calcule!$AS28&amp;" pe "&amp;RIGHT("0"&amp;DAY($B28),2)&amp;"."&amp;RIGHT("0"&amp;MONTH($B28),2)&amp;"–"&amp;RIGHT("0"&amp;DAY($C28),2)&amp;"."&amp;RIGHT("0"&amp;MONTH($C28),2)&amp;"."&amp;YEAR($C28)))</f>
        <v/>
      </c>
      <c r="M28" s="49" t="str">
        <f>IF($A28="","",Calcule!$U28)</f>
        <v/>
      </c>
      <c r="N28" s="49" t="str">
        <f>IF($A28="","",Calcule!$T28)</f>
        <v/>
      </c>
      <c r="O28" s="49" t="str">
        <f>IF($A28="","",Calcule!$AK28)</f>
        <v/>
      </c>
      <c r="P28" s="49" t="str">
        <f>IF($A28="","",Calcule!$AM28)</f>
        <v/>
      </c>
      <c r="Q28" s="49" t="str">
        <f>IF($A28="","",Calcule!$AO28)</f>
        <v/>
      </c>
      <c r="R28" s="59" t="str">
        <f t="shared" si="0"/>
        <v/>
      </c>
      <c r="S28" s="59" t="str">
        <f t="shared" si="1"/>
        <v/>
      </c>
      <c r="T28" s="59" t="str">
        <f t="shared" si="2"/>
        <v/>
      </c>
      <c r="U28" s="49" t="str">
        <f>IF($A28="","",Calcule!$S28)</f>
        <v/>
      </c>
      <c r="V28" s="49" t="str">
        <f>IF($A28="","",Calcule!$AJ28)</f>
        <v/>
      </c>
      <c r="W28" s="49" t="str">
        <f>IF($A28="","",Calcule!$AL28)</f>
        <v/>
      </c>
      <c r="X28" s="49" t="str">
        <f>IF($A28="","",Calcule!$AN28)</f>
        <v/>
      </c>
      <c r="Y28" s="56" t="str">
        <f>IF($A28="","",IFERROR(INDEX('Date actuale'!$C$6:$C$40,MATCH($A28,'Date actuale'!$A$6:$A$40,0)),""))</f>
        <v/>
      </c>
      <c r="Z28" s="56" t="str">
        <f>IF($A28="","",IFERROR(INDEX('Date actuale'!$D$6:$D$40,MATCH($A28,'Date actuale'!$A$6:$A$40,0)),""))</f>
        <v/>
      </c>
      <c r="AA28" s="56" t="str">
        <f>IF($A28="","",IFERROR(INDEX('Date actuale'!$E$6:$E$40,MATCH($A28,'Date actuale'!$A$6:$A$40,0)),""))</f>
        <v/>
      </c>
      <c r="AB28" s="60" t="str">
        <f>IF($A28="","",Calcule!$AP28)</f>
        <v/>
      </c>
      <c r="AC28" s="60" t="str">
        <f>IF($A28="","",Calcule!$AQ28)</f>
        <v/>
      </c>
      <c r="AD28" s="60" t="str">
        <f>IF($A28="","",Calcule!$AR28)</f>
        <v/>
      </c>
      <c r="AE28" s="52" t="str">
        <f>IF($A28="","",Perioade!$N28)</f>
        <v/>
      </c>
    </row>
    <row r="29" spans="1:31" x14ac:dyDescent="0.2">
      <c r="A29" s="53" t="str">
        <f>IF(Calcule!$A29="","",Calcule!$A29)</f>
        <v/>
      </c>
      <c r="B29" s="54" t="str">
        <f>IF($A29="","",Perioade!$C29)</f>
        <v/>
      </c>
      <c r="C29" s="54" t="str">
        <f>IF($A29="","",Perioade!$D29)</f>
        <v/>
      </c>
      <c r="D29" s="55" t="str">
        <f>IF($A29="","",Calcule!$C29)</f>
        <v/>
      </c>
      <c r="E29" s="55" t="str">
        <f>IF($A29="","",Calcule!$B29)</f>
        <v/>
      </c>
      <c r="F29" s="57" t="str">
        <f>IF($A29="","",Calcule!$R29)</f>
        <v/>
      </c>
      <c r="G29" s="57" t="str">
        <f>IF($A29="","",Calcule!$Y29)</f>
        <v/>
      </c>
      <c r="H29" s="57" t="str">
        <f>IF($A29="","",Calcule!$AE29)</f>
        <v/>
      </c>
      <c r="I29" s="57" t="str">
        <f>IF($A29="","",Calcule!$AI29)</f>
        <v/>
      </c>
      <c r="J29" s="58" t="str">
        <f>IF($A29="","",IF(b_Durata=0,"Fără planuri pe durată",IF(Calcule!$B29="Preț fix","Doar planul „Sărbători” (fără reduceri pe durată)",IF(Calcule!$B29="Standard","Planurile „2 zile” … „7 zile” (scara standard)","⚠ Planuri separate: "&amp;Calcule!$AS29))))</f>
        <v/>
      </c>
      <c r="K29" s="58" t="str">
        <f>IF($A29="","",IF(N(Perioade!$O29)&gt;0,"Cu sugestia Airbnb ("&amp;ROUND(a_PondSug*100,0)&amp;"%)",IF(ABS(Calcule!$AB29-Calcule!$Q29)&gt;0.0001,"Urcat pentru reducerea globală ("&amp;ROUND(Calcule!$AB29*100,0)&amp;"% la "&amp;$D29&amp;" nopți) – mai puțin la sejururi lungi","Reducerile Airbnb = cele de pe site")))</f>
        <v/>
      </c>
      <c r="L29" s="58" t="str">
        <f>IF($A29="","",IF(OR(m_Durata=0,Calcule!$P29=0),"Fără reduceri pe durată","Reduceri "&amp;Calcule!$AS29&amp;" pe "&amp;RIGHT("0"&amp;DAY($B29),2)&amp;"."&amp;RIGHT("0"&amp;MONTH($B29),2)&amp;"–"&amp;RIGHT("0"&amp;DAY($C29),2)&amp;"."&amp;RIGHT("0"&amp;MONTH($C29),2)&amp;"."&amp;YEAR($C29)))</f>
        <v/>
      </c>
      <c r="M29" s="49" t="str">
        <f>IF($A29="","",Calcule!$U29)</f>
        <v/>
      </c>
      <c r="N29" s="49" t="str">
        <f>IF($A29="","",Calcule!$T29)</f>
        <v/>
      </c>
      <c r="O29" s="49" t="str">
        <f>IF($A29="","",Calcule!$AK29)</f>
        <v/>
      </c>
      <c r="P29" s="49" t="str">
        <f>IF($A29="","",Calcule!$AM29)</f>
        <v/>
      </c>
      <c r="Q29" s="49" t="str">
        <f>IF($A29="","",Calcule!$AO29)</f>
        <v/>
      </c>
      <c r="R29" s="59" t="str">
        <f t="shared" si="0"/>
        <v/>
      </c>
      <c r="S29" s="59" t="str">
        <f t="shared" si="1"/>
        <v/>
      </c>
      <c r="T29" s="59" t="str">
        <f t="shared" si="2"/>
        <v/>
      </c>
      <c r="U29" s="49" t="str">
        <f>IF($A29="","",Calcule!$S29)</f>
        <v/>
      </c>
      <c r="V29" s="49" t="str">
        <f>IF($A29="","",Calcule!$AJ29)</f>
        <v/>
      </c>
      <c r="W29" s="49" t="str">
        <f>IF($A29="","",Calcule!$AL29)</f>
        <v/>
      </c>
      <c r="X29" s="49" t="str">
        <f>IF($A29="","",Calcule!$AN29)</f>
        <v/>
      </c>
      <c r="Y29" s="56" t="str">
        <f>IF($A29="","",IFERROR(INDEX('Date actuale'!$C$6:$C$40,MATCH($A29,'Date actuale'!$A$6:$A$40,0)),""))</f>
        <v/>
      </c>
      <c r="Z29" s="56" t="str">
        <f>IF($A29="","",IFERROR(INDEX('Date actuale'!$D$6:$D$40,MATCH($A29,'Date actuale'!$A$6:$A$40,0)),""))</f>
        <v/>
      </c>
      <c r="AA29" s="56" t="str">
        <f>IF($A29="","",IFERROR(INDEX('Date actuale'!$E$6:$E$40,MATCH($A29,'Date actuale'!$A$6:$A$40,0)),""))</f>
        <v/>
      </c>
      <c r="AB29" s="60" t="str">
        <f>IF($A29="","",Calcule!$AP29)</f>
        <v/>
      </c>
      <c r="AC29" s="60" t="str">
        <f>IF($A29="","",Calcule!$AQ29)</f>
        <v/>
      </c>
      <c r="AD29" s="60" t="str">
        <f>IF($A29="","",Calcule!$AR29)</f>
        <v/>
      </c>
      <c r="AE29" s="52" t="str">
        <f>IF($A29="","",Perioade!$N29)</f>
        <v/>
      </c>
    </row>
    <row r="30" spans="1:31" x14ac:dyDescent="0.2">
      <c r="A30" s="53" t="str">
        <f>IF(Calcule!$A30="","",Calcule!$A30)</f>
        <v/>
      </c>
      <c r="B30" s="54" t="str">
        <f>IF($A30="","",Perioade!$C30)</f>
        <v/>
      </c>
      <c r="C30" s="54" t="str">
        <f>IF($A30="","",Perioade!$D30)</f>
        <v/>
      </c>
      <c r="D30" s="55" t="str">
        <f>IF($A30="","",Calcule!$C30)</f>
        <v/>
      </c>
      <c r="E30" s="55" t="str">
        <f>IF($A30="","",Calcule!$B30)</f>
        <v/>
      </c>
      <c r="F30" s="57" t="str">
        <f>IF($A30="","",Calcule!$R30)</f>
        <v/>
      </c>
      <c r="G30" s="57" t="str">
        <f>IF($A30="","",Calcule!$Y30)</f>
        <v/>
      </c>
      <c r="H30" s="57" t="str">
        <f>IF($A30="","",Calcule!$AE30)</f>
        <v/>
      </c>
      <c r="I30" s="57" t="str">
        <f>IF($A30="","",Calcule!$AI30)</f>
        <v/>
      </c>
      <c r="J30" s="58" t="str">
        <f>IF($A30="","",IF(b_Durata=0,"Fără planuri pe durată",IF(Calcule!$B30="Preț fix","Doar planul „Sărbători” (fără reduceri pe durată)",IF(Calcule!$B30="Standard","Planurile „2 zile” … „7 zile” (scara standard)","⚠ Planuri separate: "&amp;Calcule!$AS30))))</f>
        <v/>
      </c>
      <c r="K30" s="58" t="str">
        <f>IF($A30="","",IF(N(Perioade!$O30)&gt;0,"Cu sugestia Airbnb ("&amp;ROUND(a_PondSug*100,0)&amp;"%)",IF(ABS(Calcule!$AB30-Calcule!$Q30)&gt;0.0001,"Urcat pentru reducerea globală ("&amp;ROUND(Calcule!$AB30*100,0)&amp;"% la "&amp;$D30&amp;" nopți) – mai puțin la sejururi lungi","Reducerile Airbnb = cele de pe site")))</f>
        <v/>
      </c>
      <c r="L30" s="58" t="str">
        <f>IF($A30="","",IF(OR(m_Durata=0,Calcule!$P30=0),"Fără reduceri pe durată","Reduceri "&amp;Calcule!$AS30&amp;" pe "&amp;RIGHT("0"&amp;DAY($B30),2)&amp;"."&amp;RIGHT("0"&amp;MONTH($B30),2)&amp;"–"&amp;RIGHT("0"&amp;DAY($C30),2)&amp;"."&amp;RIGHT("0"&amp;MONTH($C30),2)&amp;"."&amp;YEAR($C30)))</f>
        <v/>
      </c>
      <c r="M30" s="49" t="str">
        <f>IF($A30="","",Calcule!$U30)</f>
        <v/>
      </c>
      <c r="N30" s="49" t="str">
        <f>IF($A30="","",Calcule!$T30)</f>
        <v/>
      </c>
      <c r="O30" s="49" t="str">
        <f>IF($A30="","",Calcule!$AK30)</f>
        <v/>
      </c>
      <c r="P30" s="49" t="str">
        <f>IF($A30="","",Calcule!$AM30)</f>
        <v/>
      </c>
      <c r="Q30" s="49" t="str">
        <f>IF($A30="","",Calcule!$AO30)</f>
        <v/>
      </c>
      <c r="R30" s="59" t="str">
        <f t="shared" si="0"/>
        <v/>
      </c>
      <c r="S30" s="59" t="str">
        <f t="shared" si="1"/>
        <v/>
      </c>
      <c r="T30" s="59" t="str">
        <f t="shared" si="2"/>
        <v/>
      </c>
      <c r="U30" s="49" t="str">
        <f>IF($A30="","",Calcule!$S30)</f>
        <v/>
      </c>
      <c r="V30" s="49" t="str">
        <f>IF($A30="","",Calcule!$AJ30)</f>
        <v/>
      </c>
      <c r="W30" s="49" t="str">
        <f>IF($A30="","",Calcule!$AL30)</f>
        <v/>
      </c>
      <c r="X30" s="49" t="str">
        <f>IF($A30="","",Calcule!$AN30)</f>
        <v/>
      </c>
      <c r="Y30" s="56" t="str">
        <f>IF($A30="","",IFERROR(INDEX('Date actuale'!$C$6:$C$40,MATCH($A30,'Date actuale'!$A$6:$A$40,0)),""))</f>
        <v/>
      </c>
      <c r="Z30" s="56" t="str">
        <f>IF($A30="","",IFERROR(INDEX('Date actuale'!$D$6:$D$40,MATCH($A30,'Date actuale'!$A$6:$A$40,0)),""))</f>
        <v/>
      </c>
      <c r="AA30" s="56" t="str">
        <f>IF($A30="","",IFERROR(INDEX('Date actuale'!$E$6:$E$40,MATCH($A30,'Date actuale'!$A$6:$A$40,0)),""))</f>
        <v/>
      </c>
      <c r="AB30" s="60" t="str">
        <f>IF($A30="","",Calcule!$AP30)</f>
        <v/>
      </c>
      <c r="AC30" s="60" t="str">
        <f>IF($A30="","",Calcule!$AQ30)</f>
        <v/>
      </c>
      <c r="AD30" s="60" t="str">
        <f>IF($A30="","",Calcule!$AR30)</f>
        <v/>
      </c>
      <c r="AE30" s="52" t="str">
        <f>IF($A30="","",Perioade!$N30)</f>
        <v/>
      </c>
    </row>
    <row r="31" spans="1:31" x14ac:dyDescent="0.2">
      <c r="A31" s="53" t="str">
        <f>IF(Calcule!$A31="","",Calcule!$A31)</f>
        <v/>
      </c>
      <c r="B31" s="54" t="str">
        <f>IF($A31="","",Perioade!$C31)</f>
        <v/>
      </c>
      <c r="C31" s="54" t="str">
        <f>IF($A31="","",Perioade!$D31)</f>
        <v/>
      </c>
      <c r="D31" s="55" t="str">
        <f>IF($A31="","",Calcule!$C31)</f>
        <v/>
      </c>
      <c r="E31" s="55" t="str">
        <f>IF($A31="","",Calcule!$B31)</f>
        <v/>
      </c>
      <c r="F31" s="57" t="str">
        <f>IF($A31="","",Calcule!$R31)</f>
        <v/>
      </c>
      <c r="G31" s="57" t="str">
        <f>IF($A31="","",Calcule!$Y31)</f>
        <v/>
      </c>
      <c r="H31" s="57" t="str">
        <f>IF($A31="","",Calcule!$AE31)</f>
        <v/>
      </c>
      <c r="I31" s="57" t="str">
        <f>IF($A31="","",Calcule!$AI31)</f>
        <v/>
      </c>
      <c r="J31" s="58" t="str">
        <f>IF($A31="","",IF(b_Durata=0,"Fără planuri pe durată",IF(Calcule!$B31="Preț fix","Doar planul „Sărbători” (fără reduceri pe durată)",IF(Calcule!$B31="Standard","Planurile „2 zile” … „7 zile” (scara standard)","⚠ Planuri separate: "&amp;Calcule!$AS31))))</f>
        <v/>
      </c>
      <c r="K31" s="58" t="str">
        <f>IF($A31="","",IF(N(Perioade!$O31)&gt;0,"Cu sugestia Airbnb ("&amp;ROUND(a_PondSug*100,0)&amp;"%)",IF(ABS(Calcule!$AB31-Calcule!$Q31)&gt;0.0001,"Urcat pentru reducerea globală ("&amp;ROUND(Calcule!$AB31*100,0)&amp;"% la "&amp;$D31&amp;" nopți) – mai puțin la sejururi lungi","Reducerile Airbnb = cele de pe site")))</f>
        <v/>
      </c>
      <c r="L31" s="58" t="str">
        <f>IF($A31="","",IF(OR(m_Durata=0,Calcule!$P31=0),"Fără reduceri pe durată","Reduceri "&amp;Calcule!$AS31&amp;" pe "&amp;RIGHT("0"&amp;DAY($B31),2)&amp;"."&amp;RIGHT("0"&amp;MONTH($B31),2)&amp;"–"&amp;RIGHT("0"&amp;DAY($C31),2)&amp;"."&amp;RIGHT("0"&amp;MONTH($C31),2)&amp;"."&amp;YEAR($C31)))</f>
        <v/>
      </c>
      <c r="M31" s="49" t="str">
        <f>IF($A31="","",Calcule!$U31)</f>
        <v/>
      </c>
      <c r="N31" s="49" t="str">
        <f>IF($A31="","",Calcule!$T31)</f>
        <v/>
      </c>
      <c r="O31" s="49" t="str">
        <f>IF($A31="","",Calcule!$AK31)</f>
        <v/>
      </c>
      <c r="P31" s="49" t="str">
        <f>IF($A31="","",Calcule!$AM31)</f>
        <v/>
      </c>
      <c r="Q31" s="49" t="str">
        <f>IF($A31="","",Calcule!$AO31)</f>
        <v/>
      </c>
      <c r="R31" s="59" t="str">
        <f t="shared" si="0"/>
        <v/>
      </c>
      <c r="S31" s="59" t="str">
        <f t="shared" si="1"/>
        <v/>
      </c>
      <c r="T31" s="59" t="str">
        <f t="shared" si="2"/>
        <v/>
      </c>
      <c r="U31" s="49" t="str">
        <f>IF($A31="","",Calcule!$S31)</f>
        <v/>
      </c>
      <c r="V31" s="49" t="str">
        <f>IF($A31="","",Calcule!$AJ31)</f>
        <v/>
      </c>
      <c r="W31" s="49" t="str">
        <f>IF($A31="","",Calcule!$AL31)</f>
        <v/>
      </c>
      <c r="X31" s="49" t="str">
        <f>IF($A31="","",Calcule!$AN31)</f>
        <v/>
      </c>
      <c r="Y31" s="56" t="str">
        <f>IF($A31="","",IFERROR(INDEX('Date actuale'!$C$6:$C$40,MATCH($A31,'Date actuale'!$A$6:$A$40,0)),""))</f>
        <v/>
      </c>
      <c r="Z31" s="56" t="str">
        <f>IF($A31="","",IFERROR(INDEX('Date actuale'!$D$6:$D$40,MATCH($A31,'Date actuale'!$A$6:$A$40,0)),""))</f>
        <v/>
      </c>
      <c r="AA31" s="56" t="str">
        <f>IF($A31="","",IFERROR(INDEX('Date actuale'!$E$6:$E$40,MATCH($A31,'Date actuale'!$A$6:$A$40,0)),""))</f>
        <v/>
      </c>
      <c r="AB31" s="60" t="str">
        <f>IF($A31="","",Calcule!$AP31)</f>
        <v/>
      </c>
      <c r="AC31" s="60" t="str">
        <f>IF($A31="","",Calcule!$AQ31)</f>
        <v/>
      </c>
      <c r="AD31" s="60" t="str">
        <f>IF($A31="","",Calcule!$AR31)</f>
        <v/>
      </c>
      <c r="AE31" s="52" t="str">
        <f>IF($A31="","",Perioade!$N31)</f>
        <v/>
      </c>
    </row>
    <row r="32" spans="1:31" x14ac:dyDescent="0.2">
      <c r="A32" s="53" t="str">
        <f>IF(Calcule!$A32="","",Calcule!$A32)</f>
        <v/>
      </c>
      <c r="B32" s="54" t="str">
        <f>IF($A32="","",Perioade!$C32)</f>
        <v/>
      </c>
      <c r="C32" s="54" t="str">
        <f>IF($A32="","",Perioade!$D32)</f>
        <v/>
      </c>
      <c r="D32" s="55" t="str">
        <f>IF($A32="","",Calcule!$C32)</f>
        <v/>
      </c>
      <c r="E32" s="55" t="str">
        <f>IF($A32="","",Calcule!$B32)</f>
        <v/>
      </c>
      <c r="F32" s="57" t="str">
        <f>IF($A32="","",Calcule!$R32)</f>
        <v/>
      </c>
      <c r="G32" s="57" t="str">
        <f>IF($A32="","",Calcule!$Y32)</f>
        <v/>
      </c>
      <c r="H32" s="57" t="str">
        <f>IF($A32="","",Calcule!$AE32)</f>
        <v/>
      </c>
      <c r="I32" s="57" t="str">
        <f>IF($A32="","",Calcule!$AI32)</f>
        <v/>
      </c>
      <c r="J32" s="58" t="str">
        <f>IF($A32="","",IF(b_Durata=0,"Fără planuri pe durată",IF(Calcule!$B32="Preț fix","Doar planul „Sărbători” (fără reduceri pe durată)",IF(Calcule!$B32="Standard","Planurile „2 zile” … „7 zile” (scara standard)","⚠ Planuri separate: "&amp;Calcule!$AS32))))</f>
        <v/>
      </c>
      <c r="K32" s="58" t="str">
        <f>IF($A32="","",IF(N(Perioade!$O32)&gt;0,"Cu sugestia Airbnb ("&amp;ROUND(a_PondSug*100,0)&amp;"%)",IF(ABS(Calcule!$AB32-Calcule!$Q32)&gt;0.0001,"Urcat pentru reducerea globală ("&amp;ROUND(Calcule!$AB32*100,0)&amp;"% la "&amp;$D32&amp;" nopți) – mai puțin la sejururi lungi","Reducerile Airbnb = cele de pe site")))</f>
        <v/>
      </c>
      <c r="L32" s="58" t="str">
        <f>IF($A32="","",IF(OR(m_Durata=0,Calcule!$P32=0),"Fără reduceri pe durată","Reduceri "&amp;Calcule!$AS32&amp;" pe "&amp;RIGHT("0"&amp;DAY($B32),2)&amp;"."&amp;RIGHT("0"&amp;MONTH($B32),2)&amp;"–"&amp;RIGHT("0"&amp;DAY($C32),2)&amp;"."&amp;RIGHT("0"&amp;MONTH($C32),2)&amp;"."&amp;YEAR($C32)))</f>
        <v/>
      </c>
      <c r="M32" s="49" t="str">
        <f>IF($A32="","",Calcule!$U32)</f>
        <v/>
      </c>
      <c r="N32" s="49" t="str">
        <f>IF($A32="","",Calcule!$T32)</f>
        <v/>
      </c>
      <c r="O32" s="49" t="str">
        <f>IF($A32="","",Calcule!$AK32)</f>
        <v/>
      </c>
      <c r="P32" s="49" t="str">
        <f>IF($A32="","",Calcule!$AM32)</f>
        <v/>
      </c>
      <c r="Q32" s="49" t="str">
        <f>IF($A32="","",Calcule!$AO32)</f>
        <v/>
      </c>
      <c r="R32" s="59" t="str">
        <f t="shared" si="0"/>
        <v/>
      </c>
      <c r="S32" s="59" t="str">
        <f t="shared" si="1"/>
        <v/>
      </c>
      <c r="T32" s="59" t="str">
        <f t="shared" si="2"/>
        <v/>
      </c>
      <c r="U32" s="49" t="str">
        <f>IF($A32="","",Calcule!$S32)</f>
        <v/>
      </c>
      <c r="V32" s="49" t="str">
        <f>IF($A32="","",Calcule!$AJ32)</f>
        <v/>
      </c>
      <c r="W32" s="49" t="str">
        <f>IF($A32="","",Calcule!$AL32)</f>
        <v/>
      </c>
      <c r="X32" s="49" t="str">
        <f>IF($A32="","",Calcule!$AN32)</f>
        <v/>
      </c>
      <c r="Y32" s="56" t="str">
        <f>IF($A32="","",IFERROR(INDEX('Date actuale'!$C$6:$C$40,MATCH($A32,'Date actuale'!$A$6:$A$40,0)),""))</f>
        <v/>
      </c>
      <c r="Z32" s="56" t="str">
        <f>IF($A32="","",IFERROR(INDEX('Date actuale'!$D$6:$D$40,MATCH($A32,'Date actuale'!$A$6:$A$40,0)),""))</f>
        <v/>
      </c>
      <c r="AA32" s="56" t="str">
        <f>IF($A32="","",IFERROR(INDEX('Date actuale'!$E$6:$E$40,MATCH($A32,'Date actuale'!$A$6:$A$40,0)),""))</f>
        <v/>
      </c>
      <c r="AB32" s="60" t="str">
        <f>IF($A32="","",Calcule!$AP32)</f>
        <v/>
      </c>
      <c r="AC32" s="60" t="str">
        <f>IF($A32="","",Calcule!$AQ32)</f>
        <v/>
      </c>
      <c r="AD32" s="60" t="str">
        <f>IF($A32="","",Calcule!$AR32)</f>
        <v/>
      </c>
      <c r="AE32" s="52" t="str">
        <f>IF($A32="","",Perioade!$N32)</f>
        <v/>
      </c>
    </row>
    <row r="33" spans="1:31" x14ac:dyDescent="0.2">
      <c r="A33" s="53" t="str">
        <f>IF(Calcule!$A33="","",Calcule!$A33)</f>
        <v/>
      </c>
      <c r="B33" s="54" t="str">
        <f>IF($A33="","",Perioade!$C33)</f>
        <v/>
      </c>
      <c r="C33" s="54" t="str">
        <f>IF($A33="","",Perioade!$D33)</f>
        <v/>
      </c>
      <c r="D33" s="55" t="str">
        <f>IF($A33="","",Calcule!$C33)</f>
        <v/>
      </c>
      <c r="E33" s="55" t="str">
        <f>IF($A33="","",Calcule!$B33)</f>
        <v/>
      </c>
      <c r="F33" s="57" t="str">
        <f>IF($A33="","",Calcule!$R33)</f>
        <v/>
      </c>
      <c r="G33" s="57" t="str">
        <f>IF($A33="","",Calcule!$Y33)</f>
        <v/>
      </c>
      <c r="H33" s="57" t="str">
        <f>IF($A33="","",Calcule!$AE33)</f>
        <v/>
      </c>
      <c r="I33" s="57" t="str">
        <f>IF($A33="","",Calcule!$AI33)</f>
        <v/>
      </c>
      <c r="J33" s="58" t="str">
        <f>IF($A33="","",IF(b_Durata=0,"Fără planuri pe durată",IF(Calcule!$B33="Preț fix","Doar planul „Sărbători” (fără reduceri pe durată)",IF(Calcule!$B33="Standard","Planurile „2 zile” … „7 zile” (scara standard)","⚠ Planuri separate: "&amp;Calcule!$AS33))))</f>
        <v/>
      </c>
      <c r="K33" s="58" t="str">
        <f>IF($A33="","",IF(N(Perioade!$O33)&gt;0,"Cu sugestia Airbnb ("&amp;ROUND(a_PondSug*100,0)&amp;"%)",IF(ABS(Calcule!$AB33-Calcule!$Q33)&gt;0.0001,"Urcat pentru reducerea globală ("&amp;ROUND(Calcule!$AB33*100,0)&amp;"% la "&amp;$D33&amp;" nopți) – mai puțin la sejururi lungi","Reducerile Airbnb = cele de pe site")))</f>
        <v/>
      </c>
      <c r="L33" s="58" t="str">
        <f>IF($A33="","",IF(OR(m_Durata=0,Calcule!$P33=0),"Fără reduceri pe durată","Reduceri "&amp;Calcule!$AS33&amp;" pe "&amp;RIGHT("0"&amp;DAY($B33),2)&amp;"."&amp;RIGHT("0"&amp;MONTH($B33),2)&amp;"–"&amp;RIGHT("0"&amp;DAY($C33),2)&amp;"."&amp;RIGHT("0"&amp;MONTH($C33),2)&amp;"."&amp;YEAR($C33)))</f>
        <v/>
      </c>
      <c r="M33" s="49" t="str">
        <f>IF($A33="","",Calcule!$U33)</f>
        <v/>
      </c>
      <c r="N33" s="49" t="str">
        <f>IF($A33="","",Calcule!$T33)</f>
        <v/>
      </c>
      <c r="O33" s="49" t="str">
        <f>IF($A33="","",Calcule!$AK33)</f>
        <v/>
      </c>
      <c r="P33" s="49" t="str">
        <f>IF($A33="","",Calcule!$AM33)</f>
        <v/>
      </c>
      <c r="Q33" s="49" t="str">
        <f>IF($A33="","",Calcule!$AO33)</f>
        <v/>
      </c>
      <c r="R33" s="59" t="str">
        <f t="shared" si="0"/>
        <v/>
      </c>
      <c r="S33" s="59" t="str">
        <f t="shared" si="1"/>
        <v/>
      </c>
      <c r="T33" s="59" t="str">
        <f t="shared" si="2"/>
        <v/>
      </c>
      <c r="U33" s="49" t="str">
        <f>IF($A33="","",Calcule!$S33)</f>
        <v/>
      </c>
      <c r="V33" s="49" t="str">
        <f>IF($A33="","",Calcule!$AJ33)</f>
        <v/>
      </c>
      <c r="W33" s="49" t="str">
        <f>IF($A33="","",Calcule!$AL33)</f>
        <v/>
      </c>
      <c r="X33" s="49" t="str">
        <f>IF($A33="","",Calcule!$AN33)</f>
        <v/>
      </c>
      <c r="Y33" s="56" t="str">
        <f>IF($A33="","",IFERROR(INDEX('Date actuale'!$C$6:$C$40,MATCH($A33,'Date actuale'!$A$6:$A$40,0)),""))</f>
        <v/>
      </c>
      <c r="Z33" s="56" t="str">
        <f>IF($A33="","",IFERROR(INDEX('Date actuale'!$D$6:$D$40,MATCH($A33,'Date actuale'!$A$6:$A$40,0)),""))</f>
        <v/>
      </c>
      <c r="AA33" s="56" t="str">
        <f>IF($A33="","",IFERROR(INDEX('Date actuale'!$E$6:$E$40,MATCH($A33,'Date actuale'!$A$6:$A$40,0)),""))</f>
        <v/>
      </c>
      <c r="AB33" s="60" t="str">
        <f>IF($A33="","",Calcule!$AP33)</f>
        <v/>
      </c>
      <c r="AC33" s="60" t="str">
        <f>IF($A33="","",Calcule!$AQ33)</f>
        <v/>
      </c>
      <c r="AD33" s="60" t="str">
        <f>IF($A33="","",Calcule!$AR33)</f>
        <v/>
      </c>
      <c r="AE33" s="52" t="str">
        <f>IF($A33="","",Perioade!$N33)</f>
        <v/>
      </c>
    </row>
    <row r="34" spans="1:31" x14ac:dyDescent="0.2">
      <c r="A34" s="53" t="str">
        <f>IF(Calcule!$A34="","",Calcule!$A34)</f>
        <v/>
      </c>
      <c r="B34" s="54" t="str">
        <f>IF($A34="","",Perioade!$C34)</f>
        <v/>
      </c>
      <c r="C34" s="54" t="str">
        <f>IF($A34="","",Perioade!$D34)</f>
        <v/>
      </c>
      <c r="D34" s="55" t="str">
        <f>IF($A34="","",Calcule!$C34)</f>
        <v/>
      </c>
      <c r="E34" s="55" t="str">
        <f>IF($A34="","",Calcule!$B34)</f>
        <v/>
      </c>
      <c r="F34" s="57" t="str">
        <f>IF($A34="","",Calcule!$R34)</f>
        <v/>
      </c>
      <c r="G34" s="57" t="str">
        <f>IF($A34="","",Calcule!$Y34)</f>
        <v/>
      </c>
      <c r="H34" s="57" t="str">
        <f>IF($A34="","",Calcule!$AE34)</f>
        <v/>
      </c>
      <c r="I34" s="57" t="str">
        <f>IF($A34="","",Calcule!$AI34)</f>
        <v/>
      </c>
      <c r="J34" s="58" t="str">
        <f>IF($A34="","",IF(b_Durata=0,"Fără planuri pe durată",IF(Calcule!$B34="Preț fix","Doar planul „Sărbători” (fără reduceri pe durată)",IF(Calcule!$B34="Standard","Planurile „2 zile” … „7 zile” (scara standard)","⚠ Planuri separate: "&amp;Calcule!$AS34))))</f>
        <v/>
      </c>
      <c r="K34" s="58" t="str">
        <f>IF($A34="","",IF(N(Perioade!$O34)&gt;0,"Cu sugestia Airbnb ("&amp;ROUND(a_PondSug*100,0)&amp;"%)",IF(ABS(Calcule!$AB34-Calcule!$Q34)&gt;0.0001,"Urcat pentru reducerea globală ("&amp;ROUND(Calcule!$AB34*100,0)&amp;"% la "&amp;$D34&amp;" nopți) – mai puțin la sejururi lungi","Reducerile Airbnb = cele de pe site")))</f>
        <v/>
      </c>
      <c r="L34" s="58" t="str">
        <f>IF($A34="","",IF(OR(m_Durata=0,Calcule!$P34=0),"Fără reduceri pe durată","Reduceri "&amp;Calcule!$AS34&amp;" pe "&amp;RIGHT("0"&amp;DAY($B34),2)&amp;"."&amp;RIGHT("0"&amp;MONTH($B34),2)&amp;"–"&amp;RIGHT("0"&amp;DAY($C34),2)&amp;"."&amp;RIGHT("0"&amp;MONTH($C34),2)&amp;"."&amp;YEAR($C34)))</f>
        <v/>
      </c>
      <c r="M34" s="49" t="str">
        <f>IF($A34="","",Calcule!$U34)</f>
        <v/>
      </c>
      <c r="N34" s="49" t="str">
        <f>IF($A34="","",Calcule!$T34)</f>
        <v/>
      </c>
      <c r="O34" s="49" t="str">
        <f>IF($A34="","",Calcule!$AK34)</f>
        <v/>
      </c>
      <c r="P34" s="49" t="str">
        <f>IF($A34="","",Calcule!$AM34)</f>
        <v/>
      </c>
      <c r="Q34" s="49" t="str">
        <f>IF($A34="","",Calcule!$AO34)</f>
        <v/>
      </c>
      <c r="R34" s="59" t="str">
        <f t="shared" si="0"/>
        <v/>
      </c>
      <c r="S34" s="59" t="str">
        <f t="shared" si="1"/>
        <v/>
      </c>
      <c r="T34" s="59" t="str">
        <f t="shared" si="2"/>
        <v/>
      </c>
      <c r="U34" s="49" t="str">
        <f>IF($A34="","",Calcule!$S34)</f>
        <v/>
      </c>
      <c r="V34" s="49" t="str">
        <f>IF($A34="","",Calcule!$AJ34)</f>
        <v/>
      </c>
      <c r="W34" s="49" t="str">
        <f>IF($A34="","",Calcule!$AL34)</f>
        <v/>
      </c>
      <c r="X34" s="49" t="str">
        <f>IF($A34="","",Calcule!$AN34)</f>
        <v/>
      </c>
      <c r="Y34" s="56" t="str">
        <f>IF($A34="","",IFERROR(INDEX('Date actuale'!$C$6:$C$40,MATCH($A34,'Date actuale'!$A$6:$A$40,0)),""))</f>
        <v/>
      </c>
      <c r="Z34" s="56" t="str">
        <f>IF($A34="","",IFERROR(INDEX('Date actuale'!$D$6:$D$40,MATCH($A34,'Date actuale'!$A$6:$A$40,0)),""))</f>
        <v/>
      </c>
      <c r="AA34" s="56" t="str">
        <f>IF($A34="","",IFERROR(INDEX('Date actuale'!$E$6:$E$40,MATCH($A34,'Date actuale'!$A$6:$A$40,0)),""))</f>
        <v/>
      </c>
      <c r="AB34" s="60" t="str">
        <f>IF($A34="","",Calcule!$AP34)</f>
        <v/>
      </c>
      <c r="AC34" s="60" t="str">
        <f>IF($A34="","",Calcule!$AQ34)</f>
        <v/>
      </c>
      <c r="AD34" s="60" t="str">
        <f>IF($A34="","",Calcule!$AR34)</f>
        <v/>
      </c>
      <c r="AE34" s="52" t="str">
        <f>IF($A34="","",Perioade!$N34)</f>
        <v/>
      </c>
    </row>
    <row r="35" spans="1:31" x14ac:dyDescent="0.2">
      <c r="A35" s="53" t="str">
        <f>IF(Calcule!$A35="","",Calcule!$A35)</f>
        <v/>
      </c>
      <c r="B35" s="54" t="str">
        <f>IF($A35="","",Perioade!$C35)</f>
        <v/>
      </c>
      <c r="C35" s="54" t="str">
        <f>IF($A35="","",Perioade!$D35)</f>
        <v/>
      </c>
      <c r="D35" s="55" t="str">
        <f>IF($A35="","",Calcule!$C35)</f>
        <v/>
      </c>
      <c r="E35" s="55" t="str">
        <f>IF($A35="","",Calcule!$B35)</f>
        <v/>
      </c>
      <c r="F35" s="57" t="str">
        <f>IF($A35="","",Calcule!$R35)</f>
        <v/>
      </c>
      <c r="G35" s="57" t="str">
        <f>IF($A35="","",Calcule!$Y35)</f>
        <v/>
      </c>
      <c r="H35" s="57" t="str">
        <f>IF($A35="","",Calcule!$AE35)</f>
        <v/>
      </c>
      <c r="I35" s="57" t="str">
        <f>IF($A35="","",Calcule!$AI35)</f>
        <v/>
      </c>
      <c r="J35" s="58" t="str">
        <f>IF($A35="","",IF(b_Durata=0,"Fără planuri pe durată",IF(Calcule!$B35="Preț fix","Doar planul „Sărbători” (fără reduceri pe durată)",IF(Calcule!$B35="Standard","Planurile „2 zile” … „7 zile” (scara standard)","⚠ Planuri separate: "&amp;Calcule!$AS35))))</f>
        <v/>
      </c>
      <c r="K35" s="58" t="str">
        <f>IF($A35="","",IF(N(Perioade!$O35)&gt;0,"Cu sugestia Airbnb ("&amp;ROUND(a_PondSug*100,0)&amp;"%)",IF(ABS(Calcule!$AB35-Calcule!$Q35)&gt;0.0001,"Urcat pentru reducerea globală ("&amp;ROUND(Calcule!$AB35*100,0)&amp;"% la "&amp;$D35&amp;" nopți) – mai puțin la sejururi lungi","Reducerile Airbnb = cele de pe site")))</f>
        <v/>
      </c>
      <c r="L35" s="58" t="str">
        <f>IF($A35="","",IF(OR(m_Durata=0,Calcule!$P35=0),"Fără reduceri pe durată","Reduceri "&amp;Calcule!$AS35&amp;" pe "&amp;RIGHT("0"&amp;DAY($B35),2)&amp;"."&amp;RIGHT("0"&amp;MONTH($B35),2)&amp;"–"&amp;RIGHT("0"&amp;DAY($C35),2)&amp;"."&amp;RIGHT("0"&amp;MONTH($C35),2)&amp;"."&amp;YEAR($C35)))</f>
        <v/>
      </c>
      <c r="M35" s="49" t="str">
        <f>IF($A35="","",Calcule!$U35)</f>
        <v/>
      </c>
      <c r="N35" s="49" t="str">
        <f>IF($A35="","",Calcule!$T35)</f>
        <v/>
      </c>
      <c r="O35" s="49" t="str">
        <f>IF($A35="","",Calcule!$AK35)</f>
        <v/>
      </c>
      <c r="P35" s="49" t="str">
        <f>IF($A35="","",Calcule!$AM35)</f>
        <v/>
      </c>
      <c r="Q35" s="49" t="str">
        <f>IF($A35="","",Calcule!$AO35)</f>
        <v/>
      </c>
      <c r="R35" s="59" t="str">
        <f t="shared" si="0"/>
        <v/>
      </c>
      <c r="S35" s="59" t="str">
        <f t="shared" si="1"/>
        <v/>
      </c>
      <c r="T35" s="59" t="str">
        <f t="shared" si="2"/>
        <v/>
      </c>
      <c r="U35" s="49" t="str">
        <f>IF($A35="","",Calcule!$S35)</f>
        <v/>
      </c>
      <c r="V35" s="49" t="str">
        <f>IF($A35="","",Calcule!$AJ35)</f>
        <v/>
      </c>
      <c r="W35" s="49" t="str">
        <f>IF($A35="","",Calcule!$AL35)</f>
        <v/>
      </c>
      <c r="X35" s="49" t="str">
        <f>IF($A35="","",Calcule!$AN35)</f>
        <v/>
      </c>
      <c r="Y35" s="56" t="str">
        <f>IF($A35="","",IFERROR(INDEX('Date actuale'!$C$6:$C$40,MATCH($A35,'Date actuale'!$A$6:$A$40,0)),""))</f>
        <v/>
      </c>
      <c r="Z35" s="56" t="str">
        <f>IF($A35="","",IFERROR(INDEX('Date actuale'!$D$6:$D$40,MATCH($A35,'Date actuale'!$A$6:$A$40,0)),""))</f>
        <v/>
      </c>
      <c r="AA35" s="56" t="str">
        <f>IF($A35="","",IFERROR(INDEX('Date actuale'!$E$6:$E$40,MATCH($A35,'Date actuale'!$A$6:$A$40,0)),""))</f>
        <v/>
      </c>
      <c r="AB35" s="60" t="str">
        <f>IF($A35="","",Calcule!$AP35)</f>
        <v/>
      </c>
      <c r="AC35" s="60" t="str">
        <f>IF($A35="","",Calcule!$AQ35)</f>
        <v/>
      </c>
      <c r="AD35" s="60" t="str">
        <f>IF($A35="","",Calcule!$AR35)</f>
        <v/>
      </c>
      <c r="AE35" s="52" t="str">
        <f>IF($A35="","",Perioade!$N35)</f>
        <v/>
      </c>
    </row>
    <row r="36" spans="1:31" x14ac:dyDescent="0.2">
      <c r="A36" s="53" t="str">
        <f>IF(Calcule!$A36="","",Calcule!$A36)</f>
        <v/>
      </c>
      <c r="B36" s="54" t="str">
        <f>IF($A36="","",Perioade!$C36)</f>
        <v/>
      </c>
      <c r="C36" s="54" t="str">
        <f>IF($A36="","",Perioade!$D36)</f>
        <v/>
      </c>
      <c r="D36" s="55" t="str">
        <f>IF($A36="","",Calcule!$C36)</f>
        <v/>
      </c>
      <c r="E36" s="55" t="str">
        <f>IF($A36="","",Calcule!$B36)</f>
        <v/>
      </c>
      <c r="F36" s="57" t="str">
        <f>IF($A36="","",Calcule!$R36)</f>
        <v/>
      </c>
      <c r="G36" s="57" t="str">
        <f>IF($A36="","",Calcule!$Y36)</f>
        <v/>
      </c>
      <c r="H36" s="57" t="str">
        <f>IF($A36="","",Calcule!$AE36)</f>
        <v/>
      </c>
      <c r="I36" s="57" t="str">
        <f>IF($A36="","",Calcule!$AI36)</f>
        <v/>
      </c>
      <c r="J36" s="58" t="str">
        <f>IF($A36="","",IF(b_Durata=0,"Fără planuri pe durată",IF(Calcule!$B36="Preț fix","Doar planul „Sărbători” (fără reduceri pe durată)",IF(Calcule!$B36="Standard","Planurile „2 zile” … „7 zile” (scara standard)","⚠ Planuri separate: "&amp;Calcule!$AS36))))</f>
        <v/>
      </c>
      <c r="K36" s="58" t="str">
        <f>IF($A36="","",IF(N(Perioade!$O36)&gt;0,"Cu sugestia Airbnb ("&amp;ROUND(a_PondSug*100,0)&amp;"%)",IF(ABS(Calcule!$AB36-Calcule!$Q36)&gt;0.0001,"Urcat pentru reducerea globală ("&amp;ROUND(Calcule!$AB36*100,0)&amp;"% la "&amp;$D36&amp;" nopți) – mai puțin la sejururi lungi","Reducerile Airbnb = cele de pe site")))</f>
        <v/>
      </c>
      <c r="L36" s="58" t="str">
        <f>IF($A36="","",IF(OR(m_Durata=0,Calcule!$P36=0),"Fără reduceri pe durată","Reduceri "&amp;Calcule!$AS36&amp;" pe "&amp;RIGHT("0"&amp;DAY($B36),2)&amp;"."&amp;RIGHT("0"&amp;MONTH($B36),2)&amp;"–"&amp;RIGHT("0"&amp;DAY($C36),2)&amp;"."&amp;RIGHT("0"&amp;MONTH($C36),2)&amp;"."&amp;YEAR($C36)))</f>
        <v/>
      </c>
      <c r="M36" s="49" t="str">
        <f>IF($A36="","",Calcule!$U36)</f>
        <v/>
      </c>
      <c r="N36" s="49" t="str">
        <f>IF($A36="","",Calcule!$T36)</f>
        <v/>
      </c>
      <c r="O36" s="49" t="str">
        <f>IF($A36="","",Calcule!$AK36)</f>
        <v/>
      </c>
      <c r="P36" s="49" t="str">
        <f>IF($A36="","",Calcule!$AM36)</f>
        <v/>
      </c>
      <c r="Q36" s="49" t="str">
        <f>IF($A36="","",Calcule!$AO36)</f>
        <v/>
      </c>
      <c r="R36" s="59" t="str">
        <f t="shared" si="0"/>
        <v/>
      </c>
      <c r="S36" s="59" t="str">
        <f t="shared" si="1"/>
        <v/>
      </c>
      <c r="T36" s="59" t="str">
        <f t="shared" si="2"/>
        <v/>
      </c>
      <c r="U36" s="49" t="str">
        <f>IF($A36="","",Calcule!$S36)</f>
        <v/>
      </c>
      <c r="V36" s="49" t="str">
        <f>IF($A36="","",Calcule!$AJ36)</f>
        <v/>
      </c>
      <c r="W36" s="49" t="str">
        <f>IF($A36="","",Calcule!$AL36)</f>
        <v/>
      </c>
      <c r="X36" s="49" t="str">
        <f>IF($A36="","",Calcule!$AN36)</f>
        <v/>
      </c>
      <c r="Y36" s="56" t="str">
        <f>IF($A36="","",IFERROR(INDEX('Date actuale'!$C$6:$C$40,MATCH($A36,'Date actuale'!$A$6:$A$40,0)),""))</f>
        <v/>
      </c>
      <c r="Z36" s="56" t="str">
        <f>IF($A36="","",IFERROR(INDEX('Date actuale'!$D$6:$D$40,MATCH($A36,'Date actuale'!$A$6:$A$40,0)),""))</f>
        <v/>
      </c>
      <c r="AA36" s="56" t="str">
        <f>IF($A36="","",IFERROR(INDEX('Date actuale'!$E$6:$E$40,MATCH($A36,'Date actuale'!$A$6:$A$40,0)),""))</f>
        <v/>
      </c>
      <c r="AB36" s="60" t="str">
        <f>IF($A36="","",Calcule!$AP36)</f>
        <v/>
      </c>
      <c r="AC36" s="60" t="str">
        <f>IF($A36="","",Calcule!$AQ36)</f>
        <v/>
      </c>
      <c r="AD36" s="60" t="str">
        <f>IF($A36="","",Calcule!$AR36)</f>
        <v/>
      </c>
      <c r="AE36" s="52" t="str">
        <f>IF($A36="","",Perioade!$N36)</f>
        <v/>
      </c>
    </row>
    <row r="37" spans="1:31" x14ac:dyDescent="0.2">
      <c r="A37" s="53" t="str">
        <f>IF(Calcule!$A37="","",Calcule!$A37)</f>
        <v/>
      </c>
      <c r="B37" s="54" t="str">
        <f>IF($A37="","",Perioade!$C37)</f>
        <v/>
      </c>
      <c r="C37" s="54" t="str">
        <f>IF($A37="","",Perioade!$D37)</f>
        <v/>
      </c>
      <c r="D37" s="55" t="str">
        <f>IF($A37="","",Calcule!$C37)</f>
        <v/>
      </c>
      <c r="E37" s="55" t="str">
        <f>IF($A37="","",Calcule!$B37)</f>
        <v/>
      </c>
      <c r="F37" s="57" t="str">
        <f>IF($A37="","",Calcule!$R37)</f>
        <v/>
      </c>
      <c r="G37" s="57" t="str">
        <f>IF($A37="","",Calcule!$Y37)</f>
        <v/>
      </c>
      <c r="H37" s="57" t="str">
        <f>IF($A37="","",Calcule!$AE37)</f>
        <v/>
      </c>
      <c r="I37" s="57" t="str">
        <f>IF($A37="","",Calcule!$AI37)</f>
        <v/>
      </c>
      <c r="J37" s="58" t="str">
        <f>IF($A37="","",IF(b_Durata=0,"Fără planuri pe durată",IF(Calcule!$B37="Preț fix","Doar planul „Sărbători” (fără reduceri pe durată)",IF(Calcule!$B37="Standard","Planurile „2 zile” … „7 zile” (scara standard)","⚠ Planuri separate: "&amp;Calcule!$AS37))))</f>
        <v/>
      </c>
      <c r="K37" s="58" t="str">
        <f>IF($A37="","",IF(N(Perioade!$O37)&gt;0,"Cu sugestia Airbnb ("&amp;ROUND(a_PondSug*100,0)&amp;"%)",IF(ABS(Calcule!$AB37-Calcule!$Q37)&gt;0.0001,"Urcat pentru reducerea globală ("&amp;ROUND(Calcule!$AB37*100,0)&amp;"% la "&amp;$D37&amp;" nopți) – mai puțin la sejururi lungi","Reducerile Airbnb = cele de pe site")))</f>
        <v/>
      </c>
      <c r="L37" s="58" t="str">
        <f>IF($A37="","",IF(OR(m_Durata=0,Calcule!$P37=0),"Fără reduceri pe durată","Reduceri "&amp;Calcule!$AS37&amp;" pe "&amp;RIGHT("0"&amp;DAY($B37),2)&amp;"."&amp;RIGHT("0"&amp;MONTH($B37),2)&amp;"–"&amp;RIGHT("0"&amp;DAY($C37),2)&amp;"."&amp;RIGHT("0"&amp;MONTH($C37),2)&amp;"."&amp;YEAR($C37)))</f>
        <v/>
      </c>
      <c r="M37" s="49" t="str">
        <f>IF($A37="","",Calcule!$U37)</f>
        <v/>
      </c>
      <c r="N37" s="49" t="str">
        <f>IF($A37="","",Calcule!$T37)</f>
        <v/>
      </c>
      <c r="O37" s="49" t="str">
        <f>IF($A37="","",Calcule!$AK37)</f>
        <v/>
      </c>
      <c r="P37" s="49" t="str">
        <f>IF($A37="","",Calcule!$AM37)</f>
        <v/>
      </c>
      <c r="Q37" s="49" t="str">
        <f>IF($A37="","",Calcule!$AO37)</f>
        <v/>
      </c>
      <c r="R37" s="59" t="str">
        <f t="shared" si="0"/>
        <v/>
      </c>
      <c r="S37" s="59" t="str">
        <f t="shared" si="1"/>
        <v/>
      </c>
      <c r="T37" s="59" t="str">
        <f t="shared" si="2"/>
        <v/>
      </c>
      <c r="U37" s="49" t="str">
        <f>IF($A37="","",Calcule!$S37)</f>
        <v/>
      </c>
      <c r="V37" s="49" t="str">
        <f>IF($A37="","",Calcule!$AJ37)</f>
        <v/>
      </c>
      <c r="W37" s="49" t="str">
        <f>IF($A37="","",Calcule!$AL37)</f>
        <v/>
      </c>
      <c r="X37" s="49" t="str">
        <f>IF($A37="","",Calcule!$AN37)</f>
        <v/>
      </c>
      <c r="Y37" s="56" t="str">
        <f>IF($A37="","",IFERROR(INDEX('Date actuale'!$C$6:$C$40,MATCH($A37,'Date actuale'!$A$6:$A$40,0)),""))</f>
        <v/>
      </c>
      <c r="Z37" s="56" t="str">
        <f>IF($A37="","",IFERROR(INDEX('Date actuale'!$D$6:$D$40,MATCH($A37,'Date actuale'!$A$6:$A$40,0)),""))</f>
        <v/>
      </c>
      <c r="AA37" s="56" t="str">
        <f>IF($A37="","",IFERROR(INDEX('Date actuale'!$E$6:$E$40,MATCH($A37,'Date actuale'!$A$6:$A$40,0)),""))</f>
        <v/>
      </c>
      <c r="AB37" s="60" t="str">
        <f>IF($A37="","",Calcule!$AP37)</f>
        <v/>
      </c>
      <c r="AC37" s="60" t="str">
        <f>IF($A37="","",Calcule!$AQ37)</f>
        <v/>
      </c>
      <c r="AD37" s="60" t="str">
        <f>IF($A37="","",Calcule!$AR37)</f>
        <v/>
      </c>
      <c r="AE37" s="52" t="str">
        <f>IF($A37="","",Perioade!$N37)</f>
        <v/>
      </c>
    </row>
    <row r="38" spans="1:31" x14ac:dyDescent="0.2">
      <c r="A38" s="53" t="str">
        <f>IF(Calcule!$A38="","",Calcule!$A38)</f>
        <v/>
      </c>
      <c r="B38" s="54" t="str">
        <f>IF($A38="","",Perioade!$C38)</f>
        <v/>
      </c>
      <c r="C38" s="54" t="str">
        <f>IF($A38="","",Perioade!$D38)</f>
        <v/>
      </c>
      <c r="D38" s="55" t="str">
        <f>IF($A38="","",Calcule!$C38)</f>
        <v/>
      </c>
      <c r="E38" s="55" t="str">
        <f>IF($A38="","",Calcule!$B38)</f>
        <v/>
      </c>
      <c r="F38" s="57" t="str">
        <f>IF($A38="","",Calcule!$R38)</f>
        <v/>
      </c>
      <c r="G38" s="57" t="str">
        <f>IF($A38="","",Calcule!$Y38)</f>
        <v/>
      </c>
      <c r="H38" s="57" t="str">
        <f>IF($A38="","",Calcule!$AE38)</f>
        <v/>
      </c>
      <c r="I38" s="57" t="str">
        <f>IF($A38="","",Calcule!$AI38)</f>
        <v/>
      </c>
      <c r="J38" s="58" t="str">
        <f>IF($A38="","",IF(b_Durata=0,"Fără planuri pe durată",IF(Calcule!$B38="Preț fix","Doar planul „Sărbători” (fără reduceri pe durată)",IF(Calcule!$B38="Standard","Planurile „2 zile” … „7 zile” (scara standard)","⚠ Planuri separate: "&amp;Calcule!$AS38))))</f>
        <v/>
      </c>
      <c r="K38" s="58" t="str">
        <f>IF($A38="","",IF(N(Perioade!$O38)&gt;0,"Cu sugestia Airbnb ("&amp;ROUND(a_PondSug*100,0)&amp;"%)",IF(ABS(Calcule!$AB38-Calcule!$Q38)&gt;0.0001,"Urcat pentru reducerea globală ("&amp;ROUND(Calcule!$AB38*100,0)&amp;"% la "&amp;$D38&amp;" nopți) – mai puțin la sejururi lungi","Reducerile Airbnb = cele de pe site")))</f>
        <v/>
      </c>
      <c r="L38" s="58" t="str">
        <f>IF($A38="","",IF(OR(m_Durata=0,Calcule!$P38=0),"Fără reduceri pe durată","Reduceri "&amp;Calcule!$AS38&amp;" pe "&amp;RIGHT("0"&amp;DAY($B38),2)&amp;"."&amp;RIGHT("0"&amp;MONTH($B38),2)&amp;"–"&amp;RIGHT("0"&amp;DAY($C38),2)&amp;"."&amp;RIGHT("0"&amp;MONTH($C38),2)&amp;"."&amp;YEAR($C38)))</f>
        <v/>
      </c>
      <c r="M38" s="49" t="str">
        <f>IF($A38="","",Calcule!$U38)</f>
        <v/>
      </c>
      <c r="N38" s="49" t="str">
        <f>IF($A38="","",Calcule!$T38)</f>
        <v/>
      </c>
      <c r="O38" s="49" t="str">
        <f>IF($A38="","",Calcule!$AK38)</f>
        <v/>
      </c>
      <c r="P38" s="49" t="str">
        <f>IF($A38="","",Calcule!$AM38)</f>
        <v/>
      </c>
      <c r="Q38" s="49" t="str">
        <f>IF($A38="","",Calcule!$AO38)</f>
        <v/>
      </c>
      <c r="R38" s="59" t="str">
        <f t="shared" si="0"/>
        <v/>
      </c>
      <c r="S38" s="59" t="str">
        <f t="shared" si="1"/>
        <v/>
      </c>
      <c r="T38" s="59" t="str">
        <f t="shared" si="2"/>
        <v/>
      </c>
      <c r="U38" s="49" t="str">
        <f>IF($A38="","",Calcule!$S38)</f>
        <v/>
      </c>
      <c r="V38" s="49" t="str">
        <f>IF($A38="","",Calcule!$AJ38)</f>
        <v/>
      </c>
      <c r="W38" s="49" t="str">
        <f>IF($A38="","",Calcule!$AL38)</f>
        <v/>
      </c>
      <c r="X38" s="49" t="str">
        <f>IF($A38="","",Calcule!$AN38)</f>
        <v/>
      </c>
      <c r="Y38" s="56" t="str">
        <f>IF($A38="","",IFERROR(INDEX('Date actuale'!$C$6:$C$40,MATCH($A38,'Date actuale'!$A$6:$A$40,0)),""))</f>
        <v/>
      </c>
      <c r="Z38" s="56" t="str">
        <f>IF($A38="","",IFERROR(INDEX('Date actuale'!$D$6:$D$40,MATCH($A38,'Date actuale'!$A$6:$A$40,0)),""))</f>
        <v/>
      </c>
      <c r="AA38" s="56" t="str">
        <f>IF($A38="","",IFERROR(INDEX('Date actuale'!$E$6:$E$40,MATCH($A38,'Date actuale'!$A$6:$A$40,0)),""))</f>
        <v/>
      </c>
      <c r="AB38" s="60" t="str">
        <f>IF($A38="","",Calcule!$AP38)</f>
        <v/>
      </c>
      <c r="AC38" s="60" t="str">
        <f>IF($A38="","",Calcule!$AQ38)</f>
        <v/>
      </c>
      <c r="AD38" s="60" t="str">
        <f>IF($A38="","",Calcule!$AR38)</f>
        <v/>
      </c>
      <c r="AE38" s="52" t="str">
        <f>IF($A38="","",Perioade!$N38)</f>
        <v/>
      </c>
    </row>
    <row r="39" spans="1:31" x14ac:dyDescent="0.2">
      <c r="A39" s="53" t="str">
        <f>IF(Calcule!$A39="","",Calcule!$A39)</f>
        <v/>
      </c>
      <c r="B39" s="54" t="str">
        <f>IF($A39="","",Perioade!$C39)</f>
        <v/>
      </c>
      <c r="C39" s="54" t="str">
        <f>IF($A39="","",Perioade!$D39)</f>
        <v/>
      </c>
      <c r="D39" s="55" t="str">
        <f>IF($A39="","",Calcule!$C39)</f>
        <v/>
      </c>
      <c r="E39" s="55" t="str">
        <f>IF($A39="","",Calcule!$B39)</f>
        <v/>
      </c>
      <c r="F39" s="57" t="str">
        <f>IF($A39="","",Calcule!$R39)</f>
        <v/>
      </c>
      <c r="G39" s="57" t="str">
        <f>IF($A39="","",Calcule!$Y39)</f>
        <v/>
      </c>
      <c r="H39" s="57" t="str">
        <f>IF($A39="","",Calcule!$AE39)</f>
        <v/>
      </c>
      <c r="I39" s="57" t="str">
        <f>IF($A39="","",Calcule!$AI39)</f>
        <v/>
      </c>
      <c r="J39" s="58" t="str">
        <f>IF($A39="","",IF(b_Durata=0,"Fără planuri pe durată",IF(Calcule!$B39="Preț fix","Doar planul „Sărbători” (fără reduceri pe durată)",IF(Calcule!$B39="Standard","Planurile „2 zile” … „7 zile” (scara standard)","⚠ Planuri separate: "&amp;Calcule!$AS39))))</f>
        <v/>
      </c>
      <c r="K39" s="58" t="str">
        <f>IF($A39="","",IF(N(Perioade!$O39)&gt;0,"Cu sugestia Airbnb ("&amp;ROUND(a_PondSug*100,0)&amp;"%)",IF(ABS(Calcule!$AB39-Calcule!$Q39)&gt;0.0001,"Urcat pentru reducerea globală ("&amp;ROUND(Calcule!$AB39*100,0)&amp;"% la "&amp;$D39&amp;" nopți) – mai puțin la sejururi lungi","Reducerile Airbnb = cele de pe site")))</f>
        <v/>
      </c>
      <c r="L39" s="58" t="str">
        <f>IF($A39="","",IF(OR(m_Durata=0,Calcule!$P39=0),"Fără reduceri pe durată","Reduceri "&amp;Calcule!$AS39&amp;" pe "&amp;RIGHT("0"&amp;DAY($B39),2)&amp;"."&amp;RIGHT("0"&amp;MONTH($B39),2)&amp;"–"&amp;RIGHT("0"&amp;DAY($C39),2)&amp;"."&amp;RIGHT("0"&amp;MONTH($C39),2)&amp;"."&amp;YEAR($C39)))</f>
        <v/>
      </c>
      <c r="M39" s="49" t="str">
        <f>IF($A39="","",Calcule!$U39)</f>
        <v/>
      </c>
      <c r="N39" s="49" t="str">
        <f>IF($A39="","",Calcule!$T39)</f>
        <v/>
      </c>
      <c r="O39" s="49" t="str">
        <f>IF($A39="","",Calcule!$AK39)</f>
        <v/>
      </c>
      <c r="P39" s="49" t="str">
        <f>IF($A39="","",Calcule!$AM39)</f>
        <v/>
      </c>
      <c r="Q39" s="49" t="str">
        <f>IF($A39="","",Calcule!$AO39)</f>
        <v/>
      </c>
      <c r="R39" s="59" t="str">
        <f t="shared" si="0"/>
        <v/>
      </c>
      <c r="S39" s="59" t="str">
        <f t="shared" si="1"/>
        <v/>
      </c>
      <c r="T39" s="59" t="str">
        <f t="shared" si="2"/>
        <v/>
      </c>
      <c r="U39" s="49" t="str">
        <f>IF($A39="","",Calcule!$S39)</f>
        <v/>
      </c>
      <c r="V39" s="49" t="str">
        <f>IF($A39="","",Calcule!$AJ39)</f>
        <v/>
      </c>
      <c r="W39" s="49" t="str">
        <f>IF($A39="","",Calcule!$AL39)</f>
        <v/>
      </c>
      <c r="X39" s="49" t="str">
        <f>IF($A39="","",Calcule!$AN39)</f>
        <v/>
      </c>
      <c r="Y39" s="56" t="str">
        <f>IF($A39="","",IFERROR(INDEX('Date actuale'!$C$6:$C$40,MATCH($A39,'Date actuale'!$A$6:$A$40,0)),""))</f>
        <v/>
      </c>
      <c r="Z39" s="56" t="str">
        <f>IF($A39="","",IFERROR(INDEX('Date actuale'!$D$6:$D$40,MATCH($A39,'Date actuale'!$A$6:$A$40,0)),""))</f>
        <v/>
      </c>
      <c r="AA39" s="56" t="str">
        <f>IF($A39="","",IFERROR(INDEX('Date actuale'!$E$6:$E$40,MATCH($A39,'Date actuale'!$A$6:$A$40,0)),""))</f>
        <v/>
      </c>
      <c r="AB39" s="60" t="str">
        <f>IF($A39="","",Calcule!$AP39)</f>
        <v/>
      </c>
      <c r="AC39" s="60" t="str">
        <f>IF($A39="","",Calcule!$AQ39)</f>
        <v/>
      </c>
      <c r="AD39" s="60" t="str">
        <f>IF($A39="","",Calcule!$AR39)</f>
        <v/>
      </c>
      <c r="AE39" s="52" t="str">
        <f>IF($A39="","",Perioade!$N39)</f>
        <v/>
      </c>
    </row>
    <row r="40" spans="1:31" x14ac:dyDescent="0.2">
      <c r="A40" s="53" t="str">
        <f>IF(Calcule!$A40="","",Calcule!$A40)</f>
        <v/>
      </c>
      <c r="B40" s="54" t="str">
        <f>IF($A40="","",Perioade!$C40)</f>
        <v/>
      </c>
      <c r="C40" s="54" t="str">
        <f>IF($A40="","",Perioade!$D40)</f>
        <v/>
      </c>
      <c r="D40" s="55" t="str">
        <f>IF($A40="","",Calcule!$C40)</f>
        <v/>
      </c>
      <c r="E40" s="55" t="str">
        <f>IF($A40="","",Calcule!$B40)</f>
        <v/>
      </c>
      <c r="F40" s="57" t="str">
        <f>IF($A40="","",Calcule!$R40)</f>
        <v/>
      </c>
      <c r="G40" s="57" t="str">
        <f>IF($A40="","",Calcule!$Y40)</f>
        <v/>
      </c>
      <c r="H40" s="57" t="str">
        <f>IF($A40="","",Calcule!$AE40)</f>
        <v/>
      </c>
      <c r="I40" s="57" t="str">
        <f>IF($A40="","",Calcule!$AI40)</f>
        <v/>
      </c>
      <c r="J40" s="58" t="str">
        <f>IF($A40="","",IF(b_Durata=0,"Fără planuri pe durată",IF(Calcule!$B40="Preț fix","Doar planul „Sărbători” (fără reduceri pe durată)",IF(Calcule!$B40="Standard","Planurile „2 zile” … „7 zile” (scara standard)","⚠ Planuri separate: "&amp;Calcule!$AS40))))</f>
        <v/>
      </c>
      <c r="K40" s="58" t="str">
        <f>IF($A40="","",IF(N(Perioade!$O40)&gt;0,"Cu sugestia Airbnb ("&amp;ROUND(a_PondSug*100,0)&amp;"%)",IF(ABS(Calcule!$AB40-Calcule!$Q40)&gt;0.0001,"Urcat pentru reducerea globală ("&amp;ROUND(Calcule!$AB40*100,0)&amp;"% la "&amp;$D40&amp;" nopți) – mai puțin la sejururi lungi","Reducerile Airbnb = cele de pe site")))</f>
        <v/>
      </c>
      <c r="L40" s="58" t="str">
        <f>IF($A40="","",IF(OR(m_Durata=0,Calcule!$P40=0),"Fără reduceri pe durată","Reduceri "&amp;Calcule!$AS40&amp;" pe "&amp;RIGHT("0"&amp;DAY($B40),2)&amp;"."&amp;RIGHT("0"&amp;MONTH($B40),2)&amp;"–"&amp;RIGHT("0"&amp;DAY($C40),2)&amp;"."&amp;RIGHT("0"&amp;MONTH($C40),2)&amp;"."&amp;YEAR($C40)))</f>
        <v/>
      </c>
      <c r="M40" s="49" t="str">
        <f>IF($A40="","",Calcule!$U40)</f>
        <v/>
      </c>
      <c r="N40" s="49" t="str">
        <f>IF($A40="","",Calcule!$T40)</f>
        <v/>
      </c>
      <c r="O40" s="49" t="str">
        <f>IF($A40="","",Calcule!$AK40)</f>
        <v/>
      </c>
      <c r="P40" s="49" t="str">
        <f>IF($A40="","",Calcule!$AM40)</f>
        <v/>
      </c>
      <c r="Q40" s="49" t="str">
        <f>IF($A40="","",Calcule!$AO40)</f>
        <v/>
      </c>
      <c r="R40" s="59" t="str">
        <f t="shared" si="0"/>
        <v/>
      </c>
      <c r="S40" s="59" t="str">
        <f t="shared" si="1"/>
        <v/>
      </c>
      <c r="T40" s="59" t="str">
        <f t="shared" si="2"/>
        <v/>
      </c>
      <c r="U40" s="49" t="str">
        <f>IF($A40="","",Calcule!$S40)</f>
        <v/>
      </c>
      <c r="V40" s="49" t="str">
        <f>IF($A40="","",Calcule!$AJ40)</f>
        <v/>
      </c>
      <c r="W40" s="49" t="str">
        <f>IF($A40="","",Calcule!$AL40)</f>
        <v/>
      </c>
      <c r="X40" s="49" t="str">
        <f>IF($A40="","",Calcule!$AN40)</f>
        <v/>
      </c>
      <c r="Y40" s="56" t="str">
        <f>IF($A40="","",IFERROR(INDEX('Date actuale'!$C$6:$C$40,MATCH($A40,'Date actuale'!$A$6:$A$40,0)),""))</f>
        <v/>
      </c>
      <c r="Z40" s="56" t="str">
        <f>IF($A40="","",IFERROR(INDEX('Date actuale'!$D$6:$D$40,MATCH($A40,'Date actuale'!$A$6:$A$40,0)),""))</f>
        <v/>
      </c>
      <c r="AA40" s="56" t="str">
        <f>IF($A40="","",IFERROR(INDEX('Date actuale'!$E$6:$E$40,MATCH($A40,'Date actuale'!$A$6:$A$40,0)),""))</f>
        <v/>
      </c>
      <c r="AB40" s="60" t="str">
        <f>IF($A40="","",Calcule!$AP40)</f>
        <v/>
      </c>
      <c r="AC40" s="60" t="str">
        <f>IF($A40="","",Calcule!$AQ40)</f>
        <v/>
      </c>
      <c r="AD40" s="60" t="str">
        <f>IF($A40="","",Calcule!$AR40)</f>
        <v/>
      </c>
      <c r="AE40" s="52" t="str">
        <f>IF($A40="","",Perioade!$N40)</f>
        <v/>
      </c>
    </row>
  </sheetData>
  <mergeCells count="6">
    <mergeCell ref="AB4:AD4"/>
    <mergeCell ref="A4:E4"/>
    <mergeCell ref="F4:L4"/>
    <mergeCell ref="M4:T4"/>
    <mergeCell ref="U4:X4"/>
    <mergeCell ref="Y4:AA4"/>
  </mergeCells>
  <conditionalFormatting sqref="R6:T40">
    <cfRule type="cellIs" dxfId="5" priority="1" stopIfTrue="1" operator="lessThan">
      <formula>p_Prag</formula>
    </cfRule>
    <cfRule type="cellIs" dxfId="4" priority="2" stopIfTrue="1" operator="between">
      <formula>p_Prag</formula>
      <formula>10</formula>
    </cfRule>
  </conditionalFormatting>
  <conditionalFormatting sqref="Y6:AA40">
    <cfRule type="cellIs" dxfId="3" priority="3" stopIfTrue="1" operator="notEqual">
      <formula>G6</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B92104-D52E-49DD-8B8A-15CE8A795425}">
  <sheetPr>
    <tabColor rgb="FF2F75B5"/>
  </sheetPr>
  <dimension ref="A1:AE40"/>
  <sheetViews>
    <sheetView workbookViewId="0">
      <pane xSplit="1" ySplit="5" topLeftCell="B6" activePane="bottomRight" state="frozenSplit"/>
      <selection pane="topRight" activeCell="B1" sqref="B1"/>
      <selection pane="bottomLeft" activeCell="A6" sqref="A6"/>
      <selection pane="bottomRight"/>
    </sheetView>
  </sheetViews>
  <sheetFormatPr defaultRowHeight="12.75" x14ac:dyDescent="0.2"/>
  <cols>
    <col min="1" max="1" width="20.7109375" customWidth="1"/>
    <col min="2" max="2" width="12.7109375" customWidth="1"/>
    <col min="3" max="3" width="7.7109375" customWidth="1"/>
    <col min="4" max="24" width="11.7109375" customWidth="1"/>
    <col min="25" max="31" width="10.7109375" customWidth="1"/>
  </cols>
  <sheetData>
    <row r="1" spans="1:31" ht="18" x14ac:dyDescent="0.25">
      <c r="A1" s="9" t="s">
        <v>236</v>
      </c>
    </row>
    <row r="2" spans="1:31" x14ac:dyDescent="0.2">
      <c r="A2" s="10" t="s">
        <v>237</v>
      </c>
    </row>
    <row r="3" spans="1:31" x14ac:dyDescent="0.2">
      <c r="A3" s="10" t="s">
        <v>238</v>
      </c>
    </row>
    <row r="4" spans="1:31" x14ac:dyDescent="0.2">
      <c r="A4" s="13"/>
      <c r="B4" s="13"/>
      <c r="C4" s="13"/>
      <c r="D4" s="85" t="s">
        <v>47</v>
      </c>
      <c r="E4" s="85"/>
      <c r="F4" s="85"/>
      <c r="G4" s="85" t="s">
        <v>48</v>
      </c>
      <c r="H4" s="85"/>
      <c r="I4" s="85"/>
      <c r="J4" s="85" t="s">
        <v>49</v>
      </c>
      <c r="K4" s="85"/>
      <c r="L4" s="85"/>
      <c r="M4" s="85" t="s">
        <v>50</v>
      </c>
      <c r="N4" s="85"/>
      <c r="O4" s="85"/>
      <c r="P4" s="85" t="s">
        <v>51</v>
      </c>
      <c r="Q4" s="85"/>
      <c r="R4" s="85"/>
      <c r="S4" s="85" t="s">
        <v>239</v>
      </c>
      <c r="T4" s="85"/>
      <c r="U4" s="85"/>
      <c r="V4" s="85" t="s">
        <v>240</v>
      </c>
      <c r="W4" s="85"/>
      <c r="X4" s="85"/>
      <c r="Y4" s="89" t="s">
        <v>241</v>
      </c>
      <c r="Z4" s="89"/>
      <c r="AA4" s="89"/>
      <c r="AB4" s="89"/>
      <c r="AC4" s="89"/>
      <c r="AD4" s="89"/>
      <c r="AE4" s="89"/>
    </row>
    <row r="5" spans="1:31" ht="30" customHeight="1" x14ac:dyDescent="0.2">
      <c r="A5" s="13" t="s">
        <v>112</v>
      </c>
      <c r="B5" s="13" t="s">
        <v>118</v>
      </c>
      <c r="C5" s="13" t="s">
        <v>218</v>
      </c>
      <c r="D5" s="13" t="s">
        <v>228</v>
      </c>
      <c r="E5" s="13" t="s">
        <v>59</v>
      </c>
      <c r="F5" s="13" t="s">
        <v>60</v>
      </c>
      <c r="G5" s="13" t="s">
        <v>228</v>
      </c>
      <c r="H5" s="13" t="s">
        <v>59</v>
      </c>
      <c r="I5" s="13" t="s">
        <v>60</v>
      </c>
      <c r="J5" s="13" t="s">
        <v>228</v>
      </c>
      <c r="K5" s="13" t="s">
        <v>59</v>
      </c>
      <c r="L5" s="13" t="s">
        <v>60</v>
      </c>
      <c r="M5" s="13" t="s">
        <v>228</v>
      </c>
      <c r="N5" s="13" t="s">
        <v>59</v>
      </c>
      <c r="O5" s="13" t="s">
        <v>60</v>
      </c>
      <c r="P5" s="13" t="s">
        <v>228</v>
      </c>
      <c r="Q5" s="13" t="s">
        <v>59</v>
      </c>
      <c r="R5" s="13" t="s">
        <v>60</v>
      </c>
      <c r="S5" s="13" t="s">
        <v>228</v>
      </c>
      <c r="T5" s="13" t="s">
        <v>59</v>
      </c>
      <c r="U5" s="13" t="s">
        <v>60</v>
      </c>
      <c r="V5" s="13" t="s">
        <v>228</v>
      </c>
      <c r="W5" s="13" t="s">
        <v>59</v>
      </c>
      <c r="X5" s="13" t="s">
        <v>60</v>
      </c>
      <c r="Y5" s="51" t="s">
        <v>47</v>
      </c>
      <c r="Z5" s="51" t="s">
        <v>48</v>
      </c>
      <c r="AA5" s="51" t="s">
        <v>49</v>
      </c>
      <c r="AB5" s="51" t="s">
        <v>50</v>
      </c>
      <c r="AC5" s="51" t="s">
        <v>51</v>
      </c>
      <c r="AD5" s="51" t="s">
        <v>239</v>
      </c>
      <c r="AE5" s="51" t="s">
        <v>240</v>
      </c>
    </row>
    <row r="6" spans="1:31" x14ac:dyDescent="0.2">
      <c r="A6" s="53" t="str">
        <f>IF(Calcule!$A6="","",Calcule!$A6)</f>
        <v>vara-toamna-2026</v>
      </c>
      <c r="B6" s="55" t="str">
        <f>IF($A6="","",Calcule!$B6)</f>
        <v>Standard</v>
      </c>
      <c r="C6" s="55">
        <f>IF($A6="","",Calcule!$C6)</f>
        <v>2</v>
      </c>
      <c r="D6" s="59">
        <f>IF(Calcule!$AT6="","",Calcule!$AU6/Calcule!$AT6)</f>
        <v>1.0053407881889767</v>
      </c>
      <c r="E6" s="59">
        <f>IF(Calcule!$AT6="","",Calcule!$AV6/Calcule!$AT6)</f>
        <v>0.89903935039370086</v>
      </c>
      <c r="F6" s="59">
        <f>IF(Calcule!$AT6="","",Calcule!$AW6/Calcule!$AT6)</f>
        <v>1.0088267716535433</v>
      </c>
      <c r="G6" s="59">
        <f>IF(Calcule!$AY6="","",Calcule!$AZ6/Calcule!$AY6)</f>
        <v>1.0055274058064516</v>
      </c>
      <c r="H6" s="59">
        <f>IF(Calcule!$AY6="","",Calcule!$BA6/Calcule!$AY6)</f>
        <v>0.89882291935483893</v>
      </c>
      <c r="I6" s="59">
        <f>IF(Calcule!$AY6="","",Calcule!$BB6/Calcule!$AY6)</f>
        <v>1.0087677419354839</v>
      </c>
      <c r="J6" s="59">
        <f>IF(Calcule!$BD6="","",Calcule!$BE6/Calcule!$BD6)</f>
        <v>1.0058249008368201</v>
      </c>
      <c r="K6" s="59">
        <f>IF(Calcule!$BD6="","",Calcule!$BF6/Calcule!$BD6)</f>
        <v>0.89847789748953955</v>
      </c>
      <c r="L6" s="59">
        <f>IF(Calcule!$BD6="","",Calcule!$BG6/Calcule!$BD6)</f>
        <v>1.0086736401673639</v>
      </c>
      <c r="M6" s="59">
        <f>IF(Calcule!$BI6="","",Calcule!$BJ6/Calcule!$BI6)</f>
        <v>1.0063738499999999</v>
      </c>
      <c r="N6" s="59">
        <f>IF(Calcule!$BI6="","",Calcule!$BK6/Calcule!$BI6)</f>
        <v>0.89784124999999981</v>
      </c>
      <c r="O6" s="59">
        <f>IF(Calcule!$BI6="","",Calcule!$BL6/Calcule!$BI6)</f>
        <v>1.0085000000000002</v>
      </c>
      <c r="P6" s="59">
        <f>IF(Calcule!$BN6="","",Calcule!$BO6/Calcule!$BN6)</f>
        <v>1.0070015956937799</v>
      </c>
      <c r="Q6" s="59">
        <f>IF(Calcule!$BN6="","",Calcule!$BP6/Calcule!$BN6)</f>
        <v>0.8971132177033494</v>
      </c>
      <c r="R6" s="59">
        <f>IF(Calcule!$BN6="","",Calcule!$BQ6/Calcule!$BN6)</f>
        <v>1.0083014354066986</v>
      </c>
      <c r="S6" s="59">
        <f>IF(Calcule!$BS6="","",Calcule!$BT6/Calcule!$BS6)</f>
        <v>1.0082177257297298</v>
      </c>
      <c r="T6" s="59">
        <f>IF(Calcule!$BS6="","",Calcule!$BU6/Calcule!$BS6)</f>
        <v>0.9104268864864864</v>
      </c>
      <c r="U6" s="59">
        <f>IF(Calcule!$BS6="","",Calcule!$BV6/Calcule!$BS6)</f>
        <v>1.0079167567567568</v>
      </c>
      <c r="V6" s="59">
        <f>IF(Calcule!$BX6="","",Calcule!$BY6/Calcule!$BX6)</f>
        <v>1.0082177257297298</v>
      </c>
      <c r="W6" s="59">
        <f>IF(Calcule!$BX6="","",Calcule!$BZ6/Calcule!$BX6)</f>
        <v>0.9104268864864864</v>
      </c>
      <c r="X6" s="59">
        <f>IF(Calcule!$BX6="","",Calcule!$CA6/Calcule!$BX6)</f>
        <v>1.0079167567567568</v>
      </c>
      <c r="Y6" s="49">
        <f>IF($A6="","",Calcule!$AX6)</f>
        <v>526.48648648648646</v>
      </c>
      <c r="Z6" s="49">
        <f>IF($A6="","",Calcule!$BC6)</f>
        <v>563.60360360360357</v>
      </c>
      <c r="AA6" s="49">
        <f>IF($A6="","",Calcule!$BH6)</f>
        <v>565.94594594594594</v>
      </c>
      <c r="AB6" s="49">
        <f>IF($A6="","",Calcule!$BM6)</f>
        <v>541.4054054054053</v>
      </c>
      <c r="AC6" s="49">
        <f>IF($A6="","",Calcule!$BR6)</f>
        <v>511.53153153153147</v>
      </c>
      <c r="AD6" s="49">
        <f>IF($A6="","",Calcule!$BW6)</f>
        <v>444.28571428571411</v>
      </c>
      <c r="AE6" s="49">
        <f>IF($A6="","",Calcule!$CB6)</f>
        <v>472.14285714285694</v>
      </c>
    </row>
    <row r="7" spans="1:31" x14ac:dyDescent="0.2">
      <c r="A7" s="53" t="str">
        <f>IF(Calcule!$A7="","",Calcule!$A7)</f>
        <v>iarna-2026</v>
      </c>
      <c r="B7" s="55" t="str">
        <f>IF($A7="","",Calcule!$B7)</f>
        <v>Standard</v>
      </c>
      <c r="C7" s="55">
        <f>IF($A7="","",Calcule!$C7)</f>
        <v>2</v>
      </c>
      <c r="D7" s="59">
        <f>IF(Calcule!$AT7="","",Calcule!$AU7/Calcule!$AT7)</f>
        <v>1.0023660597493038</v>
      </c>
      <c r="E7" s="59">
        <f>IF(Calcule!$AT7="","",Calcule!$AV7/Calcule!$AT7)</f>
        <v>1.0065909818941503</v>
      </c>
      <c r="F7" s="59">
        <f>IF(Calcule!$AT7="","",Calcule!$AW7/Calcule!$AT7)</f>
        <v>1.0027798328690809</v>
      </c>
      <c r="G7" s="59">
        <f>IF(Calcule!$AY7="","",Calcule!$AZ7/Calcule!$AY7)</f>
        <v>1.0024950240684409</v>
      </c>
      <c r="H7" s="59">
        <f>IF(Calcule!$AY7="","",Calcule!$BA7/Calcule!$AY7)</f>
        <v>1.0065469676806085</v>
      </c>
      <c r="I7" s="59">
        <f>IF(Calcule!$AY7="","",Calcule!$BB7/Calcule!$AY7)</f>
        <v>1.0027319543726236</v>
      </c>
      <c r="J7" s="59">
        <f>IF(Calcule!$BD7="","",Calcule!$BE7/Calcule!$BD7)</f>
        <v>1.0027003881468703</v>
      </c>
      <c r="K7" s="59">
        <f>IF(Calcule!$BD7="","",Calcule!$BF7/Calcule!$BD7)</f>
        <v>1.0064768790044356</v>
      </c>
      <c r="L7" s="59">
        <f>IF(Calcule!$BD7="","",Calcule!$BG7/Calcule!$BD7)</f>
        <v>1.0026557121734845</v>
      </c>
      <c r="M7" s="59">
        <f>IF(Calcule!$BI7="","",Calcule!$BJ7/Calcule!$BI7)</f>
        <v>1.0030786147058823</v>
      </c>
      <c r="N7" s="59">
        <f>IF(Calcule!$BI7="","",Calcule!$BK7/Calcule!$BI7)</f>
        <v>1.0063477941176471</v>
      </c>
      <c r="O7" s="59">
        <f>IF(Calcule!$BI7="","",Calcule!$BL7/Calcule!$BI7)</f>
        <v>1.0025152941176469</v>
      </c>
      <c r="P7" s="59">
        <f>IF(Calcule!$BN7="","",Calcule!$BO7/Calcule!$BN7)</f>
        <v>1.0035099928330524</v>
      </c>
      <c r="Q7" s="59">
        <f>IF(Calcule!$BN7="","",Calcule!$BP7/Calcule!$BN7)</f>
        <v>1.0062005691399665</v>
      </c>
      <c r="R7" s="59">
        <f>IF(Calcule!$BN7="","",Calcule!$BQ7/Calcule!$BN7)</f>
        <v>1.0023551433389546</v>
      </c>
      <c r="S7" s="59">
        <f>IF(Calcule!$BS7="","",Calcule!$BT7/Calcule!$BS7)</f>
        <v>1.0043422602976566</v>
      </c>
      <c r="T7" s="59">
        <f>IF(Calcule!$BS7="","",Calcule!$BU7/Calcule!$BS7)</f>
        <v>1.021883008233059</v>
      </c>
      <c r="U7" s="59">
        <f>IF(Calcule!$BS7="","",Calcule!$BV7/Calcule!$BS7)</f>
        <v>1.0020461608613045</v>
      </c>
      <c r="V7" s="59">
        <f>IF(Calcule!$BX7="","",Calcule!$BY7/Calcule!$BX7)</f>
        <v>1.0043422602976566</v>
      </c>
      <c r="W7" s="59">
        <f>IF(Calcule!$BX7="","",Calcule!$BZ7/Calcule!$BX7)</f>
        <v>1.021883008233059</v>
      </c>
      <c r="X7" s="59">
        <f>IF(Calcule!$BX7="","",Calcule!$CA7/Calcule!$BX7)</f>
        <v>1.0020461608613045</v>
      </c>
      <c r="Y7" s="49">
        <f>IF($A7="","",Calcule!$AX7)</f>
        <v>810.2702702702702</v>
      </c>
      <c r="Z7" s="49">
        <f>IF($A7="","",Calcule!$BC7)</f>
        <v>841.08108108108092</v>
      </c>
      <c r="AA7" s="49">
        <f>IF($A7="","",Calcule!$BH7)</f>
        <v>833.96396396396392</v>
      </c>
      <c r="AB7" s="49">
        <f>IF($A7="","",Calcule!$BM7)</f>
        <v>793.65765765765752</v>
      </c>
      <c r="AC7" s="49">
        <f>IF($A7="","",Calcule!$BR7)</f>
        <v>748.01801801801787</v>
      </c>
      <c r="AD7" s="49">
        <f>IF($A7="","",Calcule!$BW7)</f>
        <v>655.54697554697543</v>
      </c>
      <c r="AE7" s="49">
        <f>IF($A7="","",Calcule!$CB7)</f>
        <v>683.40411840411821</v>
      </c>
    </row>
    <row r="8" spans="1:31" x14ac:dyDescent="0.2">
      <c r="A8" s="53" t="str">
        <f>IF(Calcule!$A8="","",Calcule!$A8)</f>
        <v>Craciun-2026</v>
      </c>
      <c r="B8" s="55" t="str">
        <f>IF($A8="","",Calcule!$B8)</f>
        <v>Preț fix</v>
      </c>
      <c r="C8" s="55">
        <f>IF($A8="","",Calcule!$C8)</f>
        <v>3</v>
      </c>
      <c r="D8" s="59" t="str">
        <f>IF(Calcule!$AT8="","",Calcule!$AU8/Calcule!$AT8)</f>
        <v/>
      </c>
      <c r="E8" s="59" t="str">
        <f>IF(Calcule!$AT8="","",Calcule!$AV8/Calcule!$AT8)</f>
        <v/>
      </c>
      <c r="F8" s="59" t="str">
        <f>IF(Calcule!$AT8="","",Calcule!$AW8/Calcule!$AT8)</f>
        <v/>
      </c>
      <c r="G8" s="59">
        <f>IF(Calcule!$AY8="","",Calcule!$AZ8/Calcule!$AY8)</f>
        <v>1.0052290847107439</v>
      </c>
      <c r="H8" s="59">
        <f>IF(Calcule!$AY8="","",Calcule!$BA8/Calcule!$AY8)</f>
        <v>1.0032374834710747</v>
      </c>
      <c r="I8" s="59">
        <f>IF(Calcule!$AY8="","",Calcule!$BB8/Calcule!$AY8)</f>
        <v>1.0058074380165292</v>
      </c>
      <c r="J8" s="59">
        <f>IF(Calcule!$BD8="","",Calcule!$BE8/Calcule!$BD8)</f>
        <v>1.0052290847107439</v>
      </c>
      <c r="K8" s="59">
        <f>IF(Calcule!$BD8="","",Calcule!$BF8/Calcule!$BD8)</f>
        <v>0.96785288481404963</v>
      </c>
      <c r="L8" s="59">
        <f>IF(Calcule!$BD8="","",Calcule!$BG8/Calcule!$BD8)</f>
        <v>1.0058074380165292</v>
      </c>
      <c r="M8" s="59">
        <f>IF(Calcule!$BI8="","",Calcule!$BJ8/Calcule!$BI8)</f>
        <v>1.0052290847107439</v>
      </c>
      <c r="N8" s="59">
        <f>IF(Calcule!$BI8="","",Calcule!$BK8/Calcule!$BI8)</f>
        <v>0.90887855371900839</v>
      </c>
      <c r="O8" s="59">
        <f>IF(Calcule!$BI8="","",Calcule!$BL8/Calcule!$BI8)</f>
        <v>1.0058074380165292</v>
      </c>
      <c r="P8" s="59">
        <f>IF(Calcule!$BN8="","",Calcule!$BO8/Calcule!$BN8)</f>
        <v>1.0052290847107439</v>
      </c>
      <c r="Q8" s="59">
        <f>IF(Calcule!$BN8="","",Calcule!$BP8/Calcule!$BN8)</f>
        <v>0.84990422262396703</v>
      </c>
      <c r="R8" s="59">
        <f>IF(Calcule!$BN8="","",Calcule!$BQ8/Calcule!$BN8)</f>
        <v>1.0058074380165292</v>
      </c>
      <c r="S8" s="59">
        <f>IF(Calcule!$BS8="","",Calcule!$BT8/Calcule!$BS8)</f>
        <v>1.0052290847107439</v>
      </c>
      <c r="T8" s="59">
        <f>IF(Calcule!$BS8="","",Calcule!$BU8/Calcule!$BS8)</f>
        <v>0.76734015909090925</v>
      </c>
      <c r="U8" s="59">
        <f>IF(Calcule!$BS8="","",Calcule!$BV8/Calcule!$BS8)</f>
        <v>1.0058074380165292</v>
      </c>
      <c r="V8" s="59">
        <f>IF(Calcule!$BX8="","",Calcule!$BY8/Calcule!$BX8)</f>
        <v>1.0052290847107439</v>
      </c>
      <c r="W8" s="59">
        <f>IF(Calcule!$BX8="","",Calcule!$BZ8/Calcule!$BX8)</f>
        <v>0.76734015909090925</v>
      </c>
      <c r="X8" s="59">
        <f>IF(Calcule!$BX8="","",Calcule!$CA8/Calcule!$BX8)</f>
        <v>1.0058074380165292</v>
      </c>
      <c r="Y8" s="49" t="str">
        <f>IF($A8="","",Calcule!$AX8)</f>
        <v/>
      </c>
      <c r="Z8" s="49">
        <f>IF($A8="","",Calcule!$BC8)</f>
        <v>1201.4414414414412</v>
      </c>
      <c r="AA8" s="49">
        <f>IF($A8="","",Calcule!$BH8)</f>
        <v>1228.1081081081079</v>
      </c>
      <c r="AB8" s="49">
        <f>IF($A8="","",Calcule!$BM8)</f>
        <v>1244.1081081081079</v>
      </c>
      <c r="AC8" s="49">
        <f>IF($A8="","",Calcule!$BR8)</f>
        <v>1254.7747747747746</v>
      </c>
      <c r="AD8" s="49">
        <f>IF($A8="","",Calcule!$BW8)</f>
        <v>1252.3938223938221</v>
      </c>
      <c r="AE8" s="49">
        <f>IF($A8="","",Calcule!$CB8)</f>
        <v>1280.250965250965</v>
      </c>
    </row>
    <row r="9" spans="1:31" x14ac:dyDescent="0.2">
      <c r="A9" s="53" t="str">
        <f>IF(Calcule!$A9="","",Calcule!$A9)</f>
        <v>Revelion-2026-2027</v>
      </c>
      <c r="B9" s="55" t="str">
        <f>IF($A9="","",Calcule!$B9)</f>
        <v>Preț fix</v>
      </c>
      <c r="C9" s="55">
        <f>IF($A9="","",Calcule!$C9)</f>
        <v>4</v>
      </c>
      <c r="D9" s="59" t="str">
        <f>IF(Calcule!$AT9="","",Calcule!$AU9/Calcule!$AT9)</f>
        <v/>
      </c>
      <c r="E9" s="59" t="str">
        <f>IF(Calcule!$AT9="","",Calcule!$AV9/Calcule!$AT9)</f>
        <v/>
      </c>
      <c r="F9" s="59" t="str">
        <f>IF(Calcule!$AT9="","",Calcule!$AW9/Calcule!$AT9)</f>
        <v/>
      </c>
      <c r="G9" s="59" t="str">
        <f>IF(Calcule!$AY9="","",Calcule!$AZ9/Calcule!$AY9)</f>
        <v/>
      </c>
      <c r="H9" s="59" t="str">
        <f>IF(Calcule!$AY9="","",Calcule!$BA9/Calcule!$AY9)</f>
        <v/>
      </c>
      <c r="I9" s="59" t="str">
        <f>IF(Calcule!$AY9="","",Calcule!$BB9/Calcule!$AY9)</f>
        <v/>
      </c>
      <c r="J9" s="59">
        <f>IF(Calcule!$BD9="","",Calcule!$BE9/Calcule!$BD9)</f>
        <v>1.0009821164383561</v>
      </c>
      <c r="K9" s="59">
        <f>IF(Calcule!$BD9="","",Calcule!$BF9/Calcule!$BD9)</f>
        <v>1.000357714041096</v>
      </c>
      <c r="L9" s="59">
        <f>IF(Calcule!$BD9="","",Calcule!$BG9/Calcule!$BD9)</f>
        <v>1.0050106164383561</v>
      </c>
      <c r="M9" s="59">
        <f>IF(Calcule!$BI9="","",Calcule!$BJ9/Calcule!$BI9)</f>
        <v>1.0009821164383561</v>
      </c>
      <c r="N9" s="59">
        <f>IF(Calcule!$BI9="","",Calcule!$BK9/Calcule!$BI9)</f>
        <v>0.93982095890410977</v>
      </c>
      <c r="O9" s="59">
        <f>IF(Calcule!$BI9="","",Calcule!$BL9/Calcule!$BI9)</f>
        <v>1.0050106164383561</v>
      </c>
      <c r="P9" s="59">
        <f>IF(Calcule!$BN9="","",Calcule!$BO9/Calcule!$BN9)</f>
        <v>1.0009821164383561</v>
      </c>
      <c r="Q9" s="59">
        <f>IF(Calcule!$BN9="","",Calcule!$BP9/Calcule!$BN9)</f>
        <v>0.87928420376712335</v>
      </c>
      <c r="R9" s="59">
        <f>IF(Calcule!$BN9="","",Calcule!$BQ9/Calcule!$BN9)</f>
        <v>1.0050106164383561</v>
      </c>
      <c r="S9" s="59">
        <f>IF(Calcule!$BS9="","",Calcule!$BT9/Calcule!$BS9)</f>
        <v>1.0009821164383561</v>
      </c>
      <c r="T9" s="59">
        <f>IF(Calcule!$BS9="","",Calcule!$BU9/Calcule!$BS9)</f>
        <v>0.79453274657534245</v>
      </c>
      <c r="U9" s="59">
        <f>IF(Calcule!$BS9="","",Calcule!$BV9/Calcule!$BS9)</f>
        <v>1.0050106164383561</v>
      </c>
      <c r="V9" s="59">
        <f>IF(Calcule!$BX9="","",Calcule!$BY9/Calcule!$BX9)</f>
        <v>1.0009821164383561</v>
      </c>
      <c r="W9" s="59">
        <f>IF(Calcule!$BX9="","",Calcule!$BZ9/Calcule!$BX9)</f>
        <v>0.79453274657534245</v>
      </c>
      <c r="X9" s="59">
        <f>IF(Calcule!$BX9="","",Calcule!$CA9/Calcule!$BX9)</f>
        <v>1.0050106164383561</v>
      </c>
      <c r="Y9" s="49" t="str">
        <f>IF($A9="","",Calcule!$AX9)</f>
        <v/>
      </c>
      <c r="Z9" s="49" t="str">
        <f>IF($A9="","",Calcule!$BC9)</f>
        <v/>
      </c>
      <c r="AA9" s="49">
        <f>IF($A9="","",Calcule!$BH9)</f>
        <v>1498.3783783783783</v>
      </c>
      <c r="AB9" s="49">
        <f>IF($A9="","",Calcule!$BM9)</f>
        <v>1514.3783783783783</v>
      </c>
      <c r="AC9" s="49">
        <f>IF($A9="","",Calcule!$BR9)</f>
        <v>1525.0450450450451</v>
      </c>
      <c r="AD9" s="49">
        <f>IF($A9="","",Calcule!$BW9)</f>
        <v>1522.6640926640925</v>
      </c>
      <c r="AE9" s="49">
        <f>IF($A9="","",Calcule!$CB9)</f>
        <v>1550.5212355212354</v>
      </c>
    </row>
    <row r="10" spans="1:31" x14ac:dyDescent="0.2">
      <c r="A10" s="53" t="str">
        <f>IF(Calcule!$A10="","",Calcule!$A10)</f>
        <v>iarna-2027</v>
      </c>
      <c r="B10" s="55" t="str">
        <f>IF($A10="","",Calcule!$B10)</f>
        <v>Standard</v>
      </c>
      <c r="C10" s="55">
        <f>IF($A10="","",Calcule!$C10)</f>
        <v>2</v>
      </c>
      <c r="D10" s="59">
        <f>IF(Calcule!$AT10="","",Calcule!$AU10/Calcule!$AT10)</f>
        <v>1.0026638568123396</v>
      </c>
      <c r="E10" s="59">
        <f>IF(Calcule!$AT10="","",Calcule!$AV10/Calcule!$AT10)</f>
        <v>1.0027111311053984</v>
      </c>
      <c r="F10" s="59">
        <f>IF(Calcule!$AT10="","",Calcule!$AW10/Calcule!$AT10)</f>
        <v>1.0026544473007715</v>
      </c>
      <c r="G10" s="59">
        <f>IF(Calcule!$AY10="","",Calcule!$AZ10/Calcule!$AY10)</f>
        <v>1.0027831446315789</v>
      </c>
      <c r="H10" s="59">
        <f>IF(Calcule!$AY10="","",Calcule!$BA10/Calcule!$AY10)</f>
        <v>1.0026668842105262</v>
      </c>
      <c r="I10" s="59">
        <f>IF(Calcule!$AY10="","",Calcule!$BB10/Calcule!$AY10)</f>
        <v>1.0026101473684212</v>
      </c>
      <c r="J10" s="59">
        <f>IF(Calcule!$BD10="","",Calcule!$BE10/Calcule!$BD10)</f>
        <v>1.0029730612551162</v>
      </c>
      <c r="K10" s="59">
        <f>IF(Calcule!$BD10="","",Calcule!$BF10/Calcule!$BD10)</f>
        <v>1.0025964392905868</v>
      </c>
      <c r="L10" s="59">
        <f>IF(Calcule!$BD10="","",Calcule!$BG10/Calcule!$BD10)</f>
        <v>1.0025396180081856</v>
      </c>
      <c r="M10" s="59">
        <f>IF(Calcule!$BI10="","",Calcule!$BJ10/Calcule!$BI10)</f>
        <v>1.0033227139534882</v>
      </c>
      <c r="N10" s="59">
        <f>IF(Calcule!$BI10="","",Calcule!$BK10/Calcule!$BI10)</f>
        <v>1.0024667441860464</v>
      </c>
      <c r="O10" s="59">
        <f>IF(Calcule!$BI10="","",Calcule!$BL10/Calcule!$BI10)</f>
        <v>1.0024097674418604</v>
      </c>
      <c r="P10" s="59">
        <f>IF(Calcule!$BN10="","",Calcule!$BO10/Calcule!$BN10)</f>
        <v>1.0037213071539659</v>
      </c>
      <c r="Q10" s="59">
        <f>IF(Calcule!$BN10="","",Calcule!$BP10/Calcule!$BN10)</f>
        <v>1.0023188958009333</v>
      </c>
      <c r="R10" s="59">
        <f>IF(Calcule!$BN10="","",Calcule!$BQ10/Calcule!$BN10)</f>
        <v>1.0022617418351478</v>
      </c>
      <c r="S10" s="59">
        <f>IF(Calcule!$BS10="","",Calcule!$BT10/Calcule!$BS10)</f>
        <v>1.0044897334150615</v>
      </c>
      <c r="T10" s="59">
        <f>IF(Calcule!$BS10="","",Calcule!$BU10/Calcule!$BS10)</f>
        <v>1.0178678669001751</v>
      </c>
      <c r="U10" s="59">
        <f>IF(Calcule!$BS10="","",Calcule!$BV10/Calcule!$BS10)</f>
        <v>1.0019763712784588</v>
      </c>
      <c r="V10" s="59">
        <f>IF(Calcule!$BX10="","",Calcule!$BY10/Calcule!$BX10)</f>
        <v>1.0044897334150615</v>
      </c>
      <c r="W10" s="59">
        <f>IF(Calcule!$BX10="","",Calcule!$BZ10/Calcule!$BX10)</f>
        <v>1.0178678669001751</v>
      </c>
      <c r="X10" s="59">
        <f>IF(Calcule!$BX10="","",Calcule!$CA10/Calcule!$BX10)</f>
        <v>1.0019763712784588</v>
      </c>
      <c r="Y10" s="49">
        <f>IF($A10="","",Calcule!$AX10)</f>
        <v>891.35135135135124</v>
      </c>
      <c r="Z10" s="49">
        <f>IF($A10="","",Calcule!$BC10)</f>
        <v>920.36036036036023</v>
      </c>
      <c r="AA10" s="49">
        <f>IF($A10="","",Calcule!$BH10)</f>
        <v>910.54054054054041</v>
      </c>
      <c r="AB10" s="49">
        <f>IF($A10="","",Calcule!$BM10)</f>
        <v>865.72972972972968</v>
      </c>
      <c r="AC10" s="49">
        <f>IF($A10="","",Calcule!$BR10)</f>
        <v>815.58558558558559</v>
      </c>
      <c r="AD10" s="49">
        <f>IF($A10="","",Calcule!$BW10)</f>
        <v>715.90733590733566</v>
      </c>
      <c r="AE10" s="49">
        <f>IF($A10="","",Calcule!$CB10)</f>
        <v>743.76447876447855</v>
      </c>
    </row>
    <row r="11" spans="1:31" x14ac:dyDescent="0.2">
      <c r="A11" s="53" t="str">
        <f>IF(Calcule!$A11="","",Calcule!$A11)</f>
        <v>Vacanta-schi-2027</v>
      </c>
      <c r="B11" s="55" t="str">
        <f>IF($A11="","",Calcule!$B11)</f>
        <v>Standard</v>
      </c>
      <c r="C11" s="55">
        <f>IF($A11="","",Calcule!$C11)</f>
        <v>2</v>
      </c>
      <c r="D11" s="59">
        <f>IF(Calcule!$AT11="","",Calcule!$AU11/Calcule!$AT11)</f>
        <v>1.0029190099045344</v>
      </c>
      <c r="E11" s="59">
        <f>IF(Calcule!$AT11="","",Calcule!$AV11/Calcule!$AT11)</f>
        <v>1.0056113126491646</v>
      </c>
      <c r="F11" s="59">
        <f>IF(Calcule!$AT11="","",Calcule!$AW11/Calcule!$AT11)</f>
        <v>1.0025470167064439</v>
      </c>
      <c r="G11" s="59">
        <f>IF(Calcule!$AY11="","",Calcule!$AZ11/Calcule!$AY11)</f>
        <v>1.0030299710423454</v>
      </c>
      <c r="H11" s="59">
        <f>IF(Calcule!$AY11="","",Calcule!$BA11/Calcule!$AY11)</f>
        <v>1.0055727557003258</v>
      </c>
      <c r="I11" s="59">
        <f>IF(Calcule!$AY11="","",Calcule!$BB11/Calcule!$AY11)</f>
        <v>1.0025057980456027</v>
      </c>
      <c r="J11" s="59">
        <f>IF(Calcule!$BD11="","",Calcule!$BE11/Calcule!$BD11)</f>
        <v>1.0032066001899536</v>
      </c>
      <c r="K11" s="59">
        <f>IF(Calcule!$BD11="","",Calcule!$BF11/Calcule!$BD11)</f>
        <v>1.0055113803292528</v>
      </c>
      <c r="L11" s="59">
        <f>IF(Calcule!$BD11="","",Calcule!$BG11/Calcule!$BD11)</f>
        <v>1.0024401857323766</v>
      </c>
      <c r="M11" s="59">
        <f>IF(Calcule!$BI11="","",Calcule!$BJ11/Calcule!$BI11)</f>
        <v>1.0035316910071945</v>
      </c>
      <c r="N11" s="59">
        <f>IF(Calcule!$BI11="","",Calcule!$BK11/Calcule!$BI11)</f>
        <v>1.0053984172661872</v>
      </c>
      <c r="O11" s="59">
        <f>IF(Calcule!$BI11="","",Calcule!$BL11/Calcule!$BI11)</f>
        <v>1.0023194244604317</v>
      </c>
      <c r="P11" s="59">
        <f>IF(Calcule!$BN11="","",Calcule!$BO11/Calcule!$BN11)</f>
        <v>1.0039021287878784</v>
      </c>
      <c r="Q11" s="59">
        <f>IF(Calcule!$BN11="","",Calcule!$BP11/Calcule!$BN11)</f>
        <v>1.005269696969697</v>
      </c>
      <c r="R11" s="59">
        <f>IF(Calcule!$BN11="","",Calcule!$BQ11/Calcule!$BN11)</f>
        <v>1.0021818181818181</v>
      </c>
      <c r="S11" s="59">
        <f>IF(Calcule!$BS11="","",Calcule!$BT11/Calcule!$BS11)</f>
        <v>1.0046158081591772</v>
      </c>
      <c r="T11" s="59">
        <f>IF(Calcule!$BS11="","",Calcule!$BU11/Calcule!$BS11)</f>
        <v>1.0208365825663237</v>
      </c>
      <c r="U11" s="59">
        <f>IF(Calcule!$BS11="","",Calcule!$BV11/Calcule!$BS11)</f>
        <v>1.0019167081754197</v>
      </c>
      <c r="V11" s="59">
        <f>IF(Calcule!$BX11="","",Calcule!$BY11/Calcule!$BX11)</f>
        <v>1.0046158081591772</v>
      </c>
      <c r="W11" s="59">
        <f>IF(Calcule!$BX11="","",Calcule!$BZ11/Calcule!$BX11)</f>
        <v>1.0208365825663237</v>
      </c>
      <c r="X11" s="59">
        <f>IF(Calcule!$BX11="","",Calcule!$CA11/Calcule!$BX11)</f>
        <v>1.0019167081754197</v>
      </c>
      <c r="Y11" s="49">
        <f>IF($A11="","",Calcule!$AX11)</f>
        <v>972.43243243243228</v>
      </c>
      <c r="Z11" s="49">
        <f>IF($A11="","",Calcule!$BC11)</f>
        <v>999.63963963963943</v>
      </c>
      <c r="AA11" s="49">
        <f>IF($A11="","",Calcule!$BH11)</f>
        <v>987.117117117117</v>
      </c>
      <c r="AB11" s="49">
        <f>IF($A11="","",Calcule!$BM11)</f>
        <v>937.80180180180173</v>
      </c>
      <c r="AC11" s="49">
        <f>IF($A11="","",Calcule!$BR11)</f>
        <v>883.15315315315308</v>
      </c>
      <c r="AD11" s="49">
        <f>IF($A11="","",Calcule!$BW11)</f>
        <v>776.26769626769601</v>
      </c>
      <c r="AE11" s="49">
        <f>IF($A11="","",Calcule!$CB11)</f>
        <v>804.1248391248389</v>
      </c>
    </row>
    <row r="12" spans="1:31" x14ac:dyDescent="0.2">
      <c r="A12" s="53" t="str">
        <f>IF(Calcule!$A12="","",Calcule!$A12)</f>
        <v>primavara-2027</v>
      </c>
      <c r="B12" s="55" t="str">
        <f>IF($A12="","",Calcule!$B12)</f>
        <v>Standard</v>
      </c>
      <c r="C12" s="55">
        <f>IF($A12="","",Calcule!$C12)</f>
        <v>2</v>
      </c>
      <c r="D12" s="59">
        <f>IF(Calcule!$AT12="","",Calcule!$AU12/Calcule!$AT12)</f>
        <v>1.0053407881889767</v>
      </c>
      <c r="E12" s="59">
        <f>IF(Calcule!$AT12="","",Calcule!$AV12/Calcule!$AT12)</f>
        <v>1.001718188976378</v>
      </c>
      <c r="F12" s="59">
        <f>IF(Calcule!$AT12="","",Calcule!$AW12/Calcule!$AT12)</f>
        <v>1.0088267716535433</v>
      </c>
      <c r="G12" s="59">
        <f>IF(Calcule!$AY12="","",Calcule!$AZ12/Calcule!$AY12)</f>
        <v>1.0055274058064516</v>
      </c>
      <c r="H12" s="59">
        <f>IF(Calcule!$AY12="","",Calcule!$BA12/Calcule!$AY12)</f>
        <v>1.0016489677419356</v>
      </c>
      <c r="I12" s="59">
        <f>IF(Calcule!$AY12="","",Calcule!$BB12/Calcule!$AY12)</f>
        <v>1.0087677419354839</v>
      </c>
      <c r="J12" s="59">
        <f>IF(Calcule!$BD12="","",Calcule!$BE12/Calcule!$BD12)</f>
        <v>1.0058249008368201</v>
      </c>
      <c r="K12" s="59">
        <f>IF(Calcule!$BD12="","",Calcule!$BF12/Calcule!$BD12)</f>
        <v>1.0015386192468618</v>
      </c>
      <c r="L12" s="59">
        <f>IF(Calcule!$BD12="","",Calcule!$BG12/Calcule!$BD12)</f>
        <v>1.0086736401673639</v>
      </c>
      <c r="M12" s="59">
        <f>IF(Calcule!$BI12="","",Calcule!$BJ12/Calcule!$BI12)</f>
        <v>1.0063738499999999</v>
      </c>
      <c r="N12" s="59">
        <f>IF(Calcule!$BI12="","",Calcule!$BK12/Calcule!$BI12)</f>
        <v>1.0013350000000001</v>
      </c>
      <c r="O12" s="59">
        <f>IF(Calcule!$BI12="","",Calcule!$BL12/Calcule!$BI12)</f>
        <v>1.0085000000000002</v>
      </c>
      <c r="P12" s="59">
        <f>IF(Calcule!$BN12="","",Calcule!$BO12/Calcule!$BN12)</f>
        <v>1.0070015956937799</v>
      </c>
      <c r="Q12" s="59">
        <f>IF(Calcule!$BN12="","",Calcule!$BP12/Calcule!$BN12)</f>
        <v>1.0011021531100479</v>
      </c>
      <c r="R12" s="59">
        <f>IF(Calcule!$BN12="","",Calcule!$BQ12/Calcule!$BN12)</f>
        <v>1.0083014354066986</v>
      </c>
      <c r="S12" s="59">
        <f>IF(Calcule!$BS12="","",Calcule!$BT12/Calcule!$BS12)</f>
        <v>1.0082177257297298</v>
      </c>
      <c r="T12" s="59">
        <f>IF(Calcule!$BS12="","",Calcule!$BU12/Calcule!$BS12)</f>
        <v>1.0169415351351352</v>
      </c>
      <c r="U12" s="59">
        <f>IF(Calcule!$BS12="","",Calcule!$BV12/Calcule!$BS12)</f>
        <v>1.0079167567567568</v>
      </c>
      <c r="V12" s="59">
        <f>IF(Calcule!$BX12="","",Calcule!$BY12/Calcule!$BX12)</f>
        <v>1.0082177257297298</v>
      </c>
      <c r="W12" s="59">
        <f>IF(Calcule!$BX12="","",Calcule!$BZ12/Calcule!$BX12)</f>
        <v>1.0169415351351352</v>
      </c>
      <c r="X12" s="59">
        <f>IF(Calcule!$BX12="","",Calcule!$CA12/Calcule!$BX12)</f>
        <v>1.0079167567567568</v>
      </c>
      <c r="Y12" s="49">
        <f>IF($A12="","",Calcule!$AX12)</f>
        <v>526.48648648648646</v>
      </c>
      <c r="Z12" s="49">
        <f>IF($A12="","",Calcule!$BC12)</f>
        <v>563.60360360360357</v>
      </c>
      <c r="AA12" s="49">
        <f>IF($A12="","",Calcule!$BH12)</f>
        <v>565.94594594594594</v>
      </c>
      <c r="AB12" s="49">
        <f>IF($A12="","",Calcule!$BM12)</f>
        <v>541.4054054054053</v>
      </c>
      <c r="AC12" s="49">
        <f>IF($A12="","",Calcule!$BR12)</f>
        <v>511.53153153153147</v>
      </c>
      <c r="AD12" s="49">
        <f>IF($A12="","",Calcule!$BW12)</f>
        <v>444.28571428571411</v>
      </c>
      <c r="AE12" s="49">
        <f>IF($A12="","",Calcule!$CB12)</f>
        <v>472.14285714285694</v>
      </c>
    </row>
    <row r="13" spans="1:31" x14ac:dyDescent="0.2">
      <c r="A13" s="53" t="str">
        <f>IF(Calcule!$A13="","",Calcule!$A13)</f>
        <v/>
      </c>
      <c r="B13" s="55" t="str">
        <f>IF($A13="","",Calcule!$B13)</f>
        <v/>
      </c>
      <c r="C13" s="55" t="str">
        <f>IF($A13="","",Calcule!$C13)</f>
        <v/>
      </c>
      <c r="D13" s="59" t="str">
        <f>IF(Calcule!$AT13="","",Calcule!$AU13/Calcule!$AT13)</f>
        <v/>
      </c>
      <c r="E13" s="59" t="str">
        <f>IF(Calcule!$AT13="","",Calcule!$AV13/Calcule!$AT13)</f>
        <v/>
      </c>
      <c r="F13" s="59" t="str">
        <f>IF(Calcule!$AT13="","",Calcule!$AW13/Calcule!$AT13)</f>
        <v/>
      </c>
      <c r="G13" s="59" t="str">
        <f>IF(Calcule!$AY13="","",Calcule!$AZ13/Calcule!$AY13)</f>
        <v/>
      </c>
      <c r="H13" s="59" t="str">
        <f>IF(Calcule!$AY13="","",Calcule!$BA13/Calcule!$AY13)</f>
        <v/>
      </c>
      <c r="I13" s="59" t="str">
        <f>IF(Calcule!$AY13="","",Calcule!$BB13/Calcule!$AY13)</f>
        <v/>
      </c>
      <c r="J13" s="59" t="str">
        <f>IF(Calcule!$BD13="","",Calcule!$BE13/Calcule!$BD13)</f>
        <v/>
      </c>
      <c r="K13" s="59" t="str">
        <f>IF(Calcule!$BD13="","",Calcule!$BF13/Calcule!$BD13)</f>
        <v/>
      </c>
      <c r="L13" s="59" t="str">
        <f>IF(Calcule!$BD13="","",Calcule!$BG13/Calcule!$BD13)</f>
        <v/>
      </c>
      <c r="M13" s="59" t="str">
        <f>IF(Calcule!$BI13="","",Calcule!$BJ13/Calcule!$BI13)</f>
        <v/>
      </c>
      <c r="N13" s="59" t="str">
        <f>IF(Calcule!$BI13="","",Calcule!$BK13/Calcule!$BI13)</f>
        <v/>
      </c>
      <c r="O13" s="59" t="str">
        <f>IF(Calcule!$BI13="","",Calcule!$BL13/Calcule!$BI13)</f>
        <v/>
      </c>
      <c r="P13" s="59" t="str">
        <f>IF(Calcule!$BN13="","",Calcule!$BO13/Calcule!$BN13)</f>
        <v/>
      </c>
      <c r="Q13" s="59" t="str">
        <f>IF(Calcule!$BN13="","",Calcule!$BP13/Calcule!$BN13)</f>
        <v/>
      </c>
      <c r="R13" s="59" t="str">
        <f>IF(Calcule!$BN13="","",Calcule!$BQ13/Calcule!$BN13)</f>
        <v/>
      </c>
      <c r="S13" s="59" t="str">
        <f>IF(Calcule!$BS13="","",Calcule!$BT13/Calcule!$BS13)</f>
        <v/>
      </c>
      <c r="T13" s="59" t="str">
        <f>IF(Calcule!$BS13="","",Calcule!$BU13/Calcule!$BS13)</f>
        <v/>
      </c>
      <c r="U13" s="59" t="str">
        <f>IF(Calcule!$BS13="","",Calcule!$BV13/Calcule!$BS13)</f>
        <v/>
      </c>
      <c r="V13" s="59" t="str">
        <f>IF(Calcule!$BX13="","",Calcule!$BY13/Calcule!$BX13)</f>
        <v/>
      </c>
      <c r="W13" s="59" t="str">
        <f>IF(Calcule!$BX13="","",Calcule!$BZ13/Calcule!$BX13)</f>
        <v/>
      </c>
      <c r="X13" s="59" t="str">
        <f>IF(Calcule!$BX13="","",Calcule!$CA13/Calcule!$BX13)</f>
        <v/>
      </c>
      <c r="Y13" s="49" t="str">
        <f>IF($A13="","",Calcule!$AX13)</f>
        <v/>
      </c>
      <c r="Z13" s="49" t="str">
        <f>IF($A13="","",Calcule!$BC13)</f>
        <v/>
      </c>
      <c r="AA13" s="49" t="str">
        <f>IF($A13="","",Calcule!$BH13)</f>
        <v/>
      </c>
      <c r="AB13" s="49" t="str">
        <f>IF($A13="","",Calcule!$BM13)</f>
        <v/>
      </c>
      <c r="AC13" s="49" t="str">
        <f>IF($A13="","",Calcule!$BR13)</f>
        <v/>
      </c>
      <c r="AD13" s="49" t="str">
        <f>IF($A13="","",Calcule!$BW13)</f>
        <v/>
      </c>
      <c r="AE13" s="49" t="str">
        <f>IF($A13="","",Calcule!$CB13)</f>
        <v/>
      </c>
    </row>
    <row r="14" spans="1:31" x14ac:dyDescent="0.2">
      <c r="A14" s="53" t="str">
        <f>IF(Calcule!$A14="","",Calcule!$A14)</f>
        <v/>
      </c>
      <c r="B14" s="55" t="str">
        <f>IF($A14="","",Calcule!$B14)</f>
        <v/>
      </c>
      <c r="C14" s="55" t="str">
        <f>IF($A14="","",Calcule!$C14)</f>
        <v/>
      </c>
      <c r="D14" s="59" t="str">
        <f>IF(Calcule!$AT14="","",Calcule!$AU14/Calcule!$AT14)</f>
        <v/>
      </c>
      <c r="E14" s="59" t="str">
        <f>IF(Calcule!$AT14="","",Calcule!$AV14/Calcule!$AT14)</f>
        <v/>
      </c>
      <c r="F14" s="59" t="str">
        <f>IF(Calcule!$AT14="","",Calcule!$AW14/Calcule!$AT14)</f>
        <v/>
      </c>
      <c r="G14" s="59" t="str">
        <f>IF(Calcule!$AY14="","",Calcule!$AZ14/Calcule!$AY14)</f>
        <v/>
      </c>
      <c r="H14" s="59" t="str">
        <f>IF(Calcule!$AY14="","",Calcule!$BA14/Calcule!$AY14)</f>
        <v/>
      </c>
      <c r="I14" s="59" t="str">
        <f>IF(Calcule!$AY14="","",Calcule!$BB14/Calcule!$AY14)</f>
        <v/>
      </c>
      <c r="J14" s="59" t="str">
        <f>IF(Calcule!$BD14="","",Calcule!$BE14/Calcule!$BD14)</f>
        <v/>
      </c>
      <c r="K14" s="59" t="str">
        <f>IF(Calcule!$BD14="","",Calcule!$BF14/Calcule!$BD14)</f>
        <v/>
      </c>
      <c r="L14" s="59" t="str">
        <f>IF(Calcule!$BD14="","",Calcule!$BG14/Calcule!$BD14)</f>
        <v/>
      </c>
      <c r="M14" s="59" t="str">
        <f>IF(Calcule!$BI14="","",Calcule!$BJ14/Calcule!$BI14)</f>
        <v/>
      </c>
      <c r="N14" s="59" t="str">
        <f>IF(Calcule!$BI14="","",Calcule!$BK14/Calcule!$BI14)</f>
        <v/>
      </c>
      <c r="O14" s="59" t="str">
        <f>IF(Calcule!$BI14="","",Calcule!$BL14/Calcule!$BI14)</f>
        <v/>
      </c>
      <c r="P14" s="59" t="str">
        <f>IF(Calcule!$BN14="","",Calcule!$BO14/Calcule!$BN14)</f>
        <v/>
      </c>
      <c r="Q14" s="59" t="str">
        <f>IF(Calcule!$BN14="","",Calcule!$BP14/Calcule!$BN14)</f>
        <v/>
      </c>
      <c r="R14" s="59" t="str">
        <f>IF(Calcule!$BN14="","",Calcule!$BQ14/Calcule!$BN14)</f>
        <v/>
      </c>
      <c r="S14" s="59" t="str">
        <f>IF(Calcule!$BS14="","",Calcule!$BT14/Calcule!$BS14)</f>
        <v/>
      </c>
      <c r="T14" s="59" t="str">
        <f>IF(Calcule!$BS14="","",Calcule!$BU14/Calcule!$BS14)</f>
        <v/>
      </c>
      <c r="U14" s="59" t="str">
        <f>IF(Calcule!$BS14="","",Calcule!$BV14/Calcule!$BS14)</f>
        <v/>
      </c>
      <c r="V14" s="59" t="str">
        <f>IF(Calcule!$BX14="","",Calcule!$BY14/Calcule!$BX14)</f>
        <v/>
      </c>
      <c r="W14" s="59" t="str">
        <f>IF(Calcule!$BX14="","",Calcule!$BZ14/Calcule!$BX14)</f>
        <v/>
      </c>
      <c r="X14" s="59" t="str">
        <f>IF(Calcule!$BX14="","",Calcule!$CA14/Calcule!$BX14)</f>
        <v/>
      </c>
      <c r="Y14" s="49" t="str">
        <f>IF($A14="","",Calcule!$AX14)</f>
        <v/>
      </c>
      <c r="Z14" s="49" t="str">
        <f>IF($A14="","",Calcule!$BC14)</f>
        <v/>
      </c>
      <c r="AA14" s="49" t="str">
        <f>IF($A14="","",Calcule!$BH14)</f>
        <v/>
      </c>
      <c r="AB14" s="49" t="str">
        <f>IF($A14="","",Calcule!$BM14)</f>
        <v/>
      </c>
      <c r="AC14" s="49" t="str">
        <f>IF($A14="","",Calcule!$BR14)</f>
        <v/>
      </c>
      <c r="AD14" s="49" t="str">
        <f>IF($A14="","",Calcule!$BW14)</f>
        <v/>
      </c>
      <c r="AE14" s="49" t="str">
        <f>IF($A14="","",Calcule!$CB14)</f>
        <v/>
      </c>
    </row>
    <row r="15" spans="1:31" x14ac:dyDescent="0.2">
      <c r="A15" s="53" t="str">
        <f>IF(Calcule!$A15="","",Calcule!$A15)</f>
        <v/>
      </c>
      <c r="B15" s="55" t="str">
        <f>IF($A15="","",Calcule!$B15)</f>
        <v/>
      </c>
      <c r="C15" s="55" t="str">
        <f>IF($A15="","",Calcule!$C15)</f>
        <v/>
      </c>
      <c r="D15" s="59" t="str">
        <f>IF(Calcule!$AT15="","",Calcule!$AU15/Calcule!$AT15)</f>
        <v/>
      </c>
      <c r="E15" s="59" t="str">
        <f>IF(Calcule!$AT15="","",Calcule!$AV15/Calcule!$AT15)</f>
        <v/>
      </c>
      <c r="F15" s="59" t="str">
        <f>IF(Calcule!$AT15="","",Calcule!$AW15/Calcule!$AT15)</f>
        <v/>
      </c>
      <c r="G15" s="59" t="str">
        <f>IF(Calcule!$AY15="","",Calcule!$AZ15/Calcule!$AY15)</f>
        <v/>
      </c>
      <c r="H15" s="59" t="str">
        <f>IF(Calcule!$AY15="","",Calcule!$BA15/Calcule!$AY15)</f>
        <v/>
      </c>
      <c r="I15" s="59" t="str">
        <f>IF(Calcule!$AY15="","",Calcule!$BB15/Calcule!$AY15)</f>
        <v/>
      </c>
      <c r="J15" s="59" t="str">
        <f>IF(Calcule!$BD15="","",Calcule!$BE15/Calcule!$BD15)</f>
        <v/>
      </c>
      <c r="K15" s="59" t="str">
        <f>IF(Calcule!$BD15="","",Calcule!$BF15/Calcule!$BD15)</f>
        <v/>
      </c>
      <c r="L15" s="59" t="str">
        <f>IF(Calcule!$BD15="","",Calcule!$BG15/Calcule!$BD15)</f>
        <v/>
      </c>
      <c r="M15" s="59" t="str">
        <f>IF(Calcule!$BI15="","",Calcule!$BJ15/Calcule!$BI15)</f>
        <v/>
      </c>
      <c r="N15" s="59" t="str">
        <f>IF(Calcule!$BI15="","",Calcule!$BK15/Calcule!$BI15)</f>
        <v/>
      </c>
      <c r="O15" s="59" t="str">
        <f>IF(Calcule!$BI15="","",Calcule!$BL15/Calcule!$BI15)</f>
        <v/>
      </c>
      <c r="P15" s="59" t="str">
        <f>IF(Calcule!$BN15="","",Calcule!$BO15/Calcule!$BN15)</f>
        <v/>
      </c>
      <c r="Q15" s="59" t="str">
        <f>IF(Calcule!$BN15="","",Calcule!$BP15/Calcule!$BN15)</f>
        <v/>
      </c>
      <c r="R15" s="59" t="str">
        <f>IF(Calcule!$BN15="","",Calcule!$BQ15/Calcule!$BN15)</f>
        <v/>
      </c>
      <c r="S15" s="59" t="str">
        <f>IF(Calcule!$BS15="","",Calcule!$BT15/Calcule!$BS15)</f>
        <v/>
      </c>
      <c r="T15" s="59" t="str">
        <f>IF(Calcule!$BS15="","",Calcule!$BU15/Calcule!$BS15)</f>
        <v/>
      </c>
      <c r="U15" s="59" t="str">
        <f>IF(Calcule!$BS15="","",Calcule!$BV15/Calcule!$BS15)</f>
        <v/>
      </c>
      <c r="V15" s="59" t="str">
        <f>IF(Calcule!$BX15="","",Calcule!$BY15/Calcule!$BX15)</f>
        <v/>
      </c>
      <c r="W15" s="59" t="str">
        <f>IF(Calcule!$BX15="","",Calcule!$BZ15/Calcule!$BX15)</f>
        <v/>
      </c>
      <c r="X15" s="59" t="str">
        <f>IF(Calcule!$BX15="","",Calcule!$CA15/Calcule!$BX15)</f>
        <v/>
      </c>
      <c r="Y15" s="49" t="str">
        <f>IF($A15="","",Calcule!$AX15)</f>
        <v/>
      </c>
      <c r="Z15" s="49" t="str">
        <f>IF($A15="","",Calcule!$BC15)</f>
        <v/>
      </c>
      <c r="AA15" s="49" t="str">
        <f>IF($A15="","",Calcule!$BH15)</f>
        <v/>
      </c>
      <c r="AB15" s="49" t="str">
        <f>IF($A15="","",Calcule!$BM15)</f>
        <v/>
      </c>
      <c r="AC15" s="49" t="str">
        <f>IF($A15="","",Calcule!$BR15)</f>
        <v/>
      </c>
      <c r="AD15" s="49" t="str">
        <f>IF($A15="","",Calcule!$BW15)</f>
        <v/>
      </c>
      <c r="AE15" s="49" t="str">
        <f>IF($A15="","",Calcule!$CB15)</f>
        <v/>
      </c>
    </row>
    <row r="16" spans="1:31" x14ac:dyDescent="0.2">
      <c r="A16" s="53" t="str">
        <f>IF(Calcule!$A16="","",Calcule!$A16)</f>
        <v/>
      </c>
      <c r="B16" s="55" t="str">
        <f>IF($A16="","",Calcule!$B16)</f>
        <v/>
      </c>
      <c r="C16" s="55" t="str">
        <f>IF($A16="","",Calcule!$C16)</f>
        <v/>
      </c>
      <c r="D16" s="59" t="str">
        <f>IF(Calcule!$AT16="","",Calcule!$AU16/Calcule!$AT16)</f>
        <v/>
      </c>
      <c r="E16" s="59" t="str">
        <f>IF(Calcule!$AT16="","",Calcule!$AV16/Calcule!$AT16)</f>
        <v/>
      </c>
      <c r="F16" s="59" t="str">
        <f>IF(Calcule!$AT16="","",Calcule!$AW16/Calcule!$AT16)</f>
        <v/>
      </c>
      <c r="G16" s="59" t="str">
        <f>IF(Calcule!$AY16="","",Calcule!$AZ16/Calcule!$AY16)</f>
        <v/>
      </c>
      <c r="H16" s="59" t="str">
        <f>IF(Calcule!$AY16="","",Calcule!$BA16/Calcule!$AY16)</f>
        <v/>
      </c>
      <c r="I16" s="59" t="str">
        <f>IF(Calcule!$AY16="","",Calcule!$BB16/Calcule!$AY16)</f>
        <v/>
      </c>
      <c r="J16" s="59" t="str">
        <f>IF(Calcule!$BD16="","",Calcule!$BE16/Calcule!$BD16)</f>
        <v/>
      </c>
      <c r="K16" s="59" t="str">
        <f>IF(Calcule!$BD16="","",Calcule!$BF16/Calcule!$BD16)</f>
        <v/>
      </c>
      <c r="L16" s="59" t="str">
        <f>IF(Calcule!$BD16="","",Calcule!$BG16/Calcule!$BD16)</f>
        <v/>
      </c>
      <c r="M16" s="59" t="str">
        <f>IF(Calcule!$BI16="","",Calcule!$BJ16/Calcule!$BI16)</f>
        <v/>
      </c>
      <c r="N16" s="59" t="str">
        <f>IF(Calcule!$BI16="","",Calcule!$BK16/Calcule!$BI16)</f>
        <v/>
      </c>
      <c r="O16" s="59" t="str">
        <f>IF(Calcule!$BI16="","",Calcule!$BL16/Calcule!$BI16)</f>
        <v/>
      </c>
      <c r="P16" s="59" t="str">
        <f>IF(Calcule!$BN16="","",Calcule!$BO16/Calcule!$BN16)</f>
        <v/>
      </c>
      <c r="Q16" s="59" t="str">
        <f>IF(Calcule!$BN16="","",Calcule!$BP16/Calcule!$BN16)</f>
        <v/>
      </c>
      <c r="R16" s="59" t="str">
        <f>IF(Calcule!$BN16="","",Calcule!$BQ16/Calcule!$BN16)</f>
        <v/>
      </c>
      <c r="S16" s="59" t="str">
        <f>IF(Calcule!$BS16="","",Calcule!$BT16/Calcule!$BS16)</f>
        <v/>
      </c>
      <c r="T16" s="59" t="str">
        <f>IF(Calcule!$BS16="","",Calcule!$BU16/Calcule!$BS16)</f>
        <v/>
      </c>
      <c r="U16" s="59" t="str">
        <f>IF(Calcule!$BS16="","",Calcule!$BV16/Calcule!$BS16)</f>
        <v/>
      </c>
      <c r="V16" s="59" t="str">
        <f>IF(Calcule!$BX16="","",Calcule!$BY16/Calcule!$BX16)</f>
        <v/>
      </c>
      <c r="W16" s="59" t="str">
        <f>IF(Calcule!$BX16="","",Calcule!$BZ16/Calcule!$BX16)</f>
        <v/>
      </c>
      <c r="X16" s="59" t="str">
        <f>IF(Calcule!$BX16="","",Calcule!$CA16/Calcule!$BX16)</f>
        <v/>
      </c>
      <c r="Y16" s="49" t="str">
        <f>IF($A16="","",Calcule!$AX16)</f>
        <v/>
      </c>
      <c r="Z16" s="49" t="str">
        <f>IF($A16="","",Calcule!$BC16)</f>
        <v/>
      </c>
      <c r="AA16" s="49" t="str">
        <f>IF($A16="","",Calcule!$BH16)</f>
        <v/>
      </c>
      <c r="AB16" s="49" t="str">
        <f>IF($A16="","",Calcule!$BM16)</f>
        <v/>
      </c>
      <c r="AC16" s="49" t="str">
        <f>IF($A16="","",Calcule!$BR16)</f>
        <v/>
      </c>
      <c r="AD16" s="49" t="str">
        <f>IF($A16="","",Calcule!$BW16)</f>
        <v/>
      </c>
      <c r="AE16" s="49" t="str">
        <f>IF($A16="","",Calcule!$CB16)</f>
        <v/>
      </c>
    </row>
    <row r="17" spans="1:31" x14ac:dyDescent="0.2">
      <c r="A17" s="53" t="str">
        <f>IF(Calcule!$A17="","",Calcule!$A17)</f>
        <v/>
      </c>
      <c r="B17" s="55" t="str">
        <f>IF($A17="","",Calcule!$B17)</f>
        <v/>
      </c>
      <c r="C17" s="55" t="str">
        <f>IF($A17="","",Calcule!$C17)</f>
        <v/>
      </c>
      <c r="D17" s="59" t="str">
        <f>IF(Calcule!$AT17="","",Calcule!$AU17/Calcule!$AT17)</f>
        <v/>
      </c>
      <c r="E17" s="59" t="str">
        <f>IF(Calcule!$AT17="","",Calcule!$AV17/Calcule!$AT17)</f>
        <v/>
      </c>
      <c r="F17" s="59" t="str">
        <f>IF(Calcule!$AT17="","",Calcule!$AW17/Calcule!$AT17)</f>
        <v/>
      </c>
      <c r="G17" s="59" t="str">
        <f>IF(Calcule!$AY17="","",Calcule!$AZ17/Calcule!$AY17)</f>
        <v/>
      </c>
      <c r="H17" s="59" t="str">
        <f>IF(Calcule!$AY17="","",Calcule!$BA17/Calcule!$AY17)</f>
        <v/>
      </c>
      <c r="I17" s="59" t="str">
        <f>IF(Calcule!$AY17="","",Calcule!$BB17/Calcule!$AY17)</f>
        <v/>
      </c>
      <c r="J17" s="59" t="str">
        <f>IF(Calcule!$BD17="","",Calcule!$BE17/Calcule!$BD17)</f>
        <v/>
      </c>
      <c r="K17" s="59" t="str">
        <f>IF(Calcule!$BD17="","",Calcule!$BF17/Calcule!$BD17)</f>
        <v/>
      </c>
      <c r="L17" s="59" t="str">
        <f>IF(Calcule!$BD17="","",Calcule!$BG17/Calcule!$BD17)</f>
        <v/>
      </c>
      <c r="M17" s="59" t="str">
        <f>IF(Calcule!$BI17="","",Calcule!$BJ17/Calcule!$BI17)</f>
        <v/>
      </c>
      <c r="N17" s="59" t="str">
        <f>IF(Calcule!$BI17="","",Calcule!$BK17/Calcule!$BI17)</f>
        <v/>
      </c>
      <c r="O17" s="59" t="str">
        <f>IF(Calcule!$BI17="","",Calcule!$BL17/Calcule!$BI17)</f>
        <v/>
      </c>
      <c r="P17" s="59" t="str">
        <f>IF(Calcule!$BN17="","",Calcule!$BO17/Calcule!$BN17)</f>
        <v/>
      </c>
      <c r="Q17" s="59" t="str">
        <f>IF(Calcule!$BN17="","",Calcule!$BP17/Calcule!$BN17)</f>
        <v/>
      </c>
      <c r="R17" s="59" t="str">
        <f>IF(Calcule!$BN17="","",Calcule!$BQ17/Calcule!$BN17)</f>
        <v/>
      </c>
      <c r="S17" s="59" t="str">
        <f>IF(Calcule!$BS17="","",Calcule!$BT17/Calcule!$BS17)</f>
        <v/>
      </c>
      <c r="T17" s="59" t="str">
        <f>IF(Calcule!$BS17="","",Calcule!$BU17/Calcule!$BS17)</f>
        <v/>
      </c>
      <c r="U17" s="59" t="str">
        <f>IF(Calcule!$BS17="","",Calcule!$BV17/Calcule!$BS17)</f>
        <v/>
      </c>
      <c r="V17" s="59" t="str">
        <f>IF(Calcule!$BX17="","",Calcule!$BY17/Calcule!$BX17)</f>
        <v/>
      </c>
      <c r="W17" s="59" t="str">
        <f>IF(Calcule!$BX17="","",Calcule!$BZ17/Calcule!$BX17)</f>
        <v/>
      </c>
      <c r="X17" s="59" t="str">
        <f>IF(Calcule!$BX17="","",Calcule!$CA17/Calcule!$BX17)</f>
        <v/>
      </c>
      <c r="Y17" s="49" t="str">
        <f>IF($A17="","",Calcule!$AX17)</f>
        <v/>
      </c>
      <c r="Z17" s="49" t="str">
        <f>IF($A17="","",Calcule!$BC17)</f>
        <v/>
      </c>
      <c r="AA17" s="49" t="str">
        <f>IF($A17="","",Calcule!$BH17)</f>
        <v/>
      </c>
      <c r="AB17" s="49" t="str">
        <f>IF($A17="","",Calcule!$BM17)</f>
        <v/>
      </c>
      <c r="AC17" s="49" t="str">
        <f>IF($A17="","",Calcule!$BR17)</f>
        <v/>
      </c>
      <c r="AD17" s="49" t="str">
        <f>IF($A17="","",Calcule!$BW17)</f>
        <v/>
      </c>
      <c r="AE17" s="49" t="str">
        <f>IF($A17="","",Calcule!$CB17)</f>
        <v/>
      </c>
    </row>
    <row r="18" spans="1:31" x14ac:dyDescent="0.2">
      <c r="A18" s="53" t="str">
        <f>IF(Calcule!$A18="","",Calcule!$A18)</f>
        <v/>
      </c>
      <c r="B18" s="55" t="str">
        <f>IF($A18="","",Calcule!$B18)</f>
        <v/>
      </c>
      <c r="C18" s="55" t="str">
        <f>IF($A18="","",Calcule!$C18)</f>
        <v/>
      </c>
      <c r="D18" s="59" t="str">
        <f>IF(Calcule!$AT18="","",Calcule!$AU18/Calcule!$AT18)</f>
        <v/>
      </c>
      <c r="E18" s="59" t="str">
        <f>IF(Calcule!$AT18="","",Calcule!$AV18/Calcule!$AT18)</f>
        <v/>
      </c>
      <c r="F18" s="59" t="str">
        <f>IF(Calcule!$AT18="","",Calcule!$AW18/Calcule!$AT18)</f>
        <v/>
      </c>
      <c r="G18" s="59" t="str">
        <f>IF(Calcule!$AY18="","",Calcule!$AZ18/Calcule!$AY18)</f>
        <v/>
      </c>
      <c r="H18" s="59" t="str">
        <f>IF(Calcule!$AY18="","",Calcule!$BA18/Calcule!$AY18)</f>
        <v/>
      </c>
      <c r="I18" s="59" t="str">
        <f>IF(Calcule!$AY18="","",Calcule!$BB18/Calcule!$AY18)</f>
        <v/>
      </c>
      <c r="J18" s="59" t="str">
        <f>IF(Calcule!$BD18="","",Calcule!$BE18/Calcule!$BD18)</f>
        <v/>
      </c>
      <c r="K18" s="59" t="str">
        <f>IF(Calcule!$BD18="","",Calcule!$BF18/Calcule!$BD18)</f>
        <v/>
      </c>
      <c r="L18" s="59" t="str">
        <f>IF(Calcule!$BD18="","",Calcule!$BG18/Calcule!$BD18)</f>
        <v/>
      </c>
      <c r="M18" s="59" t="str">
        <f>IF(Calcule!$BI18="","",Calcule!$BJ18/Calcule!$BI18)</f>
        <v/>
      </c>
      <c r="N18" s="59" t="str">
        <f>IF(Calcule!$BI18="","",Calcule!$BK18/Calcule!$BI18)</f>
        <v/>
      </c>
      <c r="O18" s="59" t="str">
        <f>IF(Calcule!$BI18="","",Calcule!$BL18/Calcule!$BI18)</f>
        <v/>
      </c>
      <c r="P18" s="59" t="str">
        <f>IF(Calcule!$BN18="","",Calcule!$BO18/Calcule!$BN18)</f>
        <v/>
      </c>
      <c r="Q18" s="59" t="str">
        <f>IF(Calcule!$BN18="","",Calcule!$BP18/Calcule!$BN18)</f>
        <v/>
      </c>
      <c r="R18" s="59" t="str">
        <f>IF(Calcule!$BN18="","",Calcule!$BQ18/Calcule!$BN18)</f>
        <v/>
      </c>
      <c r="S18" s="59" t="str">
        <f>IF(Calcule!$BS18="","",Calcule!$BT18/Calcule!$BS18)</f>
        <v/>
      </c>
      <c r="T18" s="59" t="str">
        <f>IF(Calcule!$BS18="","",Calcule!$BU18/Calcule!$BS18)</f>
        <v/>
      </c>
      <c r="U18" s="59" t="str">
        <f>IF(Calcule!$BS18="","",Calcule!$BV18/Calcule!$BS18)</f>
        <v/>
      </c>
      <c r="V18" s="59" t="str">
        <f>IF(Calcule!$BX18="","",Calcule!$BY18/Calcule!$BX18)</f>
        <v/>
      </c>
      <c r="W18" s="59" t="str">
        <f>IF(Calcule!$BX18="","",Calcule!$BZ18/Calcule!$BX18)</f>
        <v/>
      </c>
      <c r="X18" s="59" t="str">
        <f>IF(Calcule!$BX18="","",Calcule!$CA18/Calcule!$BX18)</f>
        <v/>
      </c>
      <c r="Y18" s="49" t="str">
        <f>IF($A18="","",Calcule!$AX18)</f>
        <v/>
      </c>
      <c r="Z18" s="49" t="str">
        <f>IF($A18="","",Calcule!$BC18)</f>
        <v/>
      </c>
      <c r="AA18" s="49" t="str">
        <f>IF($A18="","",Calcule!$BH18)</f>
        <v/>
      </c>
      <c r="AB18" s="49" t="str">
        <f>IF($A18="","",Calcule!$BM18)</f>
        <v/>
      </c>
      <c r="AC18" s="49" t="str">
        <f>IF($A18="","",Calcule!$BR18)</f>
        <v/>
      </c>
      <c r="AD18" s="49" t="str">
        <f>IF($A18="","",Calcule!$BW18)</f>
        <v/>
      </c>
      <c r="AE18" s="49" t="str">
        <f>IF($A18="","",Calcule!$CB18)</f>
        <v/>
      </c>
    </row>
    <row r="19" spans="1:31" x14ac:dyDescent="0.2">
      <c r="A19" s="53" t="str">
        <f>IF(Calcule!$A19="","",Calcule!$A19)</f>
        <v/>
      </c>
      <c r="B19" s="55" t="str">
        <f>IF($A19="","",Calcule!$B19)</f>
        <v/>
      </c>
      <c r="C19" s="55" t="str">
        <f>IF($A19="","",Calcule!$C19)</f>
        <v/>
      </c>
      <c r="D19" s="59" t="str">
        <f>IF(Calcule!$AT19="","",Calcule!$AU19/Calcule!$AT19)</f>
        <v/>
      </c>
      <c r="E19" s="59" t="str">
        <f>IF(Calcule!$AT19="","",Calcule!$AV19/Calcule!$AT19)</f>
        <v/>
      </c>
      <c r="F19" s="59" t="str">
        <f>IF(Calcule!$AT19="","",Calcule!$AW19/Calcule!$AT19)</f>
        <v/>
      </c>
      <c r="G19" s="59" t="str">
        <f>IF(Calcule!$AY19="","",Calcule!$AZ19/Calcule!$AY19)</f>
        <v/>
      </c>
      <c r="H19" s="59" t="str">
        <f>IF(Calcule!$AY19="","",Calcule!$BA19/Calcule!$AY19)</f>
        <v/>
      </c>
      <c r="I19" s="59" t="str">
        <f>IF(Calcule!$AY19="","",Calcule!$BB19/Calcule!$AY19)</f>
        <v/>
      </c>
      <c r="J19" s="59" t="str">
        <f>IF(Calcule!$BD19="","",Calcule!$BE19/Calcule!$BD19)</f>
        <v/>
      </c>
      <c r="K19" s="59" t="str">
        <f>IF(Calcule!$BD19="","",Calcule!$BF19/Calcule!$BD19)</f>
        <v/>
      </c>
      <c r="L19" s="59" t="str">
        <f>IF(Calcule!$BD19="","",Calcule!$BG19/Calcule!$BD19)</f>
        <v/>
      </c>
      <c r="M19" s="59" t="str">
        <f>IF(Calcule!$BI19="","",Calcule!$BJ19/Calcule!$BI19)</f>
        <v/>
      </c>
      <c r="N19" s="59" t="str">
        <f>IF(Calcule!$BI19="","",Calcule!$BK19/Calcule!$BI19)</f>
        <v/>
      </c>
      <c r="O19" s="59" t="str">
        <f>IF(Calcule!$BI19="","",Calcule!$BL19/Calcule!$BI19)</f>
        <v/>
      </c>
      <c r="P19" s="59" t="str">
        <f>IF(Calcule!$BN19="","",Calcule!$BO19/Calcule!$BN19)</f>
        <v/>
      </c>
      <c r="Q19" s="59" t="str">
        <f>IF(Calcule!$BN19="","",Calcule!$BP19/Calcule!$BN19)</f>
        <v/>
      </c>
      <c r="R19" s="59" t="str">
        <f>IF(Calcule!$BN19="","",Calcule!$BQ19/Calcule!$BN19)</f>
        <v/>
      </c>
      <c r="S19" s="59" t="str">
        <f>IF(Calcule!$BS19="","",Calcule!$BT19/Calcule!$BS19)</f>
        <v/>
      </c>
      <c r="T19" s="59" t="str">
        <f>IF(Calcule!$BS19="","",Calcule!$BU19/Calcule!$BS19)</f>
        <v/>
      </c>
      <c r="U19" s="59" t="str">
        <f>IF(Calcule!$BS19="","",Calcule!$BV19/Calcule!$BS19)</f>
        <v/>
      </c>
      <c r="V19" s="59" t="str">
        <f>IF(Calcule!$BX19="","",Calcule!$BY19/Calcule!$BX19)</f>
        <v/>
      </c>
      <c r="W19" s="59" t="str">
        <f>IF(Calcule!$BX19="","",Calcule!$BZ19/Calcule!$BX19)</f>
        <v/>
      </c>
      <c r="X19" s="59" t="str">
        <f>IF(Calcule!$BX19="","",Calcule!$CA19/Calcule!$BX19)</f>
        <v/>
      </c>
      <c r="Y19" s="49" t="str">
        <f>IF($A19="","",Calcule!$AX19)</f>
        <v/>
      </c>
      <c r="Z19" s="49" t="str">
        <f>IF($A19="","",Calcule!$BC19)</f>
        <v/>
      </c>
      <c r="AA19" s="49" t="str">
        <f>IF($A19="","",Calcule!$BH19)</f>
        <v/>
      </c>
      <c r="AB19" s="49" t="str">
        <f>IF($A19="","",Calcule!$BM19)</f>
        <v/>
      </c>
      <c r="AC19" s="49" t="str">
        <f>IF($A19="","",Calcule!$BR19)</f>
        <v/>
      </c>
      <c r="AD19" s="49" t="str">
        <f>IF($A19="","",Calcule!$BW19)</f>
        <v/>
      </c>
      <c r="AE19" s="49" t="str">
        <f>IF($A19="","",Calcule!$CB19)</f>
        <v/>
      </c>
    </row>
    <row r="20" spans="1:31" x14ac:dyDescent="0.2">
      <c r="A20" s="53" t="str">
        <f>IF(Calcule!$A20="","",Calcule!$A20)</f>
        <v/>
      </c>
      <c r="B20" s="55" t="str">
        <f>IF($A20="","",Calcule!$B20)</f>
        <v/>
      </c>
      <c r="C20" s="55" t="str">
        <f>IF($A20="","",Calcule!$C20)</f>
        <v/>
      </c>
      <c r="D20" s="59" t="str">
        <f>IF(Calcule!$AT20="","",Calcule!$AU20/Calcule!$AT20)</f>
        <v/>
      </c>
      <c r="E20" s="59" t="str">
        <f>IF(Calcule!$AT20="","",Calcule!$AV20/Calcule!$AT20)</f>
        <v/>
      </c>
      <c r="F20" s="59" t="str">
        <f>IF(Calcule!$AT20="","",Calcule!$AW20/Calcule!$AT20)</f>
        <v/>
      </c>
      <c r="G20" s="59" t="str">
        <f>IF(Calcule!$AY20="","",Calcule!$AZ20/Calcule!$AY20)</f>
        <v/>
      </c>
      <c r="H20" s="59" t="str">
        <f>IF(Calcule!$AY20="","",Calcule!$BA20/Calcule!$AY20)</f>
        <v/>
      </c>
      <c r="I20" s="59" t="str">
        <f>IF(Calcule!$AY20="","",Calcule!$BB20/Calcule!$AY20)</f>
        <v/>
      </c>
      <c r="J20" s="59" t="str">
        <f>IF(Calcule!$BD20="","",Calcule!$BE20/Calcule!$BD20)</f>
        <v/>
      </c>
      <c r="K20" s="59" t="str">
        <f>IF(Calcule!$BD20="","",Calcule!$BF20/Calcule!$BD20)</f>
        <v/>
      </c>
      <c r="L20" s="59" t="str">
        <f>IF(Calcule!$BD20="","",Calcule!$BG20/Calcule!$BD20)</f>
        <v/>
      </c>
      <c r="M20" s="59" t="str">
        <f>IF(Calcule!$BI20="","",Calcule!$BJ20/Calcule!$BI20)</f>
        <v/>
      </c>
      <c r="N20" s="59" t="str">
        <f>IF(Calcule!$BI20="","",Calcule!$BK20/Calcule!$BI20)</f>
        <v/>
      </c>
      <c r="O20" s="59" t="str">
        <f>IF(Calcule!$BI20="","",Calcule!$BL20/Calcule!$BI20)</f>
        <v/>
      </c>
      <c r="P20" s="59" t="str">
        <f>IF(Calcule!$BN20="","",Calcule!$BO20/Calcule!$BN20)</f>
        <v/>
      </c>
      <c r="Q20" s="59" t="str">
        <f>IF(Calcule!$BN20="","",Calcule!$BP20/Calcule!$BN20)</f>
        <v/>
      </c>
      <c r="R20" s="59" t="str">
        <f>IF(Calcule!$BN20="","",Calcule!$BQ20/Calcule!$BN20)</f>
        <v/>
      </c>
      <c r="S20" s="59" t="str">
        <f>IF(Calcule!$BS20="","",Calcule!$BT20/Calcule!$BS20)</f>
        <v/>
      </c>
      <c r="T20" s="59" t="str">
        <f>IF(Calcule!$BS20="","",Calcule!$BU20/Calcule!$BS20)</f>
        <v/>
      </c>
      <c r="U20" s="59" t="str">
        <f>IF(Calcule!$BS20="","",Calcule!$BV20/Calcule!$BS20)</f>
        <v/>
      </c>
      <c r="V20" s="59" t="str">
        <f>IF(Calcule!$BX20="","",Calcule!$BY20/Calcule!$BX20)</f>
        <v/>
      </c>
      <c r="W20" s="59" t="str">
        <f>IF(Calcule!$BX20="","",Calcule!$BZ20/Calcule!$BX20)</f>
        <v/>
      </c>
      <c r="X20" s="59" t="str">
        <f>IF(Calcule!$BX20="","",Calcule!$CA20/Calcule!$BX20)</f>
        <v/>
      </c>
      <c r="Y20" s="49" t="str">
        <f>IF($A20="","",Calcule!$AX20)</f>
        <v/>
      </c>
      <c r="Z20" s="49" t="str">
        <f>IF($A20="","",Calcule!$BC20)</f>
        <v/>
      </c>
      <c r="AA20" s="49" t="str">
        <f>IF($A20="","",Calcule!$BH20)</f>
        <v/>
      </c>
      <c r="AB20" s="49" t="str">
        <f>IF($A20="","",Calcule!$BM20)</f>
        <v/>
      </c>
      <c r="AC20" s="49" t="str">
        <f>IF($A20="","",Calcule!$BR20)</f>
        <v/>
      </c>
      <c r="AD20" s="49" t="str">
        <f>IF($A20="","",Calcule!$BW20)</f>
        <v/>
      </c>
      <c r="AE20" s="49" t="str">
        <f>IF($A20="","",Calcule!$CB20)</f>
        <v/>
      </c>
    </row>
    <row r="21" spans="1:31" x14ac:dyDescent="0.2">
      <c r="A21" s="53" t="str">
        <f>IF(Calcule!$A21="","",Calcule!$A21)</f>
        <v/>
      </c>
      <c r="B21" s="55" t="str">
        <f>IF($A21="","",Calcule!$B21)</f>
        <v/>
      </c>
      <c r="C21" s="55" t="str">
        <f>IF($A21="","",Calcule!$C21)</f>
        <v/>
      </c>
      <c r="D21" s="59" t="str">
        <f>IF(Calcule!$AT21="","",Calcule!$AU21/Calcule!$AT21)</f>
        <v/>
      </c>
      <c r="E21" s="59" t="str">
        <f>IF(Calcule!$AT21="","",Calcule!$AV21/Calcule!$AT21)</f>
        <v/>
      </c>
      <c r="F21" s="59" t="str">
        <f>IF(Calcule!$AT21="","",Calcule!$AW21/Calcule!$AT21)</f>
        <v/>
      </c>
      <c r="G21" s="59" t="str">
        <f>IF(Calcule!$AY21="","",Calcule!$AZ21/Calcule!$AY21)</f>
        <v/>
      </c>
      <c r="H21" s="59" t="str">
        <f>IF(Calcule!$AY21="","",Calcule!$BA21/Calcule!$AY21)</f>
        <v/>
      </c>
      <c r="I21" s="59" t="str">
        <f>IF(Calcule!$AY21="","",Calcule!$BB21/Calcule!$AY21)</f>
        <v/>
      </c>
      <c r="J21" s="59" t="str">
        <f>IF(Calcule!$BD21="","",Calcule!$BE21/Calcule!$BD21)</f>
        <v/>
      </c>
      <c r="K21" s="59" t="str">
        <f>IF(Calcule!$BD21="","",Calcule!$BF21/Calcule!$BD21)</f>
        <v/>
      </c>
      <c r="L21" s="59" t="str">
        <f>IF(Calcule!$BD21="","",Calcule!$BG21/Calcule!$BD21)</f>
        <v/>
      </c>
      <c r="M21" s="59" t="str">
        <f>IF(Calcule!$BI21="","",Calcule!$BJ21/Calcule!$BI21)</f>
        <v/>
      </c>
      <c r="N21" s="59" t="str">
        <f>IF(Calcule!$BI21="","",Calcule!$BK21/Calcule!$BI21)</f>
        <v/>
      </c>
      <c r="O21" s="59" t="str">
        <f>IF(Calcule!$BI21="","",Calcule!$BL21/Calcule!$BI21)</f>
        <v/>
      </c>
      <c r="P21" s="59" t="str">
        <f>IF(Calcule!$BN21="","",Calcule!$BO21/Calcule!$BN21)</f>
        <v/>
      </c>
      <c r="Q21" s="59" t="str">
        <f>IF(Calcule!$BN21="","",Calcule!$BP21/Calcule!$BN21)</f>
        <v/>
      </c>
      <c r="R21" s="59" t="str">
        <f>IF(Calcule!$BN21="","",Calcule!$BQ21/Calcule!$BN21)</f>
        <v/>
      </c>
      <c r="S21" s="59" t="str">
        <f>IF(Calcule!$BS21="","",Calcule!$BT21/Calcule!$BS21)</f>
        <v/>
      </c>
      <c r="T21" s="59" t="str">
        <f>IF(Calcule!$BS21="","",Calcule!$BU21/Calcule!$BS21)</f>
        <v/>
      </c>
      <c r="U21" s="59" t="str">
        <f>IF(Calcule!$BS21="","",Calcule!$BV21/Calcule!$BS21)</f>
        <v/>
      </c>
      <c r="V21" s="59" t="str">
        <f>IF(Calcule!$BX21="","",Calcule!$BY21/Calcule!$BX21)</f>
        <v/>
      </c>
      <c r="W21" s="59" t="str">
        <f>IF(Calcule!$BX21="","",Calcule!$BZ21/Calcule!$BX21)</f>
        <v/>
      </c>
      <c r="X21" s="59" t="str">
        <f>IF(Calcule!$BX21="","",Calcule!$CA21/Calcule!$BX21)</f>
        <v/>
      </c>
      <c r="Y21" s="49" t="str">
        <f>IF($A21="","",Calcule!$AX21)</f>
        <v/>
      </c>
      <c r="Z21" s="49" t="str">
        <f>IF($A21="","",Calcule!$BC21)</f>
        <v/>
      </c>
      <c r="AA21" s="49" t="str">
        <f>IF($A21="","",Calcule!$BH21)</f>
        <v/>
      </c>
      <c r="AB21" s="49" t="str">
        <f>IF($A21="","",Calcule!$BM21)</f>
        <v/>
      </c>
      <c r="AC21" s="49" t="str">
        <f>IF($A21="","",Calcule!$BR21)</f>
        <v/>
      </c>
      <c r="AD21" s="49" t="str">
        <f>IF($A21="","",Calcule!$BW21)</f>
        <v/>
      </c>
      <c r="AE21" s="49" t="str">
        <f>IF($A21="","",Calcule!$CB21)</f>
        <v/>
      </c>
    </row>
    <row r="22" spans="1:31" x14ac:dyDescent="0.2">
      <c r="A22" s="53" t="str">
        <f>IF(Calcule!$A22="","",Calcule!$A22)</f>
        <v/>
      </c>
      <c r="B22" s="55" t="str">
        <f>IF($A22="","",Calcule!$B22)</f>
        <v/>
      </c>
      <c r="C22" s="55" t="str">
        <f>IF($A22="","",Calcule!$C22)</f>
        <v/>
      </c>
      <c r="D22" s="59" t="str">
        <f>IF(Calcule!$AT22="","",Calcule!$AU22/Calcule!$AT22)</f>
        <v/>
      </c>
      <c r="E22" s="59" t="str">
        <f>IF(Calcule!$AT22="","",Calcule!$AV22/Calcule!$AT22)</f>
        <v/>
      </c>
      <c r="F22" s="59" t="str">
        <f>IF(Calcule!$AT22="","",Calcule!$AW22/Calcule!$AT22)</f>
        <v/>
      </c>
      <c r="G22" s="59" t="str">
        <f>IF(Calcule!$AY22="","",Calcule!$AZ22/Calcule!$AY22)</f>
        <v/>
      </c>
      <c r="H22" s="59" t="str">
        <f>IF(Calcule!$AY22="","",Calcule!$BA22/Calcule!$AY22)</f>
        <v/>
      </c>
      <c r="I22" s="59" t="str">
        <f>IF(Calcule!$AY22="","",Calcule!$BB22/Calcule!$AY22)</f>
        <v/>
      </c>
      <c r="J22" s="59" t="str">
        <f>IF(Calcule!$BD22="","",Calcule!$BE22/Calcule!$BD22)</f>
        <v/>
      </c>
      <c r="K22" s="59" t="str">
        <f>IF(Calcule!$BD22="","",Calcule!$BF22/Calcule!$BD22)</f>
        <v/>
      </c>
      <c r="L22" s="59" t="str">
        <f>IF(Calcule!$BD22="","",Calcule!$BG22/Calcule!$BD22)</f>
        <v/>
      </c>
      <c r="M22" s="59" t="str">
        <f>IF(Calcule!$BI22="","",Calcule!$BJ22/Calcule!$BI22)</f>
        <v/>
      </c>
      <c r="N22" s="59" t="str">
        <f>IF(Calcule!$BI22="","",Calcule!$BK22/Calcule!$BI22)</f>
        <v/>
      </c>
      <c r="O22" s="59" t="str">
        <f>IF(Calcule!$BI22="","",Calcule!$BL22/Calcule!$BI22)</f>
        <v/>
      </c>
      <c r="P22" s="59" t="str">
        <f>IF(Calcule!$BN22="","",Calcule!$BO22/Calcule!$BN22)</f>
        <v/>
      </c>
      <c r="Q22" s="59" t="str">
        <f>IF(Calcule!$BN22="","",Calcule!$BP22/Calcule!$BN22)</f>
        <v/>
      </c>
      <c r="R22" s="59" t="str">
        <f>IF(Calcule!$BN22="","",Calcule!$BQ22/Calcule!$BN22)</f>
        <v/>
      </c>
      <c r="S22" s="59" t="str">
        <f>IF(Calcule!$BS22="","",Calcule!$BT22/Calcule!$BS22)</f>
        <v/>
      </c>
      <c r="T22" s="59" t="str">
        <f>IF(Calcule!$BS22="","",Calcule!$BU22/Calcule!$BS22)</f>
        <v/>
      </c>
      <c r="U22" s="59" t="str">
        <f>IF(Calcule!$BS22="","",Calcule!$BV22/Calcule!$BS22)</f>
        <v/>
      </c>
      <c r="V22" s="59" t="str">
        <f>IF(Calcule!$BX22="","",Calcule!$BY22/Calcule!$BX22)</f>
        <v/>
      </c>
      <c r="W22" s="59" t="str">
        <f>IF(Calcule!$BX22="","",Calcule!$BZ22/Calcule!$BX22)</f>
        <v/>
      </c>
      <c r="X22" s="59" t="str">
        <f>IF(Calcule!$BX22="","",Calcule!$CA22/Calcule!$BX22)</f>
        <v/>
      </c>
      <c r="Y22" s="49" t="str">
        <f>IF($A22="","",Calcule!$AX22)</f>
        <v/>
      </c>
      <c r="Z22" s="49" t="str">
        <f>IF($A22="","",Calcule!$BC22)</f>
        <v/>
      </c>
      <c r="AA22" s="49" t="str">
        <f>IF($A22="","",Calcule!$BH22)</f>
        <v/>
      </c>
      <c r="AB22" s="49" t="str">
        <f>IF($A22="","",Calcule!$BM22)</f>
        <v/>
      </c>
      <c r="AC22" s="49" t="str">
        <f>IF($A22="","",Calcule!$BR22)</f>
        <v/>
      </c>
      <c r="AD22" s="49" t="str">
        <f>IF($A22="","",Calcule!$BW22)</f>
        <v/>
      </c>
      <c r="AE22" s="49" t="str">
        <f>IF($A22="","",Calcule!$CB22)</f>
        <v/>
      </c>
    </row>
    <row r="23" spans="1:31" x14ac:dyDescent="0.2">
      <c r="A23" s="53" t="str">
        <f>IF(Calcule!$A23="","",Calcule!$A23)</f>
        <v/>
      </c>
      <c r="B23" s="55" t="str">
        <f>IF($A23="","",Calcule!$B23)</f>
        <v/>
      </c>
      <c r="C23" s="55" t="str">
        <f>IF($A23="","",Calcule!$C23)</f>
        <v/>
      </c>
      <c r="D23" s="59" t="str">
        <f>IF(Calcule!$AT23="","",Calcule!$AU23/Calcule!$AT23)</f>
        <v/>
      </c>
      <c r="E23" s="59" t="str">
        <f>IF(Calcule!$AT23="","",Calcule!$AV23/Calcule!$AT23)</f>
        <v/>
      </c>
      <c r="F23" s="59" t="str">
        <f>IF(Calcule!$AT23="","",Calcule!$AW23/Calcule!$AT23)</f>
        <v/>
      </c>
      <c r="G23" s="59" t="str">
        <f>IF(Calcule!$AY23="","",Calcule!$AZ23/Calcule!$AY23)</f>
        <v/>
      </c>
      <c r="H23" s="59" t="str">
        <f>IF(Calcule!$AY23="","",Calcule!$BA23/Calcule!$AY23)</f>
        <v/>
      </c>
      <c r="I23" s="59" t="str">
        <f>IF(Calcule!$AY23="","",Calcule!$BB23/Calcule!$AY23)</f>
        <v/>
      </c>
      <c r="J23" s="59" t="str">
        <f>IF(Calcule!$BD23="","",Calcule!$BE23/Calcule!$BD23)</f>
        <v/>
      </c>
      <c r="K23" s="59" t="str">
        <f>IF(Calcule!$BD23="","",Calcule!$BF23/Calcule!$BD23)</f>
        <v/>
      </c>
      <c r="L23" s="59" t="str">
        <f>IF(Calcule!$BD23="","",Calcule!$BG23/Calcule!$BD23)</f>
        <v/>
      </c>
      <c r="M23" s="59" t="str">
        <f>IF(Calcule!$BI23="","",Calcule!$BJ23/Calcule!$BI23)</f>
        <v/>
      </c>
      <c r="N23" s="59" t="str">
        <f>IF(Calcule!$BI23="","",Calcule!$BK23/Calcule!$BI23)</f>
        <v/>
      </c>
      <c r="O23" s="59" t="str">
        <f>IF(Calcule!$BI23="","",Calcule!$BL23/Calcule!$BI23)</f>
        <v/>
      </c>
      <c r="P23" s="59" t="str">
        <f>IF(Calcule!$BN23="","",Calcule!$BO23/Calcule!$BN23)</f>
        <v/>
      </c>
      <c r="Q23" s="59" t="str">
        <f>IF(Calcule!$BN23="","",Calcule!$BP23/Calcule!$BN23)</f>
        <v/>
      </c>
      <c r="R23" s="59" t="str">
        <f>IF(Calcule!$BN23="","",Calcule!$BQ23/Calcule!$BN23)</f>
        <v/>
      </c>
      <c r="S23" s="59" t="str">
        <f>IF(Calcule!$BS23="","",Calcule!$BT23/Calcule!$BS23)</f>
        <v/>
      </c>
      <c r="T23" s="59" t="str">
        <f>IF(Calcule!$BS23="","",Calcule!$BU23/Calcule!$BS23)</f>
        <v/>
      </c>
      <c r="U23" s="59" t="str">
        <f>IF(Calcule!$BS23="","",Calcule!$BV23/Calcule!$BS23)</f>
        <v/>
      </c>
      <c r="V23" s="59" t="str">
        <f>IF(Calcule!$BX23="","",Calcule!$BY23/Calcule!$BX23)</f>
        <v/>
      </c>
      <c r="W23" s="59" t="str">
        <f>IF(Calcule!$BX23="","",Calcule!$BZ23/Calcule!$BX23)</f>
        <v/>
      </c>
      <c r="X23" s="59" t="str">
        <f>IF(Calcule!$BX23="","",Calcule!$CA23/Calcule!$BX23)</f>
        <v/>
      </c>
      <c r="Y23" s="49" t="str">
        <f>IF($A23="","",Calcule!$AX23)</f>
        <v/>
      </c>
      <c r="Z23" s="49" t="str">
        <f>IF($A23="","",Calcule!$BC23)</f>
        <v/>
      </c>
      <c r="AA23" s="49" t="str">
        <f>IF($A23="","",Calcule!$BH23)</f>
        <v/>
      </c>
      <c r="AB23" s="49" t="str">
        <f>IF($A23="","",Calcule!$BM23)</f>
        <v/>
      </c>
      <c r="AC23" s="49" t="str">
        <f>IF($A23="","",Calcule!$BR23)</f>
        <v/>
      </c>
      <c r="AD23" s="49" t="str">
        <f>IF($A23="","",Calcule!$BW23)</f>
        <v/>
      </c>
      <c r="AE23" s="49" t="str">
        <f>IF($A23="","",Calcule!$CB23)</f>
        <v/>
      </c>
    </row>
    <row r="24" spans="1:31" x14ac:dyDescent="0.2">
      <c r="A24" s="53" t="str">
        <f>IF(Calcule!$A24="","",Calcule!$A24)</f>
        <v/>
      </c>
      <c r="B24" s="55" t="str">
        <f>IF($A24="","",Calcule!$B24)</f>
        <v/>
      </c>
      <c r="C24" s="55" t="str">
        <f>IF($A24="","",Calcule!$C24)</f>
        <v/>
      </c>
      <c r="D24" s="59" t="str">
        <f>IF(Calcule!$AT24="","",Calcule!$AU24/Calcule!$AT24)</f>
        <v/>
      </c>
      <c r="E24" s="59" t="str">
        <f>IF(Calcule!$AT24="","",Calcule!$AV24/Calcule!$AT24)</f>
        <v/>
      </c>
      <c r="F24" s="59" t="str">
        <f>IF(Calcule!$AT24="","",Calcule!$AW24/Calcule!$AT24)</f>
        <v/>
      </c>
      <c r="G24" s="59" t="str">
        <f>IF(Calcule!$AY24="","",Calcule!$AZ24/Calcule!$AY24)</f>
        <v/>
      </c>
      <c r="H24" s="59" t="str">
        <f>IF(Calcule!$AY24="","",Calcule!$BA24/Calcule!$AY24)</f>
        <v/>
      </c>
      <c r="I24" s="59" t="str">
        <f>IF(Calcule!$AY24="","",Calcule!$BB24/Calcule!$AY24)</f>
        <v/>
      </c>
      <c r="J24" s="59" t="str">
        <f>IF(Calcule!$BD24="","",Calcule!$BE24/Calcule!$BD24)</f>
        <v/>
      </c>
      <c r="K24" s="59" t="str">
        <f>IF(Calcule!$BD24="","",Calcule!$BF24/Calcule!$BD24)</f>
        <v/>
      </c>
      <c r="L24" s="59" t="str">
        <f>IF(Calcule!$BD24="","",Calcule!$BG24/Calcule!$BD24)</f>
        <v/>
      </c>
      <c r="M24" s="59" t="str">
        <f>IF(Calcule!$BI24="","",Calcule!$BJ24/Calcule!$BI24)</f>
        <v/>
      </c>
      <c r="N24" s="59" t="str">
        <f>IF(Calcule!$BI24="","",Calcule!$BK24/Calcule!$BI24)</f>
        <v/>
      </c>
      <c r="O24" s="59" t="str">
        <f>IF(Calcule!$BI24="","",Calcule!$BL24/Calcule!$BI24)</f>
        <v/>
      </c>
      <c r="P24" s="59" t="str">
        <f>IF(Calcule!$BN24="","",Calcule!$BO24/Calcule!$BN24)</f>
        <v/>
      </c>
      <c r="Q24" s="59" t="str">
        <f>IF(Calcule!$BN24="","",Calcule!$BP24/Calcule!$BN24)</f>
        <v/>
      </c>
      <c r="R24" s="59" t="str">
        <f>IF(Calcule!$BN24="","",Calcule!$BQ24/Calcule!$BN24)</f>
        <v/>
      </c>
      <c r="S24" s="59" t="str">
        <f>IF(Calcule!$BS24="","",Calcule!$BT24/Calcule!$BS24)</f>
        <v/>
      </c>
      <c r="T24" s="59" t="str">
        <f>IF(Calcule!$BS24="","",Calcule!$BU24/Calcule!$BS24)</f>
        <v/>
      </c>
      <c r="U24" s="59" t="str">
        <f>IF(Calcule!$BS24="","",Calcule!$BV24/Calcule!$BS24)</f>
        <v/>
      </c>
      <c r="V24" s="59" t="str">
        <f>IF(Calcule!$BX24="","",Calcule!$BY24/Calcule!$BX24)</f>
        <v/>
      </c>
      <c r="W24" s="59" t="str">
        <f>IF(Calcule!$BX24="","",Calcule!$BZ24/Calcule!$BX24)</f>
        <v/>
      </c>
      <c r="X24" s="59" t="str">
        <f>IF(Calcule!$BX24="","",Calcule!$CA24/Calcule!$BX24)</f>
        <v/>
      </c>
      <c r="Y24" s="49" t="str">
        <f>IF($A24="","",Calcule!$AX24)</f>
        <v/>
      </c>
      <c r="Z24" s="49" t="str">
        <f>IF($A24="","",Calcule!$BC24)</f>
        <v/>
      </c>
      <c r="AA24" s="49" t="str">
        <f>IF($A24="","",Calcule!$BH24)</f>
        <v/>
      </c>
      <c r="AB24" s="49" t="str">
        <f>IF($A24="","",Calcule!$BM24)</f>
        <v/>
      </c>
      <c r="AC24" s="49" t="str">
        <f>IF($A24="","",Calcule!$BR24)</f>
        <v/>
      </c>
      <c r="AD24" s="49" t="str">
        <f>IF($A24="","",Calcule!$BW24)</f>
        <v/>
      </c>
      <c r="AE24" s="49" t="str">
        <f>IF($A24="","",Calcule!$CB24)</f>
        <v/>
      </c>
    </row>
    <row r="25" spans="1:31" x14ac:dyDescent="0.2">
      <c r="A25" s="53" t="str">
        <f>IF(Calcule!$A25="","",Calcule!$A25)</f>
        <v/>
      </c>
      <c r="B25" s="55" t="str">
        <f>IF($A25="","",Calcule!$B25)</f>
        <v/>
      </c>
      <c r="C25" s="55" t="str">
        <f>IF($A25="","",Calcule!$C25)</f>
        <v/>
      </c>
      <c r="D25" s="59" t="str">
        <f>IF(Calcule!$AT25="","",Calcule!$AU25/Calcule!$AT25)</f>
        <v/>
      </c>
      <c r="E25" s="59" t="str">
        <f>IF(Calcule!$AT25="","",Calcule!$AV25/Calcule!$AT25)</f>
        <v/>
      </c>
      <c r="F25" s="59" t="str">
        <f>IF(Calcule!$AT25="","",Calcule!$AW25/Calcule!$AT25)</f>
        <v/>
      </c>
      <c r="G25" s="59" t="str">
        <f>IF(Calcule!$AY25="","",Calcule!$AZ25/Calcule!$AY25)</f>
        <v/>
      </c>
      <c r="H25" s="59" t="str">
        <f>IF(Calcule!$AY25="","",Calcule!$BA25/Calcule!$AY25)</f>
        <v/>
      </c>
      <c r="I25" s="59" t="str">
        <f>IF(Calcule!$AY25="","",Calcule!$BB25/Calcule!$AY25)</f>
        <v/>
      </c>
      <c r="J25" s="59" t="str">
        <f>IF(Calcule!$BD25="","",Calcule!$BE25/Calcule!$BD25)</f>
        <v/>
      </c>
      <c r="K25" s="59" t="str">
        <f>IF(Calcule!$BD25="","",Calcule!$BF25/Calcule!$BD25)</f>
        <v/>
      </c>
      <c r="L25" s="59" t="str">
        <f>IF(Calcule!$BD25="","",Calcule!$BG25/Calcule!$BD25)</f>
        <v/>
      </c>
      <c r="M25" s="59" t="str">
        <f>IF(Calcule!$BI25="","",Calcule!$BJ25/Calcule!$BI25)</f>
        <v/>
      </c>
      <c r="N25" s="59" t="str">
        <f>IF(Calcule!$BI25="","",Calcule!$BK25/Calcule!$BI25)</f>
        <v/>
      </c>
      <c r="O25" s="59" t="str">
        <f>IF(Calcule!$BI25="","",Calcule!$BL25/Calcule!$BI25)</f>
        <v/>
      </c>
      <c r="P25" s="59" t="str">
        <f>IF(Calcule!$BN25="","",Calcule!$BO25/Calcule!$BN25)</f>
        <v/>
      </c>
      <c r="Q25" s="59" t="str">
        <f>IF(Calcule!$BN25="","",Calcule!$BP25/Calcule!$BN25)</f>
        <v/>
      </c>
      <c r="R25" s="59" t="str">
        <f>IF(Calcule!$BN25="","",Calcule!$BQ25/Calcule!$BN25)</f>
        <v/>
      </c>
      <c r="S25" s="59" t="str">
        <f>IF(Calcule!$BS25="","",Calcule!$BT25/Calcule!$BS25)</f>
        <v/>
      </c>
      <c r="T25" s="59" t="str">
        <f>IF(Calcule!$BS25="","",Calcule!$BU25/Calcule!$BS25)</f>
        <v/>
      </c>
      <c r="U25" s="59" t="str">
        <f>IF(Calcule!$BS25="","",Calcule!$BV25/Calcule!$BS25)</f>
        <v/>
      </c>
      <c r="V25" s="59" t="str">
        <f>IF(Calcule!$BX25="","",Calcule!$BY25/Calcule!$BX25)</f>
        <v/>
      </c>
      <c r="W25" s="59" t="str">
        <f>IF(Calcule!$BX25="","",Calcule!$BZ25/Calcule!$BX25)</f>
        <v/>
      </c>
      <c r="X25" s="59" t="str">
        <f>IF(Calcule!$BX25="","",Calcule!$CA25/Calcule!$BX25)</f>
        <v/>
      </c>
      <c r="Y25" s="49" t="str">
        <f>IF($A25="","",Calcule!$AX25)</f>
        <v/>
      </c>
      <c r="Z25" s="49" t="str">
        <f>IF($A25="","",Calcule!$BC25)</f>
        <v/>
      </c>
      <c r="AA25" s="49" t="str">
        <f>IF($A25="","",Calcule!$BH25)</f>
        <v/>
      </c>
      <c r="AB25" s="49" t="str">
        <f>IF($A25="","",Calcule!$BM25)</f>
        <v/>
      </c>
      <c r="AC25" s="49" t="str">
        <f>IF($A25="","",Calcule!$BR25)</f>
        <v/>
      </c>
      <c r="AD25" s="49" t="str">
        <f>IF($A25="","",Calcule!$BW25)</f>
        <v/>
      </c>
      <c r="AE25" s="49" t="str">
        <f>IF($A25="","",Calcule!$CB25)</f>
        <v/>
      </c>
    </row>
    <row r="26" spans="1:31" x14ac:dyDescent="0.2">
      <c r="A26" s="53" t="str">
        <f>IF(Calcule!$A26="","",Calcule!$A26)</f>
        <v/>
      </c>
      <c r="B26" s="55" t="str">
        <f>IF($A26="","",Calcule!$B26)</f>
        <v/>
      </c>
      <c r="C26" s="55" t="str">
        <f>IF($A26="","",Calcule!$C26)</f>
        <v/>
      </c>
      <c r="D26" s="59" t="str">
        <f>IF(Calcule!$AT26="","",Calcule!$AU26/Calcule!$AT26)</f>
        <v/>
      </c>
      <c r="E26" s="59" t="str">
        <f>IF(Calcule!$AT26="","",Calcule!$AV26/Calcule!$AT26)</f>
        <v/>
      </c>
      <c r="F26" s="59" t="str">
        <f>IF(Calcule!$AT26="","",Calcule!$AW26/Calcule!$AT26)</f>
        <v/>
      </c>
      <c r="G26" s="59" t="str">
        <f>IF(Calcule!$AY26="","",Calcule!$AZ26/Calcule!$AY26)</f>
        <v/>
      </c>
      <c r="H26" s="59" t="str">
        <f>IF(Calcule!$AY26="","",Calcule!$BA26/Calcule!$AY26)</f>
        <v/>
      </c>
      <c r="I26" s="59" t="str">
        <f>IF(Calcule!$AY26="","",Calcule!$BB26/Calcule!$AY26)</f>
        <v/>
      </c>
      <c r="J26" s="59" t="str">
        <f>IF(Calcule!$BD26="","",Calcule!$BE26/Calcule!$BD26)</f>
        <v/>
      </c>
      <c r="K26" s="59" t="str">
        <f>IF(Calcule!$BD26="","",Calcule!$BF26/Calcule!$BD26)</f>
        <v/>
      </c>
      <c r="L26" s="59" t="str">
        <f>IF(Calcule!$BD26="","",Calcule!$BG26/Calcule!$BD26)</f>
        <v/>
      </c>
      <c r="M26" s="59" t="str">
        <f>IF(Calcule!$BI26="","",Calcule!$BJ26/Calcule!$BI26)</f>
        <v/>
      </c>
      <c r="N26" s="59" t="str">
        <f>IF(Calcule!$BI26="","",Calcule!$BK26/Calcule!$BI26)</f>
        <v/>
      </c>
      <c r="O26" s="59" t="str">
        <f>IF(Calcule!$BI26="","",Calcule!$BL26/Calcule!$BI26)</f>
        <v/>
      </c>
      <c r="P26" s="59" t="str">
        <f>IF(Calcule!$BN26="","",Calcule!$BO26/Calcule!$BN26)</f>
        <v/>
      </c>
      <c r="Q26" s="59" t="str">
        <f>IF(Calcule!$BN26="","",Calcule!$BP26/Calcule!$BN26)</f>
        <v/>
      </c>
      <c r="R26" s="59" t="str">
        <f>IF(Calcule!$BN26="","",Calcule!$BQ26/Calcule!$BN26)</f>
        <v/>
      </c>
      <c r="S26" s="59" t="str">
        <f>IF(Calcule!$BS26="","",Calcule!$BT26/Calcule!$BS26)</f>
        <v/>
      </c>
      <c r="T26" s="59" t="str">
        <f>IF(Calcule!$BS26="","",Calcule!$BU26/Calcule!$BS26)</f>
        <v/>
      </c>
      <c r="U26" s="59" t="str">
        <f>IF(Calcule!$BS26="","",Calcule!$BV26/Calcule!$BS26)</f>
        <v/>
      </c>
      <c r="V26" s="59" t="str">
        <f>IF(Calcule!$BX26="","",Calcule!$BY26/Calcule!$BX26)</f>
        <v/>
      </c>
      <c r="W26" s="59" t="str">
        <f>IF(Calcule!$BX26="","",Calcule!$BZ26/Calcule!$BX26)</f>
        <v/>
      </c>
      <c r="X26" s="59" t="str">
        <f>IF(Calcule!$BX26="","",Calcule!$CA26/Calcule!$BX26)</f>
        <v/>
      </c>
      <c r="Y26" s="49" t="str">
        <f>IF($A26="","",Calcule!$AX26)</f>
        <v/>
      </c>
      <c r="Z26" s="49" t="str">
        <f>IF($A26="","",Calcule!$BC26)</f>
        <v/>
      </c>
      <c r="AA26" s="49" t="str">
        <f>IF($A26="","",Calcule!$BH26)</f>
        <v/>
      </c>
      <c r="AB26" s="49" t="str">
        <f>IF($A26="","",Calcule!$BM26)</f>
        <v/>
      </c>
      <c r="AC26" s="49" t="str">
        <f>IF($A26="","",Calcule!$BR26)</f>
        <v/>
      </c>
      <c r="AD26" s="49" t="str">
        <f>IF($A26="","",Calcule!$BW26)</f>
        <v/>
      </c>
      <c r="AE26" s="49" t="str">
        <f>IF($A26="","",Calcule!$CB26)</f>
        <v/>
      </c>
    </row>
    <row r="27" spans="1:31" x14ac:dyDescent="0.2">
      <c r="A27" s="53" t="str">
        <f>IF(Calcule!$A27="","",Calcule!$A27)</f>
        <v/>
      </c>
      <c r="B27" s="55" t="str">
        <f>IF($A27="","",Calcule!$B27)</f>
        <v/>
      </c>
      <c r="C27" s="55" t="str">
        <f>IF($A27="","",Calcule!$C27)</f>
        <v/>
      </c>
      <c r="D27" s="59" t="str">
        <f>IF(Calcule!$AT27="","",Calcule!$AU27/Calcule!$AT27)</f>
        <v/>
      </c>
      <c r="E27" s="59" t="str">
        <f>IF(Calcule!$AT27="","",Calcule!$AV27/Calcule!$AT27)</f>
        <v/>
      </c>
      <c r="F27" s="59" t="str">
        <f>IF(Calcule!$AT27="","",Calcule!$AW27/Calcule!$AT27)</f>
        <v/>
      </c>
      <c r="G27" s="59" t="str">
        <f>IF(Calcule!$AY27="","",Calcule!$AZ27/Calcule!$AY27)</f>
        <v/>
      </c>
      <c r="H27" s="59" t="str">
        <f>IF(Calcule!$AY27="","",Calcule!$BA27/Calcule!$AY27)</f>
        <v/>
      </c>
      <c r="I27" s="59" t="str">
        <f>IF(Calcule!$AY27="","",Calcule!$BB27/Calcule!$AY27)</f>
        <v/>
      </c>
      <c r="J27" s="59" t="str">
        <f>IF(Calcule!$BD27="","",Calcule!$BE27/Calcule!$BD27)</f>
        <v/>
      </c>
      <c r="K27" s="59" t="str">
        <f>IF(Calcule!$BD27="","",Calcule!$BF27/Calcule!$BD27)</f>
        <v/>
      </c>
      <c r="L27" s="59" t="str">
        <f>IF(Calcule!$BD27="","",Calcule!$BG27/Calcule!$BD27)</f>
        <v/>
      </c>
      <c r="M27" s="59" t="str">
        <f>IF(Calcule!$BI27="","",Calcule!$BJ27/Calcule!$BI27)</f>
        <v/>
      </c>
      <c r="N27" s="59" t="str">
        <f>IF(Calcule!$BI27="","",Calcule!$BK27/Calcule!$BI27)</f>
        <v/>
      </c>
      <c r="O27" s="59" t="str">
        <f>IF(Calcule!$BI27="","",Calcule!$BL27/Calcule!$BI27)</f>
        <v/>
      </c>
      <c r="P27" s="59" t="str">
        <f>IF(Calcule!$BN27="","",Calcule!$BO27/Calcule!$BN27)</f>
        <v/>
      </c>
      <c r="Q27" s="59" t="str">
        <f>IF(Calcule!$BN27="","",Calcule!$BP27/Calcule!$BN27)</f>
        <v/>
      </c>
      <c r="R27" s="59" t="str">
        <f>IF(Calcule!$BN27="","",Calcule!$BQ27/Calcule!$BN27)</f>
        <v/>
      </c>
      <c r="S27" s="59" t="str">
        <f>IF(Calcule!$BS27="","",Calcule!$BT27/Calcule!$BS27)</f>
        <v/>
      </c>
      <c r="T27" s="59" t="str">
        <f>IF(Calcule!$BS27="","",Calcule!$BU27/Calcule!$BS27)</f>
        <v/>
      </c>
      <c r="U27" s="59" t="str">
        <f>IF(Calcule!$BS27="","",Calcule!$BV27/Calcule!$BS27)</f>
        <v/>
      </c>
      <c r="V27" s="59" t="str">
        <f>IF(Calcule!$BX27="","",Calcule!$BY27/Calcule!$BX27)</f>
        <v/>
      </c>
      <c r="W27" s="59" t="str">
        <f>IF(Calcule!$BX27="","",Calcule!$BZ27/Calcule!$BX27)</f>
        <v/>
      </c>
      <c r="X27" s="59" t="str">
        <f>IF(Calcule!$BX27="","",Calcule!$CA27/Calcule!$BX27)</f>
        <v/>
      </c>
      <c r="Y27" s="49" t="str">
        <f>IF($A27="","",Calcule!$AX27)</f>
        <v/>
      </c>
      <c r="Z27" s="49" t="str">
        <f>IF($A27="","",Calcule!$BC27)</f>
        <v/>
      </c>
      <c r="AA27" s="49" t="str">
        <f>IF($A27="","",Calcule!$BH27)</f>
        <v/>
      </c>
      <c r="AB27" s="49" t="str">
        <f>IF($A27="","",Calcule!$BM27)</f>
        <v/>
      </c>
      <c r="AC27" s="49" t="str">
        <f>IF($A27="","",Calcule!$BR27)</f>
        <v/>
      </c>
      <c r="AD27" s="49" t="str">
        <f>IF($A27="","",Calcule!$BW27)</f>
        <v/>
      </c>
      <c r="AE27" s="49" t="str">
        <f>IF($A27="","",Calcule!$CB27)</f>
        <v/>
      </c>
    </row>
    <row r="28" spans="1:31" x14ac:dyDescent="0.2">
      <c r="A28" s="53" t="str">
        <f>IF(Calcule!$A28="","",Calcule!$A28)</f>
        <v/>
      </c>
      <c r="B28" s="55" t="str">
        <f>IF($A28="","",Calcule!$B28)</f>
        <v/>
      </c>
      <c r="C28" s="55" t="str">
        <f>IF($A28="","",Calcule!$C28)</f>
        <v/>
      </c>
      <c r="D28" s="59" t="str">
        <f>IF(Calcule!$AT28="","",Calcule!$AU28/Calcule!$AT28)</f>
        <v/>
      </c>
      <c r="E28" s="59" t="str">
        <f>IF(Calcule!$AT28="","",Calcule!$AV28/Calcule!$AT28)</f>
        <v/>
      </c>
      <c r="F28" s="59" t="str">
        <f>IF(Calcule!$AT28="","",Calcule!$AW28/Calcule!$AT28)</f>
        <v/>
      </c>
      <c r="G28" s="59" t="str">
        <f>IF(Calcule!$AY28="","",Calcule!$AZ28/Calcule!$AY28)</f>
        <v/>
      </c>
      <c r="H28" s="59" t="str">
        <f>IF(Calcule!$AY28="","",Calcule!$BA28/Calcule!$AY28)</f>
        <v/>
      </c>
      <c r="I28" s="59" t="str">
        <f>IF(Calcule!$AY28="","",Calcule!$BB28/Calcule!$AY28)</f>
        <v/>
      </c>
      <c r="J28" s="59" t="str">
        <f>IF(Calcule!$BD28="","",Calcule!$BE28/Calcule!$BD28)</f>
        <v/>
      </c>
      <c r="K28" s="59" t="str">
        <f>IF(Calcule!$BD28="","",Calcule!$BF28/Calcule!$BD28)</f>
        <v/>
      </c>
      <c r="L28" s="59" t="str">
        <f>IF(Calcule!$BD28="","",Calcule!$BG28/Calcule!$BD28)</f>
        <v/>
      </c>
      <c r="M28" s="59" t="str">
        <f>IF(Calcule!$BI28="","",Calcule!$BJ28/Calcule!$BI28)</f>
        <v/>
      </c>
      <c r="N28" s="59" t="str">
        <f>IF(Calcule!$BI28="","",Calcule!$BK28/Calcule!$BI28)</f>
        <v/>
      </c>
      <c r="O28" s="59" t="str">
        <f>IF(Calcule!$BI28="","",Calcule!$BL28/Calcule!$BI28)</f>
        <v/>
      </c>
      <c r="P28" s="59" t="str">
        <f>IF(Calcule!$BN28="","",Calcule!$BO28/Calcule!$BN28)</f>
        <v/>
      </c>
      <c r="Q28" s="59" t="str">
        <f>IF(Calcule!$BN28="","",Calcule!$BP28/Calcule!$BN28)</f>
        <v/>
      </c>
      <c r="R28" s="59" t="str">
        <f>IF(Calcule!$BN28="","",Calcule!$BQ28/Calcule!$BN28)</f>
        <v/>
      </c>
      <c r="S28" s="59" t="str">
        <f>IF(Calcule!$BS28="","",Calcule!$BT28/Calcule!$BS28)</f>
        <v/>
      </c>
      <c r="T28" s="59" t="str">
        <f>IF(Calcule!$BS28="","",Calcule!$BU28/Calcule!$BS28)</f>
        <v/>
      </c>
      <c r="U28" s="59" t="str">
        <f>IF(Calcule!$BS28="","",Calcule!$BV28/Calcule!$BS28)</f>
        <v/>
      </c>
      <c r="V28" s="59" t="str">
        <f>IF(Calcule!$BX28="","",Calcule!$BY28/Calcule!$BX28)</f>
        <v/>
      </c>
      <c r="W28" s="59" t="str">
        <f>IF(Calcule!$BX28="","",Calcule!$BZ28/Calcule!$BX28)</f>
        <v/>
      </c>
      <c r="X28" s="59" t="str">
        <f>IF(Calcule!$BX28="","",Calcule!$CA28/Calcule!$BX28)</f>
        <v/>
      </c>
      <c r="Y28" s="49" t="str">
        <f>IF($A28="","",Calcule!$AX28)</f>
        <v/>
      </c>
      <c r="Z28" s="49" t="str">
        <f>IF($A28="","",Calcule!$BC28)</f>
        <v/>
      </c>
      <c r="AA28" s="49" t="str">
        <f>IF($A28="","",Calcule!$BH28)</f>
        <v/>
      </c>
      <c r="AB28" s="49" t="str">
        <f>IF($A28="","",Calcule!$BM28)</f>
        <v/>
      </c>
      <c r="AC28" s="49" t="str">
        <f>IF($A28="","",Calcule!$BR28)</f>
        <v/>
      </c>
      <c r="AD28" s="49" t="str">
        <f>IF($A28="","",Calcule!$BW28)</f>
        <v/>
      </c>
      <c r="AE28" s="49" t="str">
        <f>IF($A28="","",Calcule!$CB28)</f>
        <v/>
      </c>
    </row>
    <row r="29" spans="1:31" x14ac:dyDescent="0.2">
      <c r="A29" s="53" t="str">
        <f>IF(Calcule!$A29="","",Calcule!$A29)</f>
        <v/>
      </c>
      <c r="B29" s="55" t="str">
        <f>IF($A29="","",Calcule!$B29)</f>
        <v/>
      </c>
      <c r="C29" s="55" t="str">
        <f>IF($A29="","",Calcule!$C29)</f>
        <v/>
      </c>
      <c r="D29" s="59" t="str">
        <f>IF(Calcule!$AT29="","",Calcule!$AU29/Calcule!$AT29)</f>
        <v/>
      </c>
      <c r="E29" s="59" t="str">
        <f>IF(Calcule!$AT29="","",Calcule!$AV29/Calcule!$AT29)</f>
        <v/>
      </c>
      <c r="F29" s="59" t="str">
        <f>IF(Calcule!$AT29="","",Calcule!$AW29/Calcule!$AT29)</f>
        <v/>
      </c>
      <c r="G29" s="59" t="str">
        <f>IF(Calcule!$AY29="","",Calcule!$AZ29/Calcule!$AY29)</f>
        <v/>
      </c>
      <c r="H29" s="59" t="str">
        <f>IF(Calcule!$AY29="","",Calcule!$BA29/Calcule!$AY29)</f>
        <v/>
      </c>
      <c r="I29" s="59" t="str">
        <f>IF(Calcule!$AY29="","",Calcule!$BB29/Calcule!$AY29)</f>
        <v/>
      </c>
      <c r="J29" s="59" t="str">
        <f>IF(Calcule!$BD29="","",Calcule!$BE29/Calcule!$BD29)</f>
        <v/>
      </c>
      <c r="K29" s="59" t="str">
        <f>IF(Calcule!$BD29="","",Calcule!$BF29/Calcule!$BD29)</f>
        <v/>
      </c>
      <c r="L29" s="59" t="str">
        <f>IF(Calcule!$BD29="","",Calcule!$BG29/Calcule!$BD29)</f>
        <v/>
      </c>
      <c r="M29" s="59" t="str">
        <f>IF(Calcule!$BI29="","",Calcule!$BJ29/Calcule!$BI29)</f>
        <v/>
      </c>
      <c r="N29" s="59" t="str">
        <f>IF(Calcule!$BI29="","",Calcule!$BK29/Calcule!$BI29)</f>
        <v/>
      </c>
      <c r="O29" s="59" t="str">
        <f>IF(Calcule!$BI29="","",Calcule!$BL29/Calcule!$BI29)</f>
        <v/>
      </c>
      <c r="P29" s="59" t="str">
        <f>IF(Calcule!$BN29="","",Calcule!$BO29/Calcule!$BN29)</f>
        <v/>
      </c>
      <c r="Q29" s="59" t="str">
        <f>IF(Calcule!$BN29="","",Calcule!$BP29/Calcule!$BN29)</f>
        <v/>
      </c>
      <c r="R29" s="59" t="str">
        <f>IF(Calcule!$BN29="","",Calcule!$BQ29/Calcule!$BN29)</f>
        <v/>
      </c>
      <c r="S29" s="59" t="str">
        <f>IF(Calcule!$BS29="","",Calcule!$BT29/Calcule!$BS29)</f>
        <v/>
      </c>
      <c r="T29" s="59" t="str">
        <f>IF(Calcule!$BS29="","",Calcule!$BU29/Calcule!$BS29)</f>
        <v/>
      </c>
      <c r="U29" s="59" t="str">
        <f>IF(Calcule!$BS29="","",Calcule!$BV29/Calcule!$BS29)</f>
        <v/>
      </c>
      <c r="V29" s="59" t="str">
        <f>IF(Calcule!$BX29="","",Calcule!$BY29/Calcule!$BX29)</f>
        <v/>
      </c>
      <c r="W29" s="59" t="str">
        <f>IF(Calcule!$BX29="","",Calcule!$BZ29/Calcule!$BX29)</f>
        <v/>
      </c>
      <c r="X29" s="59" t="str">
        <f>IF(Calcule!$BX29="","",Calcule!$CA29/Calcule!$BX29)</f>
        <v/>
      </c>
      <c r="Y29" s="49" t="str">
        <f>IF($A29="","",Calcule!$AX29)</f>
        <v/>
      </c>
      <c r="Z29" s="49" t="str">
        <f>IF($A29="","",Calcule!$BC29)</f>
        <v/>
      </c>
      <c r="AA29" s="49" t="str">
        <f>IF($A29="","",Calcule!$BH29)</f>
        <v/>
      </c>
      <c r="AB29" s="49" t="str">
        <f>IF($A29="","",Calcule!$BM29)</f>
        <v/>
      </c>
      <c r="AC29" s="49" t="str">
        <f>IF($A29="","",Calcule!$BR29)</f>
        <v/>
      </c>
      <c r="AD29" s="49" t="str">
        <f>IF($A29="","",Calcule!$BW29)</f>
        <v/>
      </c>
      <c r="AE29" s="49" t="str">
        <f>IF($A29="","",Calcule!$CB29)</f>
        <v/>
      </c>
    </row>
    <row r="30" spans="1:31" x14ac:dyDescent="0.2">
      <c r="A30" s="53" t="str">
        <f>IF(Calcule!$A30="","",Calcule!$A30)</f>
        <v/>
      </c>
      <c r="B30" s="55" t="str">
        <f>IF($A30="","",Calcule!$B30)</f>
        <v/>
      </c>
      <c r="C30" s="55" t="str">
        <f>IF($A30="","",Calcule!$C30)</f>
        <v/>
      </c>
      <c r="D30" s="59" t="str">
        <f>IF(Calcule!$AT30="","",Calcule!$AU30/Calcule!$AT30)</f>
        <v/>
      </c>
      <c r="E30" s="59" t="str">
        <f>IF(Calcule!$AT30="","",Calcule!$AV30/Calcule!$AT30)</f>
        <v/>
      </c>
      <c r="F30" s="59" t="str">
        <f>IF(Calcule!$AT30="","",Calcule!$AW30/Calcule!$AT30)</f>
        <v/>
      </c>
      <c r="G30" s="59" t="str">
        <f>IF(Calcule!$AY30="","",Calcule!$AZ30/Calcule!$AY30)</f>
        <v/>
      </c>
      <c r="H30" s="59" t="str">
        <f>IF(Calcule!$AY30="","",Calcule!$BA30/Calcule!$AY30)</f>
        <v/>
      </c>
      <c r="I30" s="59" t="str">
        <f>IF(Calcule!$AY30="","",Calcule!$BB30/Calcule!$AY30)</f>
        <v/>
      </c>
      <c r="J30" s="59" t="str">
        <f>IF(Calcule!$BD30="","",Calcule!$BE30/Calcule!$BD30)</f>
        <v/>
      </c>
      <c r="K30" s="59" t="str">
        <f>IF(Calcule!$BD30="","",Calcule!$BF30/Calcule!$BD30)</f>
        <v/>
      </c>
      <c r="L30" s="59" t="str">
        <f>IF(Calcule!$BD30="","",Calcule!$BG30/Calcule!$BD30)</f>
        <v/>
      </c>
      <c r="M30" s="59" t="str">
        <f>IF(Calcule!$BI30="","",Calcule!$BJ30/Calcule!$BI30)</f>
        <v/>
      </c>
      <c r="N30" s="59" t="str">
        <f>IF(Calcule!$BI30="","",Calcule!$BK30/Calcule!$BI30)</f>
        <v/>
      </c>
      <c r="O30" s="59" t="str">
        <f>IF(Calcule!$BI30="","",Calcule!$BL30/Calcule!$BI30)</f>
        <v/>
      </c>
      <c r="P30" s="59" t="str">
        <f>IF(Calcule!$BN30="","",Calcule!$BO30/Calcule!$BN30)</f>
        <v/>
      </c>
      <c r="Q30" s="59" t="str">
        <f>IF(Calcule!$BN30="","",Calcule!$BP30/Calcule!$BN30)</f>
        <v/>
      </c>
      <c r="R30" s="59" t="str">
        <f>IF(Calcule!$BN30="","",Calcule!$BQ30/Calcule!$BN30)</f>
        <v/>
      </c>
      <c r="S30" s="59" t="str">
        <f>IF(Calcule!$BS30="","",Calcule!$BT30/Calcule!$BS30)</f>
        <v/>
      </c>
      <c r="T30" s="59" t="str">
        <f>IF(Calcule!$BS30="","",Calcule!$BU30/Calcule!$BS30)</f>
        <v/>
      </c>
      <c r="U30" s="59" t="str">
        <f>IF(Calcule!$BS30="","",Calcule!$BV30/Calcule!$BS30)</f>
        <v/>
      </c>
      <c r="V30" s="59" t="str">
        <f>IF(Calcule!$BX30="","",Calcule!$BY30/Calcule!$BX30)</f>
        <v/>
      </c>
      <c r="W30" s="59" t="str">
        <f>IF(Calcule!$BX30="","",Calcule!$BZ30/Calcule!$BX30)</f>
        <v/>
      </c>
      <c r="X30" s="59" t="str">
        <f>IF(Calcule!$BX30="","",Calcule!$CA30/Calcule!$BX30)</f>
        <v/>
      </c>
      <c r="Y30" s="49" t="str">
        <f>IF($A30="","",Calcule!$AX30)</f>
        <v/>
      </c>
      <c r="Z30" s="49" t="str">
        <f>IF($A30="","",Calcule!$BC30)</f>
        <v/>
      </c>
      <c r="AA30" s="49" t="str">
        <f>IF($A30="","",Calcule!$BH30)</f>
        <v/>
      </c>
      <c r="AB30" s="49" t="str">
        <f>IF($A30="","",Calcule!$BM30)</f>
        <v/>
      </c>
      <c r="AC30" s="49" t="str">
        <f>IF($A30="","",Calcule!$BR30)</f>
        <v/>
      </c>
      <c r="AD30" s="49" t="str">
        <f>IF($A30="","",Calcule!$BW30)</f>
        <v/>
      </c>
      <c r="AE30" s="49" t="str">
        <f>IF($A30="","",Calcule!$CB30)</f>
        <v/>
      </c>
    </row>
    <row r="31" spans="1:31" x14ac:dyDescent="0.2">
      <c r="A31" s="53" t="str">
        <f>IF(Calcule!$A31="","",Calcule!$A31)</f>
        <v/>
      </c>
      <c r="B31" s="55" t="str">
        <f>IF($A31="","",Calcule!$B31)</f>
        <v/>
      </c>
      <c r="C31" s="55" t="str">
        <f>IF($A31="","",Calcule!$C31)</f>
        <v/>
      </c>
      <c r="D31" s="59" t="str">
        <f>IF(Calcule!$AT31="","",Calcule!$AU31/Calcule!$AT31)</f>
        <v/>
      </c>
      <c r="E31" s="59" t="str">
        <f>IF(Calcule!$AT31="","",Calcule!$AV31/Calcule!$AT31)</f>
        <v/>
      </c>
      <c r="F31" s="59" t="str">
        <f>IF(Calcule!$AT31="","",Calcule!$AW31/Calcule!$AT31)</f>
        <v/>
      </c>
      <c r="G31" s="59" t="str">
        <f>IF(Calcule!$AY31="","",Calcule!$AZ31/Calcule!$AY31)</f>
        <v/>
      </c>
      <c r="H31" s="59" t="str">
        <f>IF(Calcule!$AY31="","",Calcule!$BA31/Calcule!$AY31)</f>
        <v/>
      </c>
      <c r="I31" s="59" t="str">
        <f>IF(Calcule!$AY31="","",Calcule!$BB31/Calcule!$AY31)</f>
        <v/>
      </c>
      <c r="J31" s="59" t="str">
        <f>IF(Calcule!$BD31="","",Calcule!$BE31/Calcule!$BD31)</f>
        <v/>
      </c>
      <c r="K31" s="59" t="str">
        <f>IF(Calcule!$BD31="","",Calcule!$BF31/Calcule!$BD31)</f>
        <v/>
      </c>
      <c r="L31" s="59" t="str">
        <f>IF(Calcule!$BD31="","",Calcule!$BG31/Calcule!$BD31)</f>
        <v/>
      </c>
      <c r="M31" s="59" t="str">
        <f>IF(Calcule!$BI31="","",Calcule!$BJ31/Calcule!$BI31)</f>
        <v/>
      </c>
      <c r="N31" s="59" t="str">
        <f>IF(Calcule!$BI31="","",Calcule!$BK31/Calcule!$BI31)</f>
        <v/>
      </c>
      <c r="O31" s="59" t="str">
        <f>IF(Calcule!$BI31="","",Calcule!$BL31/Calcule!$BI31)</f>
        <v/>
      </c>
      <c r="P31" s="59" t="str">
        <f>IF(Calcule!$BN31="","",Calcule!$BO31/Calcule!$BN31)</f>
        <v/>
      </c>
      <c r="Q31" s="59" t="str">
        <f>IF(Calcule!$BN31="","",Calcule!$BP31/Calcule!$BN31)</f>
        <v/>
      </c>
      <c r="R31" s="59" t="str">
        <f>IF(Calcule!$BN31="","",Calcule!$BQ31/Calcule!$BN31)</f>
        <v/>
      </c>
      <c r="S31" s="59" t="str">
        <f>IF(Calcule!$BS31="","",Calcule!$BT31/Calcule!$BS31)</f>
        <v/>
      </c>
      <c r="T31" s="59" t="str">
        <f>IF(Calcule!$BS31="","",Calcule!$BU31/Calcule!$BS31)</f>
        <v/>
      </c>
      <c r="U31" s="59" t="str">
        <f>IF(Calcule!$BS31="","",Calcule!$BV31/Calcule!$BS31)</f>
        <v/>
      </c>
      <c r="V31" s="59" t="str">
        <f>IF(Calcule!$BX31="","",Calcule!$BY31/Calcule!$BX31)</f>
        <v/>
      </c>
      <c r="W31" s="59" t="str">
        <f>IF(Calcule!$BX31="","",Calcule!$BZ31/Calcule!$BX31)</f>
        <v/>
      </c>
      <c r="X31" s="59" t="str">
        <f>IF(Calcule!$BX31="","",Calcule!$CA31/Calcule!$BX31)</f>
        <v/>
      </c>
      <c r="Y31" s="49" t="str">
        <f>IF($A31="","",Calcule!$AX31)</f>
        <v/>
      </c>
      <c r="Z31" s="49" t="str">
        <f>IF($A31="","",Calcule!$BC31)</f>
        <v/>
      </c>
      <c r="AA31" s="49" t="str">
        <f>IF($A31="","",Calcule!$BH31)</f>
        <v/>
      </c>
      <c r="AB31" s="49" t="str">
        <f>IF($A31="","",Calcule!$BM31)</f>
        <v/>
      </c>
      <c r="AC31" s="49" t="str">
        <f>IF($A31="","",Calcule!$BR31)</f>
        <v/>
      </c>
      <c r="AD31" s="49" t="str">
        <f>IF($A31="","",Calcule!$BW31)</f>
        <v/>
      </c>
      <c r="AE31" s="49" t="str">
        <f>IF($A31="","",Calcule!$CB31)</f>
        <v/>
      </c>
    </row>
    <row r="32" spans="1:31" x14ac:dyDescent="0.2">
      <c r="A32" s="53" t="str">
        <f>IF(Calcule!$A32="","",Calcule!$A32)</f>
        <v/>
      </c>
      <c r="B32" s="55" t="str">
        <f>IF($A32="","",Calcule!$B32)</f>
        <v/>
      </c>
      <c r="C32" s="55" t="str">
        <f>IF($A32="","",Calcule!$C32)</f>
        <v/>
      </c>
      <c r="D32" s="59" t="str">
        <f>IF(Calcule!$AT32="","",Calcule!$AU32/Calcule!$AT32)</f>
        <v/>
      </c>
      <c r="E32" s="59" t="str">
        <f>IF(Calcule!$AT32="","",Calcule!$AV32/Calcule!$AT32)</f>
        <v/>
      </c>
      <c r="F32" s="59" t="str">
        <f>IF(Calcule!$AT32="","",Calcule!$AW32/Calcule!$AT32)</f>
        <v/>
      </c>
      <c r="G32" s="59" t="str">
        <f>IF(Calcule!$AY32="","",Calcule!$AZ32/Calcule!$AY32)</f>
        <v/>
      </c>
      <c r="H32" s="59" t="str">
        <f>IF(Calcule!$AY32="","",Calcule!$BA32/Calcule!$AY32)</f>
        <v/>
      </c>
      <c r="I32" s="59" t="str">
        <f>IF(Calcule!$AY32="","",Calcule!$BB32/Calcule!$AY32)</f>
        <v/>
      </c>
      <c r="J32" s="59" t="str">
        <f>IF(Calcule!$BD32="","",Calcule!$BE32/Calcule!$BD32)</f>
        <v/>
      </c>
      <c r="K32" s="59" t="str">
        <f>IF(Calcule!$BD32="","",Calcule!$BF32/Calcule!$BD32)</f>
        <v/>
      </c>
      <c r="L32" s="59" t="str">
        <f>IF(Calcule!$BD32="","",Calcule!$BG32/Calcule!$BD32)</f>
        <v/>
      </c>
      <c r="M32" s="59" t="str">
        <f>IF(Calcule!$BI32="","",Calcule!$BJ32/Calcule!$BI32)</f>
        <v/>
      </c>
      <c r="N32" s="59" t="str">
        <f>IF(Calcule!$BI32="","",Calcule!$BK32/Calcule!$BI32)</f>
        <v/>
      </c>
      <c r="O32" s="59" t="str">
        <f>IF(Calcule!$BI32="","",Calcule!$BL32/Calcule!$BI32)</f>
        <v/>
      </c>
      <c r="P32" s="59" t="str">
        <f>IF(Calcule!$BN32="","",Calcule!$BO32/Calcule!$BN32)</f>
        <v/>
      </c>
      <c r="Q32" s="59" t="str">
        <f>IF(Calcule!$BN32="","",Calcule!$BP32/Calcule!$BN32)</f>
        <v/>
      </c>
      <c r="R32" s="59" t="str">
        <f>IF(Calcule!$BN32="","",Calcule!$BQ32/Calcule!$BN32)</f>
        <v/>
      </c>
      <c r="S32" s="59" t="str">
        <f>IF(Calcule!$BS32="","",Calcule!$BT32/Calcule!$BS32)</f>
        <v/>
      </c>
      <c r="T32" s="59" t="str">
        <f>IF(Calcule!$BS32="","",Calcule!$BU32/Calcule!$BS32)</f>
        <v/>
      </c>
      <c r="U32" s="59" t="str">
        <f>IF(Calcule!$BS32="","",Calcule!$BV32/Calcule!$BS32)</f>
        <v/>
      </c>
      <c r="V32" s="59" t="str">
        <f>IF(Calcule!$BX32="","",Calcule!$BY32/Calcule!$BX32)</f>
        <v/>
      </c>
      <c r="W32" s="59" t="str">
        <f>IF(Calcule!$BX32="","",Calcule!$BZ32/Calcule!$BX32)</f>
        <v/>
      </c>
      <c r="X32" s="59" t="str">
        <f>IF(Calcule!$BX32="","",Calcule!$CA32/Calcule!$BX32)</f>
        <v/>
      </c>
      <c r="Y32" s="49" t="str">
        <f>IF($A32="","",Calcule!$AX32)</f>
        <v/>
      </c>
      <c r="Z32" s="49" t="str">
        <f>IF($A32="","",Calcule!$BC32)</f>
        <v/>
      </c>
      <c r="AA32" s="49" t="str">
        <f>IF($A32="","",Calcule!$BH32)</f>
        <v/>
      </c>
      <c r="AB32" s="49" t="str">
        <f>IF($A32="","",Calcule!$BM32)</f>
        <v/>
      </c>
      <c r="AC32" s="49" t="str">
        <f>IF($A32="","",Calcule!$BR32)</f>
        <v/>
      </c>
      <c r="AD32" s="49" t="str">
        <f>IF($A32="","",Calcule!$BW32)</f>
        <v/>
      </c>
      <c r="AE32" s="49" t="str">
        <f>IF($A32="","",Calcule!$CB32)</f>
        <v/>
      </c>
    </row>
    <row r="33" spans="1:31" x14ac:dyDescent="0.2">
      <c r="A33" s="53" t="str">
        <f>IF(Calcule!$A33="","",Calcule!$A33)</f>
        <v/>
      </c>
      <c r="B33" s="55" t="str">
        <f>IF($A33="","",Calcule!$B33)</f>
        <v/>
      </c>
      <c r="C33" s="55" t="str">
        <f>IF($A33="","",Calcule!$C33)</f>
        <v/>
      </c>
      <c r="D33" s="59" t="str">
        <f>IF(Calcule!$AT33="","",Calcule!$AU33/Calcule!$AT33)</f>
        <v/>
      </c>
      <c r="E33" s="59" t="str">
        <f>IF(Calcule!$AT33="","",Calcule!$AV33/Calcule!$AT33)</f>
        <v/>
      </c>
      <c r="F33" s="59" t="str">
        <f>IF(Calcule!$AT33="","",Calcule!$AW33/Calcule!$AT33)</f>
        <v/>
      </c>
      <c r="G33" s="59" t="str">
        <f>IF(Calcule!$AY33="","",Calcule!$AZ33/Calcule!$AY33)</f>
        <v/>
      </c>
      <c r="H33" s="59" t="str">
        <f>IF(Calcule!$AY33="","",Calcule!$BA33/Calcule!$AY33)</f>
        <v/>
      </c>
      <c r="I33" s="59" t="str">
        <f>IF(Calcule!$AY33="","",Calcule!$BB33/Calcule!$AY33)</f>
        <v/>
      </c>
      <c r="J33" s="59" t="str">
        <f>IF(Calcule!$BD33="","",Calcule!$BE33/Calcule!$BD33)</f>
        <v/>
      </c>
      <c r="K33" s="59" t="str">
        <f>IF(Calcule!$BD33="","",Calcule!$BF33/Calcule!$BD33)</f>
        <v/>
      </c>
      <c r="L33" s="59" t="str">
        <f>IF(Calcule!$BD33="","",Calcule!$BG33/Calcule!$BD33)</f>
        <v/>
      </c>
      <c r="M33" s="59" t="str">
        <f>IF(Calcule!$BI33="","",Calcule!$BJ33/Calcule!$BI33)</f>
        <v/>
      </c>
      <c r="N33" s="59" t="str">
        <f>IF(Calcule!$BI33="","",Calcule!$BK33/Calcule!$BI33)</f>
        <v/>
      </c>
      <c r="O33" s="59" t="str">
        <f>IF(Calcule!$BI33="","",Calcule!$BL33/Calcule!$BI33)</f>
        <v/>
      </c>
      <c r="P33" s="59" t="str">
        <f>IF(Calcule!$BN33="","",Calcule!$BO33/Calcule!$BN33)</f>
        <v/>
      </c>
      <c r="Q33" s="59" t="str">
        <f>IF(Calcule!$BN33="","",Calcule!$BP33/Calcule!$BN33)</f>
        <v/>
      </c>
      <c r="R33" s="59" t="str">
        <f>IF(Calcule!$BN33="","",Calcule!$BQ33/Calcule!$BN33)</f>
        <v/>
      </c>
      <c r="S33" s="59" t="str">
        <f>IF(Calcule!$BS33="","",Calcule!$BT33/Calcule!$BS33)</f>
        <v/>
      </c>
      <c r="T33" s="59" t="str">
        <f>IF(Calcule!$BS33="","",Calcule!$BU33/Calcule!$BS33)</f>
        <v/>
      </c>
      <c r="U33" s="59" t="str">
        <f>IF(Calcule!$BS33="","",Calcule!$BV33/Calcule!$BS33)</f>
        <v/>
      </c>
      <c r="V33" s="59" t="str">
        <f>IF(Calcule!$BX33="","",Calcule!$BY33/Calcule!$BX33)</f>
        <v/>
      </c>
      <c r="W33" s="59" t="str">
        <f>IF(Calcule!$BX33="","",Calcule!$BZ33/Calcule!$BX33)</f>
        <v/>
      </c>
      <c r="X33" s="59" t="str">
        <f>IF(Calcule!$BX33="","",Calcule!$CA33/Calcule!$BX33)</f>
        <v/>
      </c>
      <c r="Y33" s="49" t="str">
        <f>IF($A33="","",Calcule!$AX33)</f>
        <v/>
      </c>
      <c r="Z33" s="49" t="str">
        <f>IF($A33="","",Calcule!$BC33)</f>
        <v/>
      </c>
      <c r="AA33" s="49" t="str">
        <f>IF($A33="","",Calcule!$BH33)</f>
        <v/>
      </c>
      <c r="AB33" s="49" t="str">
        <f>IF($A33="","",Calcule!$BM33)</f>
        <v/>
      </c>
      <c r="AC33" s="49" t="str">
        <f>IF($A33="","",Calcule!$BR33)</f>
        <v/>
      </c>
      <c r="AD33" s="49" t="str">
        <f>IF($A33="","",Calcule!$BW33)</f>
        <v/>
      </c>
      <c r="AE33" s="49" t="str">
        <f>IF($A33="","",Calcule!$CB33)</f>
        <v/>
      </c>
    </row>
    <row r="34" spans="1:31" x14ac:dyDescent="0.2">
      <c r="A34" s="53" t="str">
        <f>IF(Calcule!$A34="","",Calcule!$A34)</f>
        <v/>
      </c>
      <c r="B34" s="55" t="str">
        <f>IF($A34="","",Calcule!$B34)</f>
        <v/>
      </c>
      <c r="C34" s="55" t="str">
        <f>IF($A34="","",Calcule!$C34)</f>
        <v/>
      </c>
      <c r="D34" s="59" t="str">
        <f>IF(Calcule!$AT34="","",Calcule!$AU34/Calcule!$AT34)</f>
        <v/>
      </c>
      <c r="E34" s="59" t="str">
        <f>IF(Calcule!$AT34="","",Calcule!$AV34/Calcule!$AT34)</f>
        <v/>
      </c>
      <c r="F34" s="59" t="str">
        <f>IF(Calcule!$AT34="","",Calcule!$AW34/Calcule!$AT34)</f>
        <v/>
      </c>
      <c r="G34" s="59" t="str">
        <f>IF(Calcule!$AY34="","",Calcule!$AZ34/Calcule!$AY34)</f>
        <v/>
      </c>
      <c r="H34" s="59" t="str">
        <f>IF(Calcule!$AY34="","",Calcule!$BA34/Calcule!$AY34)</f>
        <v/>
      </c>
      <c r="I34" s="59" t="str">
        <f>IF(Calcule!$AY34="","",Calcule!$BB34/Calcule!$AY34)</f>
        <v/>
      </c>
      <c r="J34" s="59" t="str">
        <f>IF(Calcule!$BD34="","",Calcule!$BE34/Calcule!$BD34)</f>
        <v/>
      </c>
      <c r="K34" s="59" t="str">
        <f>IF(Calcule!$BD34="","",Calcule!$BF34/Calcule!$BD34)</f>
        <v/>
      </c>
      <c r="L34" s="59" t="str">
        <f>IF(Calcule!$BD34="","",Calcule!$BG34/Calcule!$BD34)</f>
        <v/>
      </c>
      <c r="M34" s="59" t="str">
        <f>IF(Calcule!$BI34="","",Calcule!$BJ34/Calcule!$BI34)</f>
        <v/>
      </c>
      <c r="N34" s="59" t="str">
        <f>IF(Calcule!$BI34="","",Calcule!$BK34/Calcule!$BI34)</f>
        <v/>
      </c>
      <c r="O34" s="59" t="str">
        <f>IF(Calcule!$BI34="","",Calcule!$BL34/Calcule!$BI34)</f>
        <v/>
      </c>
      <c r="P34" s="59" t="str">
        <f>IF(Calcule!$BN34="","",Calcule!$BO34/Calcule!$BN34)</f>
        <v/>
      </c>
      <c r="Q34" s="59" t="str">
        <f>IF(Calcule!$BN34="","",Calcule!$BP34/Calcule!$BN34)</f>
        <v/>
      </c>
      <c r="R34" s="59" t="str">
        <f>IF(Calcule!$BN34="","",Calcule!$BQ34/Calcule!$BN34)</f>
        <v/>
      </c>
      <c r="S34" s="59" t="str">
        <f>IF(Calcule!$BS34="","",Calcule!$BT34/Calcule!$BS34)</f>
        <v/>
      </c>
      <c r="T34" s="59" t="str">
        <f>IF(Calcule!$BS34="","",Calcule!$BU34/Calcule!$BS34)</f>
        <v/>
      </c>
      <c r="U34" s="59" t="str">
        <f>IF(Calcule!$BS34="","",Calcule!$BV34/Calcule!$BS34)</f>
        <v/>
      </c>
      <c r="V34" s="59" t="str">
        <f>IF(Calcule!$BX34="","",Calcule!$BY34/Calcule!$BX34)</f>
        <v/>
      </c>
      <c r="W34" s="59" t="str">
        <f>IF(Calcule!$BX34="","",Calcule!$BZ34/Calcule!$BX34)</f>
        <v/>
      </c>
      <c r="X34" s="59" t="str">
        <f>IF(Calcule!$BX34="","",Calcule!$CA34/Calcule!$BX34)</f>
        <v/>
      </c>
      <c r="Y34" s="49" t="str">
        <f>IF($A34="","",Calcule!$AX34)</f>
        <v/>
      </c>
      <c r="Z34" s="49" t="str">
        <f>IF($A34="","",Calcule!$BC34)</f>
        <v/>
      </c>
      <c r="AA34" s="49" t="str">
        <f>IF($A34="","",Calcule!$BH34)</f>
        <v/>
      </c>
      <c r="AB34" s="49" t="str">
        <f>IF($A34="","",Calcule!$BM34)</f>
        <v/>
      </c>
      <c r="AC34" s="49" t="str">
        <f>IF($A34="","",Calcule!$BR34)</f>
        <v/>
      </c>
      <c r="AD34" s="49" t="str">
        <f>IF($A34="","",Calcule!$BW34)</f>
        <v/>
      </c>
      <c r="AE34" s="49" t="str">
        <f>IF($A34="","",Calcule!$CB34)</f>
        <v/>
      </c>
    </row>
    <row r="35" spans="1:31" x14ac:dyDescent="0.2">
      <c r="A35" s="53" t="str">
        <f>IF(Calcule!$A35="","",Calcule!$A35)</f>
        <v/>
      </c>
      <c r="B35" s="55" t="str">
        <f>IF($A35="","",Calcule!$B35)</f>
        <v/>
      </c>
      <c r="C35" s="55" t="str">
        <f>IF($A35="","",Calcule!$C35)</f>
        <v/>
      </c>
      <c r="D35" s="59" t="str">
        <f>IF(Calcule!$AT35="","",Calcule!$AU35/Calcule!$AT35)</f>
        <v/>
      </c>
      <c r="E35" s="59" t="str">
        <f>IF(Calcule!$AT35="","",Calcule!$AV35/Calcule!$AT35)</f>
        <v/>
      </c>
      <c r="F35" s="59" t="str">
        <f>IF(Calcule!$AT35="","",Calcule!$AW35/Calcule!$AT35)</f>
        <v/>
      </c>
      <c r="G35" s="59" t="str">
        <f>IF(Calcule!$AY35="","",Calcule!$AZ35/Calcule!$AY35)</f>
        <v/>
      </c>
      <c r="H35" s="59" t="str">
        <f>IF(Calcule!$AY35="","",Calcule!$BA35/Calcule!$AY35)</f>
        <v/>
      </c>
      <c r="I35" s="59" t="str">
        <f>IF(Calcule!$AY35="","",Calcule!$BB35/Calcule!$AY35)</f>
        <v/>
      </c>
      <c r="J35" s="59" t="str">
        <f>IF(Calcule!$BD35="","",Calcule!$BE35/Calcule!$BD35)</f>
        <v/>
      </c>
      <c r="K35" s="59" t="str">
        <f>IF(Calcule!$BD35="","",Calcule!$BF35/Calcule!$BD35)</f>
        <v/>
      </c>
      <c r="L35" s="59" t="str">
        <f>IF(Calcule!$BD35="","",Calcule!$BG35/Calcule!$BD35)</f>
        <v/>
      </c>
      <c r="M35" s="59" t="str">
        <f>IF(Calcule!$BI35="","",Calcule!$BJ35/Calcule!$BI35)</f>
        <v/>
      </c>
      <c r="N35" s="59" t="str">
        <f>IF(Calcule!$BI35="","",Calcule!$BK35/Calcule!$BI35)</f>
        <v/>
      </c>
      <c r="O35" s="59" t="str">
        <f>IF(Calcule!$BI35="","",Calcule!$BL35/Calcule!$BI35)</f>
        <v/>
      </c>
      <c r="P35" s="59" t="str">
        <f>IF(Calcule!$BN35="","",Calcule!$BO35/Calcule!$BN35)</f>
        <v/>
      </c>
      <c r="Q35" s="59" t="str">
        <f>IF(Calcule!$BN35="","",Calcule!$BP35/Calcule!$BN35)</f>
        <v/>
      </c>
      <c r="R35" s="59" t="str">
        <f>IF(Calcule!$BN35="","",Calcule!$BQ35/Calcule!$BN35)</f>
        <v/>
      </c>
      <c r="S35" s="59" t="str">
        <f>IF(Calcule!$BS35="","",Calcule!$BT35/Calcule!$BS35)</f>
        <v/>
      </c>
      <c r="T35" s="59" t="str">
        <f>IF(Calcule!$BS35="","",Calcule!$BU35/Calcule!$BS35)</f>
        <v/>
      </c>
      <c r="U35" s="59" t="str">
        <f>IF(Calcule!$BS35="","",Calcule!$BV35/Calcule!$BS35)</f>
        <v/>
      </c>
      <c r="V35" s="59" t="str">
        <f>IF(Calcule!$BX35="","",Calcule!$BY35/Calcule!$BX35)</f>
        <v/>
      </c>
      <c r="W35" s="59" t="str">
        <f>IF(Calcule!$BX35="","",Calcule!$BZ35/Calcule!$BX35)</f>
        <v/>
      </c>
      <c r="X35" s="59" t="str">
        <f>IF(Calcule!$BX35="","",Calcule!$CA35/Calcule!$BX35)</f>
        <v/>
      </c>
      <c r="Y35" s="49" t="str">
        <f>IF($A35="","",Calcule!$AX35)</f>
        <v/>
      </c>
      <c r="Z35" s="49" t="str">
        <f>IF($A35="","",Calcule!$BC35)</f>
        <v/>
      </c>
      <c r="AA35" s="49" t="str">
        <f>IF($A35="","",Calcule!$BH35)</f>
        <v/>
      </c>
      <c r="AB35" s="49" t="str">
        <f>IF($A35="","",Calcule!$BM35)</f>
        <v/>
      </c>
      <c r="AC35" s="49" t="str">
        <f>IF($A35="","",Calcule!$BR35)</f>
        <v/>
      </c>
      <c r="AD35" s="49" t="str">
        <f>IF($A35="","",Calcule!$BW35)</f>
        <v/>
      </c>
      <c r="AE35" s="49" t="str">
        <f>IF($A35="","",Calcule!$CB35)</f>
        <v/>
      </c>
    </row>
    <row r="36" spans="1:31" x14ac:dyDescent="0.2">
      <c r="A36" s="53" t="str">
        <f>IF(Calcule!$A36="","",Calcule!$A36)</f>
        <v/>
      </c>
      <c r="B36" s="55" t="str">
        <f>IF($A36="","",Calcule!$B36)</f>
        <v/>
      </c>
      <c r="C36" s="55" t="str">
        <f>IF($A36="","",Calcule!$C36)</f>
        <v/>
      </c>
      <c r="D36" s="59" t="str">
        <f>IF(Calcule!$AT36="","",Calcule!$AU36/Calcule!$AT36)</f>
        <v/>
      </c>
      <c r="E36" s="59" t="str">
        <f>IF(Calcule!$AT36="","",Calcule!$AV36/Calcule!$AT36)</f>
        <v/>
      </c>
      <c r="F36" s="59" t="str">
        <f>IF(Calcule!$AT36="","",Calcule!$AW36/Calcule!$AT36)</f>
        <v/>
      </c>
      <c r="G36" s="59" t="str">
        <f>IF(Calcule!$AY36="","",Calcule!$AZ36/Calcule!$AY36)</f>
        <v/>
      </c>
      <c r="H36" s="59" t="str">
        <f>IF(Calcule!$AY36="","",Calcule!$BA36/Calcule!$AY36)</f>
        <v/>
      </c>
      <c r="I36" s="59" t="str">
        <f>IF(Calcule!$AY36="","",Calcule!$BB36/Calcule!$AY36)</f>
        <v/>
      </c>
      <c r="J36" s="59" t="str">
        <f>IF(Calcule!$BD36="","",Calcule!$BE36/Calcule!$BD36)</f>
        <v/>
      </c>
      <c r="K36" s="59" t="str">
        <f>IF(Calcule!$BD36="","",Calcule!$BF36/Calcule!$BD36)</f>
        <v/>
      </c>
      <c r="L36" s="59" t="str">
        <f>IF(Calcule!$BD36="","",Calcule!$BG36/Calcule!$BD36)</f>
        <v/>
      </c>
      <c r="M36" s="59" t="str">
        <f>IF(Calcule!$BI36="","",Calcule!$BJ36/Calcule!$BI36)</f>
        <v/>
      </c>
      <c r="N36" s="59" t="str">
        <f>IF(Calcule!$BI36="","",Calcule!$BK36/Calcule!$BI36)</f>
        <v/>
      </c>
      <c r="O36" s="59" t="str">
        <f>IF(Calcule!$BI36="","",Calcule!$BL36/Calcule!$BI36)</f>
        <v/>
      </c>
      <c r="P36" s="59" t="str">
        <f>IF(Calcule!$BN36="","",Calcule!$BO36/Calcule!$BN36)</f>
        <v/>
      </c>
      <c r="Q36" s="59" t="str">
        <f>IF(Calcule!$BN36="","",Calcule!$BP36/Calcule!$BN36)</f>
        <v/>
      </c>
      <c r="R36" s="59" t="str">
        <f>IF(Calcule!$BN36="","",Calcule!$BQ36/Calcule!$BN36)</f>
        <v/>
      </c>
      <c r="S36" s="59" t="str">
        <f>IF(Calcule!$BS36="","",Calcule!$BT36/Calcule!$BS36)</f>
        <v/>
      </c>
      <c r="T36" s="59" t="str">
        <f>IF(Calcule!$BS36="","",Calcule!$BU36/Calcule!$BS36)</f>
        <v/>
      </c>
      <c r="U36" s="59" t="str">
        <f>IF(Calcule!$BS36="","",Calcule!$BV36/Calcule!$BS36)</f>
        <v/>
      </c>
      <c r="V36" s="59" t="str">
        <f>IF(Calcule!$BX36="","",Calcule!$BY36/Calcule!$BX36)</f>
        <v/>
      </c>
      <c r="W36" s="59" t="str">
        <f>IF(Calcule!$BX36="","",Calcule!$BZ36/Calcule!$BX36)</f>
        <v/>
      </c>
      <c r="X36" s="59" t="str">
        <f>IF(Calcule!$BX36="","",Calcule!$CA36/Calcule!$BX36)</f>
        <v/>
      </c>
      <c r="Y36" s="49" t="str">
        <f>IF($A36="","",Calcule!$AX36)</f>
        <v/>
      </c>
      <c r="Z36" s="49" t="str">
        <f>IF($A36="","",Calcule!$BC36)</f>
        <v/>
      </c>
      <c r="AA36" s="49" t="str">
        <f>IF($A36="","",Calcule!$BH36)</f>
        <v/>
      </c>
      <c r="AB36" s="49" t="str">
        <f>IF($A36="","",Calcule!$BM36)</f>
        <v/>
      </c>
      <c r="AC36" s="49" t="str">
        <f>IF($A36="","",Calcule!$BR36)</f>
        <v/>
      </c>
      <c r="AD36" s="49" t="str">
        <f>IF($A36="","",Calcule!$BW36)</f>
        <v/>
      </c>
      <c r="AE36" s="49" t="str">
        <f>IF($A36="","",Calcule!$CB36)</f>
        <v/>
      </c>
    </row>
    <row r="37" spans="1:31" x14ac:dyDescent="0.2">
      <c r="A37" s="53" t="str">
        <f>IF(Calcule!$A37="","",Calcule!$A37)</f>
        <v/>
      </c>
      <c r="B37" s="55" t="str">
        <f>IF($A37="","",Calcule!$B37)</f>
        <v/>
      </c>
      <c r="C37" s="55" t="str">
        <f>IF($A37="","",Calcule!$C37)</f>
        <v/>
      </c>
      <c r="D37" s="59" t="str">
        <f>IF(Calcule!$AT37="","",Calcule!$AU37/Calcule!$AT37)</f>
        <v/>
      </c>
      <c r="E37" s="59" t="str">
        <f>IF(Calcule!$AT37="","",Calcule!$AV37/Calcule!$AT37)</f>
        <v/>
      </c>
      <c r="F37" s="59" t="str">
        <f>IF(Calcule!$AT37="","",Calcule!$AW37/Calcule!$AT37)</f>
        <v/>
      </c>
      <c r="G37" s="59" t="str">
        <f>IF(Calcule!$AY37="","",Calcule!$AZ37/Calcule!$AY37)</f>
        <v/>
      </c>
      <c r="H37" s="59" t="str">
        <f>IF(Calcule!$AY37="","",Calcule!$BA37/Calcule!$AY37)</f>
        <v/>
      </c>
      <c r="I37" s="59" t="str">
        <f>IF(Calcule!$AY37="","",Calcule!$BB37/Calcule!$AY37)</f>
        <v/>
      </c>
      <c r="J37" s="59" t="str">
        <f>IF(Calcule!$BD37="","",Calcule!$BE37/Calcule!$BD37)</f>
        <v/>
      </c>
      <c r="K37" s="59" t="str">
        <f>IF(Calcule!$BD37="","",Calcule!$BF37/Calcule!$BD37)</f>
        <v/>
      </c>
      <c r="L37" s="59" t="str">
        <f>IF(Calcule!$BD37="","",Calcule!$BG37/Calcule!$BD37)</f>
        <v/>
      </c>
      <c r="M37" s="59" t="str">
        <f>IF(Calcule!$BI37="","",Calcule!$BJ37/Calcule!$BI37)</f>
        <v/>
      </c>
      <c r="N37" s="59" t="str">
        <f>IF(Calcule!$BI37="","",Calcule!$BK37/Calcule!$BI37)</f>
        <v/>
      </c>
      <c r="O37" s="59" t="str">
        <f>IF(Calcule!$BI37="","",Calcule!$BL37/Calcule!$BI37)</f>
        <v/>
      </c>
      <c r="P37" s="59" t="str">
        <f>IF(Calcule!$BN37="","",Calcule!$BO37/Calcule!$BN37)</f>
        <v/>
      </c>
      <c r="Q37" s="59" t="str">
        <f>IF(Calcule!$BN37="","",Calcule!$BP37/Calcule!$BN37)</f>
        <v/>
      </c>
      <c r="R37" s="59" t="str">
        <f>IF(Calcule!$BN37="","",Calcule!$BQ37/Calcule!$BN37)</f>
        <v/>
      </c>
      <c r="S37" s="59" t="str">
        <f>IF(Calcule!$BS37="","",Calcule!$BT37/Calcule!$BS37)</f>
        <v/>
      </c>
      <c r="T37" s="59" t="str">
        <f>IF(Calcule!$BS37="","",Calcule!$BU37/Calcule!$BS37)</f>
        <v/>
      </c>
      <c r="U37" s="59" t="str">
        <f>IF(Calcule!$BS37="","",Calcule!$BV37/Calcule!$BS37)</f>
        <v/>
      </c>
      <c r="V37" s="59" t="str">
        <f>IF(Calcule!$BX37="","",Calcule!$BY37/Calcule!$BX37)</f>
        <v/>
      </c>
      <c r="W37" s="59" t="str">
        <f>IF(Calcule!$BX37="","",Calcule!$BZ37/Calcule!$BX37)</f>
        <v/>
      </c>
      <c r="X37" s="59" t="str">
        <f>IF(Calcule!$BX37="","",Calcule!$CA37/Calcule!$BX37)</f>
        <v/>
      </c>
      <c r="Y37" s="49" t="str">
        <f>IF($A37="","",Calcule!$AX37)</f>
        <v/>
      </c>
      <c r="Z37" s="49" t="str">
        <f>IF($A37="","",Calcule!$BC37)</f>
        <v/>
      </c>
      <c r="AA37" s="49" t="str">
        <f>IF($A37="","",Calcule!$BH37)</f>
        <v/>
      </c>
      <c r="AB37" s="49" t="str">
        <f>IF($A37="","",Calcule!$BM37)</f>
        <v/>
      </c>
      <c r="AC37" s="49" t="str">
        <f>IF($A37="","",Calcule!$BR37)</f>
        <v/>
      </c>
      <c r="AD37" s="49" t="str">
        <f>IF($A37="","",Calcule!$BW37)</f>
        <v/>
      </c>
      <c r="AE37" s="49" t="str">
        <f>IF($A37="","",Calcule!$CB37)</f>
        <v/>
      </c>
    </row>
    <row r="38" spans="1:31" x14ac:dyDescent="0.2">
      <c r="A38" s="53" t="str">
        <f>IF(Calcule!$A38="","",Calcule!$A38)</f>
        <v/>
      </c>
      <c r="B38" s="55" t="str">
        <f>IF($A38="","",Calcule!$B38)</f>
        <v/>
      </c>
      <c r="C38" s="55" t="str">
        <f>IF($A38="","",Calcule!$C38)</f>
        <v/>
      </c>
      <c r="D38" s="59" t="str">
        <f>IF(Calcule!$AT38="","",Calcule!$AU38/Calcule!$AT38)</f>
        <v/>
      </c>
      <c r="E38" s="59" t="str">
        <f>IF(Calcule!$AT38="","",Calcule!$AV38/Calcule!$AT38)</f>
        <v/>
      </c>
      <c r="F38" s="59" t="str">
        <f>IF(Calcule!$AT38="","",Calcule!$AW38/Calcule!$AT38)</f>
        <v/>
      </c>
      <c r="G38" s="59" t="str">
        <f>IF(Calcule!$AY38="","",Calcule!$AZ38/Calcule!$AY38)</f>
        <v/>
      </c>
      <c r="H38" s="59" t="str">
        <f>IF(Calcule!$AY38="","",Calcule!$BA38/Calcule!$AY38)</f>
        <v/>
      </c>
      <c r="I38" s="59" t="str">
        <f>IF(Calcule!$AY38="","",Calcule!$BB38/Calcule!$AY38)</f>
        <v/>
      </c>
      <c r="J38" s="59" t="str">
        <f>IF(Calcule!$BD38="","",Calcule!$BE38/Calcule!$BD38)</f>
        <v/>
      </c>
      <c r="K38" s="59" t="str">
        <f>IF(Calcule!$BD38="","",Calcule!$BF38/Calcule!$BD38)</f>
        <v/>
      </c>
      <c r="L38" s="59" t="str">
        <f>IF(Calcule!$BD38="","",Calcule!$BG38/Calcule!$BD38)</f>
        <v/>
      </c>
      <c r="M38" s="59" t="str">
        <f>IF(Calcule!$BI38="","",Calcule!$BJ38/Calcule!$BI38)</f>
        <v/>
      </c>
      <c r="N38" s="59" t="str">
        <f>IF(Calcule!$BI38="","",Calcule!$BK38/Calcule!$BI38)</f>
        <v/>
      </c>
      <c r="O38" s="59" t="str">
        <f>IF(Calcule!$BI38="","",Calcule!$BL38/Calcule!$BI38)</f>
        <v/>
      </c>
      <c r="P38" s="59" t="str">
        <f>IF(Calcule!$BN38="","",Calcule!$BO38/Calcule!$BN38)</f>
        <v/>
      </c>
      <c r="Q38" s="59" t="str">
        <f>IF(Calcule!$BN38="","",Calcule!$BP38/Calcule!$BN38)</f>
        <v/>
      </c>
      <c r="R38" s="59" t="str">
        <f>IF(Calcule!$BN38="","",Calcule!$BQ38/Calcule!$BN38)</f>
        <v/>
      </c>
      <c r="S38" s="59" t="str">
        <f>IF(Calcule!$BS38="","",Calcule!$BT38/Calcule!$BS38)</f>
        <v/>
      </c>
      <c r="T38" s="59" t="str">
        <f>IF(Calcule!$BS38="","",Calcule!$BU38/Calcule!$BS38)</f>
        <v/>
      </c>
      <c r="U38" s="59" t="str">
        <f>IF(Calcule!$BS38="","",Calcule!$BV38/Calcule!$BS38)</f>
        <v/>
      </c>
      <c r="V38" s="59" t="str">
        <f>IF(Calcule!$BX38="","",Calcule!$BY38/Calcule!$BX38)</f>
        <v/>
      </c>
      <c r="W38" s="59" t="str">
        <f>IF(Calcule!$BX38="","",Calcule!$BZ38/Calcule!$BX38)</f>
        <v/>
      </c>
      <c r="X38" s="59" t="str">
        <f>IF(Calcule!$BX38="","",Calcule!$CA38/Calcule!$BX38)</f>
        <v/>
      </c>
      <c r="Y38" s="49" t="str">
        <f>IF($A38="","",Calcule!$AX38)</f>
        <v/>
      </c>
      <c r="Z38" s="49" t="str">
        <f>IF($A38="","",Calcule!$BC38)</f>
        <v/>
      </c>
      <c r="AA38" s="49" t="str">
        <f>IF($A38="","",Calcule!$BH38)</f>
        <v/>
      </c>
      <c r="AB38" s="49" t="str">
        <f>IF($A38="","",Calcule!$BM38)</f>
        <v/>
      </c>
      <c r="AC38" s="49" t="str">
        <f>IF($A38="","",Calcule!$BR38)</f>
        <v/>
      </c>
      <c r="AD38" s="49" t="str">
        <f>IF($A38="","",Calcule!$BW38)</f>
        <v/>
      </c>
      <c r="AE38" s="49" t="str">
        <f>IF($A38="","",Calcule!$CB38)</f>
        <v/>
      </c>
    </row>
    <row r="39" spans="1:31" x14ac:dyDescent="0.2">
      <c r="A39" s="53" t="str">
        <f>IF(Calcule!$A39="","",Calcule!$A39)</f>
        <v/>
      </c>
      <c r="B39" s="55" t="str">
        <f>IF($A39="","",Calcule!$B39)</f>
        <v/>
      </c>
      <c r="C39" s="55" t="str">
        <f>IF($A39="","",Calcule!$C39)</f>
        <v/>
      </c>
      <c r="D39" s="59" t="str">
        <f>IF(Calcule!$AT39="","",Calcule!$AU39/Calcule!$AT39)</f>
        <v/>
      </c>
      <c r="E39" s="59" t="str">
        <f>IF(Calcule!$AT39="","",Calcule!$AV39/Calcule!$AT39)</f>
        <v/>
      </c>
      <c r="F39" s="59" t="str">
        <f>IF(Calcule!$AT39="","",Calcule!$AW39/Calcule!$AT39)</f>
        <v/>
      </c>
      <c r="G39" s="59" t="str">
        <f>IF(Calcule!$AY39="","",Calcule!$AZ39/Calcule!$AY39)</f>
        <v/>
      </c>
      <c r="H39" s="59" t="str">
        <f>IF(Calcule!$AY39="","",Calcule!$BA39/Calcule!$AY39)</f>
        <v/>
      </c>
      <c r="I39" s="59" t="str">
        <f>IF(Calcule!$AY39="","",Calcule!$BB39/Calcule!$AY39)</f>
        <v/>
      </c>
      <c r="J39" s="59" t="str">
        <f>IF(Calcule!$BD39="","",Calcule!$BE39/Calcule!$BD39)</f>
        <v/>
      </c>
      <c r="K39" s="59" t="str">
        <f>IF(Calcule!$BD39="","",Calcule!$BF39/Calcule!$BD39)</f>
        <v/>
      </c>
      <c r="L39" s="59" t="str">
        <f>IF(Calcule!$BD39="","",Calcule!$BG39/Calcule!$BD39)</f>
        <v/>
      </c>
      <c r="M39" s="59" t="str">
        <f>IF(Calcule!$BI39="","",Calcule!$BJ39/Calcule!$BI39)</f>
        <v/>
      </c>
      <c r="N39" s="59" t="str">
        <f>IF(Calcule!$BI39="","",Calcule!$BK39/Calcule!$BI39)</f>
        <v/>
      </c>
      <c r="O39" s="59" t="str">
        <f>IF(Calcule!$BI39="","",Calcule!$BL39/Calcule!$BI39)</f>
        <v/>
      </c>
      <c r="P39" s="59" t="str">
        <f>IF(Calcule!$BN39="","",Calcule!$BO39/Calcule!$BN39)</f>
        <v/>
      </c>
      <c r="Q39" s="59" t="str">
        <f>IF(Calcule!$BN39="","",Calcule!$BP39/Calcule!$BN39)</f>
        <v/>
      </c>
      <c r="R39" s="59" t="str">
        <f>IF(Calcule!$BN39="","",Calcule!$BQ39/Calcule!$BN39)</f>
        <v/>
      </c>
      <c r="S39" s="59" t="str">
        <f>IF(Calcule!$BS39="","",Calcule!$BT39/Calcule!$BS39)</f>
        <v/>
      </c>
      <c r="T39" s="59" t="str">
        <f>IF(Calcule!$BS39="","",Calcule!$BU39/Calcule!$BS39)</f>
        <v/>
      </c>
      <c r="U39" s="59" t="str">
        <f>IF(Calcule!$BS39="","",Calcule!$BV39/Calcule!$BS39)</f>
        <v/>
      </c>
      <c r="V39" s="59" t="str">
        <f>IF(Calcule!$BX39="","",Calcule!$BY39/Calcule!$BX39)</f>
        <v/>
      </c>
      <c r="W39" s="59" t="str">
        <f>IF(Calcule!$BX39="","",Calcule!$BZ39/Calcule!$BX39)</f>
        <v/>
      </c>
      <c r="X39" s="59" t="str">
        <f>IF(Calcule!$BX39="","",Calcule!$CA39/Calcule!$BX39)</f>
        <v/>
      </c>
      <c r="Y39" s="49" t="str">
        <f>IF($A39="","",Calcule!$AX39)</f>
        <v/>
      </c>
      <c r="Z39" s="49" t="str">
        <f>IF($A39="","",Calcule!$BC39)</f>
        <v/>
      </c>
      <c r="AA39" s="49" t="str">
        <f>IF($A39="","",Calcule!$BH39)</f>
        <v/>
      </c>
      <c r="AB39" s="49" t="str">
        <f>IF($A39="","",Calcule!$BM39)</f>
        <v/>
      </c>
      <c r="AC39" s="49" t="str">
        <f>IF($A39="","",Calcule!$BR39)</f>
        <v/>
      </c>
      <c r="AD39" s="49" t="str">
        <f>IF($A39="","",Calcule!$BW39)</f>
        <v/>
      </c>
      <c r="AE39" s="49" t="str">
        <f>IF($A39="","",Calcule!$CB39)</f>
        <v/>
      </c>
    </row>
    <row r="40" spans="1:31" x14ac:dyDescent="0.2">
      <c r="A40" s="53" t="str">
        <f>IF(Calcule!$A40="","",Calcule!$A40)</f>
        <v/>
      </c>
      <c r="B40" s="55" t="str">
        <f>IF($A40="","",Calcule!$B40)</f>
        <v/>
      </c>
      <c r="C40" s="55" t="str">
        <f>IF($A40="","",Calcule!$C40)</f>
        <v/>
      </c>
      <c r="D40" s="59" t="str">
        <f>IF(Calcule!$AT40="","",Calcule!$AU40/Calcule!$AT40)</f>
        <v/>
      </c>
      <c r="E40" s="59" t="str">
        <f>IF(Calcule!$AT40="","",Calcule!$AV40/Calcule!$AT40)</f>
        <v/>
      </c>
      <c r="F40" s="59" t="str">
        <f>IF(Calcule!$AT40="","",Calcule!$AW40/Calcule!$AT40)</f>
        <v/>
      </c>
      <c r="G40" s="59" t="str">
        <f>IF(Calcule!$AY40="","",Calcule!$AZ40/Calcule!$AY40)</f>
        <v/>
      </c>
      <c r="H40" s="59" t="str">
        <f>IF(Calcule!$AY40="","",Calcule!$BA40/Calcule!$AY40)</f>
        <v/>
      </c>
      <c r="I40" s="59" t="str">
        <f>IF(Calcule!$AY40="","",Calcule!$BB40/Calcule!$AY40)</f>
        <v/>
      </c>
      <c r="J40" s="59" t="str">
        <f>IF(Calcule!$BD40="","",Calcule!$BE40/Calcule!$BD40)</f>
        <v/>
      </c>
      <c r="K40" s="59" t="str">
        <f>IF(Calcule!$BD40="","",Calcule!$BF40/Calcule!$BD40)</f>
        <v/>
      </c>
      <c r="L40" s="59" t="str">
        <f>IF(Calcule!$BD40="","",Calcule!$BG40/Calcule!$BD40)</f>
        <v/>
      </c>
      <c r="M40" s="59" t="str">
        <f>IF(Calcule!$BI40="","",Calcule!$BJ40/Calcule!$BI40)</f>
        <v/>
      </c>
      <c r="N40" s="59" t="str">
        <f>IF(Calcule!$BI40="","",Calcule!$BK40/Calcule!$BI40)</f>
        <v/>
      </c>
      <c r="O40" s="59" t="str">
        <f>IF(Calcule!$BI40="","",Calcule!$BL40/Calcule!$BI40)</f>
        <v/>
      </c>
      <c r="P40" s="59" t="str">
        <f>IF(Calcule!$BN40="","",Calcule!$BO40/Calcule!$BN40)</f>
        <v/>
      </c>
      <c r="Q40" s="59" t="str">
        <f>IF(Calcule!$BN40="","",Calcule!$BP40/Calcule!$BN40)</f>
        <v/>
      </c>
      <c r="R40" s="59" t="str">
        <f>IF(Calcule!$BN40="","",Calcule!$BQ40/Calcule!$BN40)</f>
        <v/>
      </c>
      <c r="S40" s="59" t="str">
        <f>IF(Calcule!$BS40="","",Calcule!$BT40/Calcule!$BS40)</f>
        <v/>
      </c>
      <c r="T40" s="59" t="str">
        <f>IF(Calcule!$BS40="","",Calcule!$BU40/Calcule!$BS40)</f>
        <v/>
      </c>
      <c r="U40" s="59" t="str">
        <f>IF(Calcule!$BS40="","",Calcule!$BV40/Calcule!$BS40)</f>
        <v/>
      </c>
      <c r="V40" s="59" t="str">
        <f>IF(Calcule!$BX40="","",Calcule!$BY40/Calcule!$BX40)</f>
        <v/>
      </c>
      <c r="W40" s="59" t="str">
        <f>IF(Calcule!$BX40="","",Calcule!$BZ40/Calcule!$BX40)</f>
        <v/>
      </c>
      <c r="X40" s="59" t="str">
        <f>IF(Calcule!$BX40="","",Calcule!$CA40/Calcule!$BX40)</f>
        <v/>
      </c>
      <c r="Y40" s="49" t="str">
        <f>IF($A40="","",Calcule!$AX40)</f>
        <v/>
      </c>
      <c r="Z40" s="49" t="str">
        <f>IF($A40="","",Calcule!$BC40)</f>
        <v/>
      </c>
      <c r="AA40" s="49" t="str">
        <f>IF($A40="","",Calcule!$BH40)</f>
        <v/>
      </c>
      <c r="AB40" s="49" t="str">
        <f>IF($A40="","",Calcule!$BM40)</f>
        <v/>
      </c>
      <c r="AC40" s="49" t="str">
        <f>IF($A40="","",Calcule!$BR40)</f>
        <v/>
      </c>
      <c r="AD40" s="49" t="str">
        <f>IF($A40="","",Calcule!$BW40)</f>
        <v/>
      </c>
      <c r="AE40" s="49" t="str">
        <f>IF($A40="","",Calcule!$CB40)</f>
        <v/>
      </c>
    </row>
  </sheetData>
  <mergeCells count="8">
    <mergeCell ref="V4:X4"/>
    <mergeCell ref="Y4:AE4"/>
    <mergeCell ref="D4:F4"/>
    <mergeCell ref="G4:I4"/>
    <mergeCell ref="J4:L4"/>
    <mergeCell ref="M4:O4"/>
    <mergeCell ref="P4:R4"/>
    <mergeCell ref="S4:U4"/>
  </mergeCells>
  <conditionalFormatting sqref="D6:X40">
    <cfRule type="cellIs" dxfId="2" priority="1" stopIfTrue="1" operator="lessThan">
      <formula>p_Prag</formula>
    </cfRule>
    <cfRule type="cellIs" dxfId="1" priority="2" stopIfTrue="1" operator="between">
      <formula>p_Prag</formula>
      <formula>10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EB4E1-E134-41FB-9F03-DFE9B306952A}">
  <sheetPr>
    <tabColor rgb="FF2F75B5"/>
  </sheetPr>
  <dimension ref="A1:I59"/>
  <sheetViews>
    <sheetView workbookViewId="0"/>
  </sheetViews>
  <sheetFormatPr defaultRowHeight="12.75" x14ac:dyDescent="0.2"/>
  <cols>
    <col min="1" max="1" width="46.7109375" customWidth="1"/>
    <col min="2" max="2" width="16.7109375" customWidth="1"/>
    <col min="3" max="3" width="8.7109375" customWidth="1"/>
    <col min="4" max="4" width="46.7109375" customWidth="1"/>
    <col min="5" max="8" width="14.7109375" customWidth="1"/>
    <col min="9" max="9" width="10.7109375" customWidth="1"/>
  </cols>
  <sheetData>
    <row r="1" spans="1:8" ht="18" x14ac:dyDescent="0.25">
      <c r="A1" s="9" t="s">
        <v>242</v>
      </c>
    </row>
    <row r="2" spans="1:8" x14ac:dyDescent="0.2">
      <c r="A2" s="10" t="s">
        <v>243</v>
      </c>
    </row>
    <row r="4" spans="1:8" x14ac:dyDescent="0.2">
      <c r="A4" t="s">
        <v>244</v>
      </c>
      <c r="B4" s="38">
        <v>46402</v>
      </c>
      <c r="D4" s="13"/>
      <c r="E4" s="13" t="s">
        <v>57</v>
      </c>
      <c r="F4" s="13" t="s">
        <v>58</v>
      </c>
      <c r="G4" s="13" t="s">
        <v>59</v>
      </c>
      <c r="H4" s="13" t="s">
        <v>60</v>
      </c>
    </row>
    <row r="5" spans="1:8" x14ac:dyDescent="0.2">
      <c r="A5" t="s">
        <v>245</v>
      </c>
      <c r="B5" s="16">
        <v>4</v>
      </c>
      <c r="D5" s="52" t="s">
        <v>255</v>
      </c>
      <c r="E5" s="49">
        <f>SUM(E30:E59)</f>
        <v>5400</v>
      </c>
      <c r="F5" s="49">
        <f>SUM(F30:F59)</f>
        <v>6960</v>
      </c>
      <c r="G5" s="49">
        <f>SUM(G30:G59)</f>
        <v>6240</v>
      </c>
      <c r="H5" s="49">
        <f>SUM(H30:H59)</f>
        <v>5960</v>
      </c>
    </row>
    <row r="6" spans="1:8" x14ac:dyDescent="0.2">
      <c r="A6" t="s">
        <v>246</v>
      </c>
      <c r="B6" s="16">
        <v>4</v>
      </c>
      <c r="D6" s="52" t="s">
        <v>256</v>
      </c>
      <c r="E6" s="49">
        <f>-SUMPRODUCT(E30:E59,I30:I59)*$B$12</f>
        <v>-810</v>
      </c>
      <c r="F6" s="49">
        <f>-SUMPRODUCT(F30:F59,I30:I59)*$B$12*b_Durata</f>
        <v>-1044</v>
      </c>
      <c r="G6" s="49">
        <f>-G5*$B$13</f>
        <v>-936</v>
      </c>
      <c r="H6" s="49">
        <f>-SUMPRODUCT(H30:H59,I30:I59)*$B$12*m_Durata</f>
        <v>-894</v>
      </c>
    </row>
    <row r="7" spans="1:8" x14ac:dyDescent="0.2">
      <c r="A7" t="s">
        <v>247</v>
      </c>
      <c r="B7" s="16">
        <v>1</v>
      </c>
      <c r="D7" s="52" t="s">
        <v>257</v>
      </c>
      <c r="E7" s="49">
        <f>0</f>
        <v>0</v>
      </c>
      <c r="F7" s="49">
        <f>-(F5+F6)*b_Auto*$B$7</f>
        <v>-591.6</v>
      </c>
      <c r="G7" s="49">
        <f>-(G5+G6)*a_Auto</f>
        <v>0</v>
      </c>
      <c r="H7" s="49">
        <f>-(H5+H6)*m_Auto</f>
        <v>0</v>
      </c>
    </row>
    <row r="8" spans="1:8" x14ac:dyDescent="0.2">
      <c r="A8" t="s">
        <v>248</v>
      </c>
      <c r="B8" s="16">
        <v>0</v>
      </c>
      <c r="D8" s="52" t="s">
        <v>258</v>
      </c>
      <c r="E8" s="49">
        <f>(E5+E6)*s_Flex*$B$8</f>
        <v>0</v>
      </c>
      <c r="F8" s="49">
        <f>0</f>
        <v>0</v>
      </c>
      <c r="G8" s="49">
        <f>0</f>
        <v>0</v>
      </c>
      <c r="H8" s="49">
        <f>0</f>
        <v>0</v>
      </c>
    </row>
    <row r="9" spans="1:8" x14ac:dyDescent="0.2">
      <c r="A9" t="s">
        <v>249</v>
      </c>
      <c r="B9" s="62">
        <f>B4+B5</f>
        <v>46406</v>
      </c>
      <c r="D9" s="66" t="s">
        <v>259</v>
      </c>
      <c r="E9" s="67">
        <f>SUM(E5:E8)</f>
        <v>4590</v>
      </c>
      <c r="F9" s="67">
        <f>SUM(F5:F8)</f>
        <v>5324.4</v>
      </c>
      <c r="G9" s="67">
        <f>SUM(G5:G8)</f>
        <v>5304</v>
      </c>
      <c r="H9" s="67">
        <f>SUM(H5:H8)</f>
        <v>5066</v>
      </c>
    </row>
    <row r="10" spans="1:8" x14ac:dyDescent="0.2">
      <c r="A10" t="s">
        <v>250</v>
      </c>
      <c r="B10" s="63" t="str">
        <f>IF(C30="","fără perioadă",D30)</f>
        <v>iarna-2027</v>
      </c>
      <c r="D10" s="52" t="s">
        <v>260</v>
      </c>
      <c r="E10" s="49">
        <f>-(p_TaxaTur+p_TaxaSalv)*$B$6*$B$5</f>
        <v>-192</v>
      </c>
      <c r="F10" s="49">
        <f>-(p_TaxaTur+p_TaxaSalv)*$B$6*$B$5</f>
        <v>-192</v>
      </c>
      <c r="G10" s="49">
        <f>-(p_TaxaTur+p_TaxaSalv)*$B$6*$B$5</f>
        <v>-192</v>
      </c>
      <c r="H10" s="49">
        <f>-(p_TaxaTur+p_TaxaSalv)*$B$6*$B$5</f>
        <v>-192</v>
      </c>
    </row>
    <row r="11" spans="1:8" x14ac:dyDescent="0.2">
      <c r="A11" t="s">
        <v>251</v>
      </c>
      <c r="B11" s="64">
        <f>IF(C30="","",INDEX(Calcule!$C$6:$C$40,C30))</f>
        <v>2</v>
      </c>
      <c r="D11" s="52" t="s">
        <v>261</v>
      </c>
      <c r="E11" s="49">
        <f>-(E9+E10)*p_TVA/(1+p_TVA)</f>
        <v>-435.83783783783781</v>
      </c>
      <c r="F11" s="49">
        <f>-(F9+F10)*p_TVA/(1+p_TVA)</f>
        <v>-508.61621621621612</v>
      </c>
      <c r="G11" s="49">
        <f>-(G9+G10)*p_TVA/(1+p_TVA)</f>
        <v>-506.59459459459458</v>
      </c>
      <c r="H11" s="49">
        <f>-(H9+H10)*p_TVA/(1+p_TVA)</f>
        <v>-483.00900900900893</v>
      </c>
    </row>
    <row r="12" spans="1:8" x14ac:dyDescent="0.2">
      <c r="A12" t="s">
        <v>252</v>
      </c>
      <c r="B12" s="41">
        <f>IF(OR(C30="",B5&lt;N(B11)),0,INDEX(Calcule!$J$6:$O$40,C30,MIN(B5,7)-1))</f>
        <v>0.15</v>
      </c>
      <c r="D12" s="52" t="s">
        <v>62</v>
      </c>
      <c r="E12" s="49">
        <f>0</f>
        <v>0</v>
      </c>
      <c r="F12" s="49">
        <f>-(b_Com+b_Supl)*(1+b_TVAc)*(F9+b_Excl*F10)</f>
        <v>-769.8599999999999</v>
      </c>
      <c r="G12" s="49">
        <f>-(a_Com+a_Supl)*(1+a_TVAc)*(G9+a_Excl*G10)</f>
        <v>-822.12</v>
      </c>
      <c r="H12" s="49">
        <f>-(m_Com+m_Supl)*(1+m_TVAc)*(H9+m_Excl*H10)</f>
        <v>-607.91999999999996</v>
      </c>
    </row>
    <row r="13" spans="1:8" x14ac:dyDescent="0.2">
      <c r="A13" t="s">
        <v>253</v>
      </c>
      <c r="B13" s="41">
        <f>a_Durata*IF(B5&gt;=28,a_Luna,IF(B5&gt;=7,a_Sapt,IF(B5&gt;=2,INDEX(p_Std,1,B5-1),0)))</f>
        <v>0.15</v>
      </c>
      <c r="D13" s="52" t="s">
        <v>262</v>
      </c>
      <c r="E13" s="49">
        <f>-s_Plata*E9</f>
        <v>0</v>
      </c>
      <c r="F13" s="49">
        <f>-b_Plata*F9</f>
        <v>-69.217199999999991</v>
      </c>
      <c r="G13" s="49">
        <f>-a_Plata*G9</f>
        <v>0</v>
      </c>
      <c r="H13" s="49">
        <f>-m_Plata*H9</f>
        <v>0</v>
      </c>
    </row>
    <row r="14" spans="1:8" x14ac:dyDescent="0.2">
      <c r="A14" t="s">
        <v>254</v>
      </c>
      <c r="B14" s="63" t="str">
        <f>IF(C30="","⚠ Data nu e în nicio perioadă – pe site rezervarea e blocată",IF(B5&lt;N(B11),"⚠ Sub numărul minim de nopți",IF(B5&gt;30,"⚠ Max. 30 de nopți în simulator","OK")))</f>
        <v>OK</v>
      </c>
      <c r="D14" s="66" t="s">
        <v>263</v>
      </c>
      <c r="E14" s="67">
        <f>SUM(E9:E13)</f>
        <v>3962.1621621621621</v>
      </c>
      <c r="F14" s="67">
        <f>SUM(F9:F13)</f>
        <v>3784.7065837837836</v>
      </c>
      <c r="G14" s="67">
        <f>SUM(G9:G13)</f>
        <v>3783.2854054054051</v>
      </c>
      <c r="H14" s="67">
        <f>SUM(H9:H13)</f>
        <v>3783.070990990991</v>
      </c>
    </row>
    <row r="15" spans="1:8" x14ac:dyDescent="0.2">
      <c r="D15" s="52" t="s">
        <v>264</v>
      </c>
      <c r="E15" s="49">
        <f>IF($B$5&gt;0,-(c_Cur+IF($B$5&gt;=7,c_Spal7,c_Spal)+c_Cons),0)</f>
        <v>-320</v>
      </c>
      <c r="F15" s="49">
        <f>IF($B$5&gt;0,-(c_Cur+IF($B$5&gt;=7,c_Spal7,c_Spal)+c_Cons),0)</f>
        <v>-320</v>
      </c>
      <c r="G15" s="49">
        <f>IF($B$5&gt;0,-(c_Cur+IF($B$5&gt;=7,c_Spal7,c_Spal)+c_Cons),0)</f>
        <v>-320</v>
      </c>
      <c r="H15" s="49">
        <f>IF($B$5&gt;0,-(c_Cur+IF($B$5&gt;=7,c_Spal7,c_Spal)+c_Cons),0)</f>
        <v>-320</v>
      </c>
    </row>
    <row r="16" spans="1:8" x14ac:dyDescent="0.2">
      <c r="D16" s="66" t="s">
        <v>265</v>
      </c>
      <c r="E16" s="67">
        <f>E14+E15</f>
        <v>3642.1621621621621</v>
      </c>
      <c r="F16" s="67">
        <f>F14+F15</f>
        <v>3464.7065837837836</v>
      </c>
      <c r="G16" s="67">
        <f>G14+G15</f>
        <v>3463.2854054054051</v>
      </c>
      <c r="H16" s="67">
        <f>H14+H15</f>
        <v>3463.070990990991</v>
      </c>
    </row>
    <row r="17" spans="1:9" x14ac:dyDescent="0.2">
      <c r="D17" s="52" t="s">
        <v>266</v>
      </c>
      <c r="E17" s="49">
        <f>IF($B$5&gt;0,E16/$B$5,0)</f>
        <v>910.54054054054052</v>
      </c>
      <c r="F17" s="49">
        <f>IF($B$5&gt;0,F16/$B$5,0)</f>
        <v>866.17664594594589</v>
      </c>
      <c r="G17" s="49">
        <f>IF($B$5&gt;0,G16/$B$5,0)</f>
        <v>865.82135135135127</v>
      </c>
      <c r="H17" s="49">
        <f>IF($B$5&gt;0,H16/$B$5,0)</f>
        <v>865.76774774774776</v>
      </c>
    </row>
    <row r="18" spans="1:9" x14ac:dyDescent="0.2">
      <c r="D18" s="52" t="s">
        <v>267</v>
      </c>
      <c r="E18" s="65" t="str">
        <f>"—"</f>
        <v>—</v>
      </c>
      <c r="F18" s="65">
        <f>IF(F9+F10+F11=0,"",-(F12+F13)/(F9+F10+F11))</f>
        <v>0.18146981762917935</v>
      </c>
      <c r="G18" s="65">
        <f>IF(G9+G10+G11=0,"",-(G12+G13)/(G9+G10+G11))</f>
        <v>0.17851197183098594</v>
      </c>
      <c r="H18" s="65">
        <f>IF(H9+H10+H11=0,"",-(H12+H13)/(H9+H10+H11))</f>
        <v>0.13844710709889207</v>
      </c>
    </row>
    <row r="19" spans="1:9" x14ac:dyDescent="0.2">
      <c r="D19" s="52" t="s">
        <v>268</v>
      </c>
      <c r="E19" s="65" t="str">
        <f>"—"</f>
        <v>—</v>
      </c>
      <c r="F19" s="65">
        <f>IF($E$14=0,"",F14/$E$14)</f>
        <v>0.95521243929058663</v>
      </c>
      <c r="G19" s="65">
        <f>IF($E$14=0,"",G14/$E$14)</f>
        <v>0.9548537517053205</v>
      </c>
      <c r="H19" s="65">
        <f>IF($E$14=0,"",H14/$E$14)</f>
        <v>0.95479963619827202</v>
      </c>
    </row>
    <row r="20" spans="1:9" x14ac:dyDescent="0.2">
      <c r="D20" s="52" t="s">
        <v>269</v>
      </c>
      <c r="E20" s="49" t="str">
        <f>"—"</f>
        <v>—</v>
      </c>
      <c r="F20" s="49">
        <f>F9-$E$9</f>
        <v>734.39999999999964</v>
      </c>
      <c r="G20" s="49">
        <f>G9-$E$9</f>
        <v>714</v>
      </c>
      <c r="H20" s="49">
        <f>H9-$E$9</f>
        <v>476</v>
      </c>
    </row>
    <row r="28" spans="1:9" ht="15" x14ac:dyDescent="0.25">
      <c r="A28" s="11" t="s">
        <v>270</v>
      </c>
    </row>
    <row r="29" spans="1:9" ht="25.5" x14ac:dyDescent="0.2">
      <c r="A29" s="13" t="s">
        <v>271</v>
      </c>
      <c r="B29" s="13" t="s">
        <v>272</v>
      </c>
      <c r="C29" s="13" t="s">
        <v>273</v>
      </c>
      <c r="D29" s="13" t="s">
        <v>2</v>
      </c>
      <c r="E29" s="13" t="s">
        <v>227</v>
      </c>
      <c r="F29" s="13" t="s">
        <v>228</v>
      </c>
      <c r="G29" s="13" t="s">
        <v>59</v>
      </c>
      <c r="H29" s="13" t="s">
        <v>60</v>
      </c>
      <c r="I29" s="13" t="s">
        <v>274</v>
      </c>
    </row>
    <row r="30" spans="1:9" x14ac:dyDescent="0.2">
      <c r="A30" s="52">
        <f>IF(1&lt;=$B$5,1,"")</f>
        <v>1</v>
      </c>
      <c r="B30" s="68">
        <f t="shared" ref="B30:B59" si="0">IF(A30="","",$B$4+A30-1)</f>
        <v>46402</v>
      </c>
      <c r="C30" s="69">
        <f>IF(A30="","",IFERROR(IF(B30&lt;=INDEX(Perioade!$D$6:$D$40,MATCH(B30,Perioade!$C$6:$C$40,1)),MATCH(B30,Perioade!$C$6:$C$40,1),""),""))</f>
        <v>5</v>
      </c>
      <c r="D30" s="52" t="str">
        <f>IF(A30="","",IF(C30="","fără perioadă",INDEX(Perioade!$A$6:$A$40,C30)))</f>
        <v>iarna-2027</v>
      </c>
      <c r="E30" s="56">
        <f>IF(C30="",0,INDEX(Calcule!$R$6:$R$40,C30))</f>
        <v>1350</v>
      </c>
      <c r="F30" s="56">
        <f>IF(C30="",0,INDEX(Calcule!$Y$6:$Y$40,C30))</f>
        <v>1740</v>
      </c>
      <c r="G30" s="56">
        <f>IF(C30="",0,INDEX(Calcule!$AE$6:$AE$40,C30))</f>
        <v>1560</v>
      </c>
      <c r="H30" s="56">
        <f>IF(C30="",0,INDEX(Calcule!$AI$6:$AI$40,C30))</f>
        <v>1490</v>
      </c>
      <c r="I30" s="70">
        <f>IF(C30="",0,INDEX(Calcule!$P$6:$P$40,C30))</f>
        <v>1</v>
      </c>
    </row>
    <row r="31" spans="1:9" x14ac:dyDescent="0.2">
      <c r="A31" s="52">
        <f>IF(2&lt;=$B$5,2,"")</f>
        <v>2</v>
      </c>
      <c r="B31" s="68">
        <f t="shared" si="0"/>
        <v>46403</v>
      </c>
      <c r="C31" s="69">
        <f>IF(A31="","",IFERROR(IF(B31&lt;=INDEX(Perioade!$D$6:$D$40,MATCH(B31,Perioade!$C$6:$C$40,1)),MATCH(B31,Perioade!$C$6:$C$40,1),""),""))</f>
        <v>5</v>
      </c>
      <c r="D31" s="52" t="str">
        <f>IF(A31="","",IF(C31="","fără perioadă",INDEX(Perioade!$A$6:$A$40,C31)))</f>
        <v>iarna-2027</v>
      </c>
      <c r="E31" s="56">
        <f>IF(C31="",0,INDEX(Calcule!$R$6:$R$40,C31))</f>
        <v>1350</v>
      </c>
      <c r="F31" s="56">
        <f>IF(C31="",0,INDEX(Calcule!$Y$6:$Y$40,C31))</f>
        <v>1740</v>
      </c>
      <c r="G31" s="56">
        <f>IF(C31="",0,INDEX(Calcule!$AE$6:$AE$40,C31))</f>
        <v>1560</v>
      </c>
      <c r="H31" s="56">
        <f>IF(C31="",0,INDEX(Calcule!$AI$6:$AI$40,C31))</f>
        <v>1490</v>
      </c>
      <c r="I31" s="70">
        <f>IF(C31="",0,INDEX(Calcule!$P$6:$P$40,C31))</f>
        <v>1</v>
      </c>
    </row>
    <row r="32" spans="1:9" x14ac:dyDescent="0.2">
      <c r="A32" s="52">
        <f>IF(3&lt;=$B$5,3,"")</f>
        <v>3</v>
      </c>
      <c r="B32" s="68">
        <f t="shared" si="0"/>
        <v>46404</v>
      </c>
      <c r="C32" s="69">
        <f>IF(A32="","",IFERROR(IF(B32&lt;=INDEX(Perioade!$D$6:$D$40,MATCH(B32,Perioade!$C$6:$C$40,1)),MATCH(B32,Perioade!$C$6:$C$40,1),""),""))</f>
        <v>5</v>
      </c>
      <c r="D32" s="52" t="str">
        <f>IF(A32="","",IF(C32="","fără perioadă",INDEX(Perioade!$A$6:$A$40,C32)))</f>
        <v>iarna-2027</v>
      </c>
      <c r="E32" s="56">
        <f>IF(C32="",0,INDEX(Calcule!$R$6:$R$40,C32))</f>
        <v>1350</v>
      </c>
      <c r="F32" s="56">
        <f>IF(C32="",0,INDEX(Calcule!$Y$6:$Y$40,C32))</f>
        <v>1740</v>
      </c>
      <c r="G32" s="56">
        <f>IF(C32="",0,INDEX(Calcule!$AE$6:$AE$40,C32))</f>
        <v>1560</v>
      </c>
      <c r="H32" s="56">
        <f>IF(C32="",0,INDEX(Calcule!$AI$6:$AI$40,C32))</f>
        <v>1490</v>
      </c>
      <c r="I32" s="70">
        <f>IF(C32="",0,INDEX(Calcule!$P$6:$P$40,C32))</f>
        <v>1</v>
      </c>
    </row>
    <row r="33" spans="1:9" x14ac:dyDescent="0.2">
      <c r="A33" s="52">
        <f>IF(4&lt;=$B$5,4,"")</f>
        <v>4</v>
      </c>
      <c r="B33" s="68">
        <f t="shared" si="0"/>
        <v>46405</v>
      </c>
      <c r="C33" s="69">
        <f>IF(A33="","",IFERROR(IF(B33&lt;=INDEX(Perioade!$D$6:$D$40,MATCH(B33,Perioade!$C$6:$C$40,1)),MATCH(B33,Perioade!$C$6:$C$40,1),""),""))</f>
        <v>5</v>
      </c>
      <c r="D33" s="52" t="str">
        <f>IF(A33="","",IF(C33="","fără perioadă",INDEX(Perioade!$A$6:$A$40,C33)))</f>
        <v>iarna-2027</v>
      </c>
      <c r="E33" s="56">
        <f>IF(C33="",0,INDEX(Calcule!$R$6:$R$40,C33))</f>
        <v>1350</v>
      </c>
      <c r="F33" s="56">
        <f>IF(C33="",0,INDEX(Calcule!$Y$6:$Y$40,C33))</f>
        <v>1740</v>
      </c>
      <c r="G33" s="56">
        <f>IF(C33="",0,INDEX(Calcule!$AE$6:$AE$40,C33))</f>
        <v>1560</v>
      </c>
      <c r="H33" s="56">
        <f>IF(C33="",0,INDEX(Calcule!$AI$6:$AI$40,C33))</f>
        <v>1490</v>
      </c>
      <c r="I33" s="70">
        <f>IF(C33="",0,INDEX(Calcule!$P$6:$P$40,C33))</f>
        <v>1</v>
      </c>
    </row>
    <row r="34" spans="1:9" x14ac:dyDescent="0.2">
      <c r="A34" s="52" t="str">
        <f>IF(5&lt;=$B$5,5,"")</f>
        <v/>
      </c>
      <c r="B34" s="68" t="str">
        <f t="shared" si="0"/>
        <v/>
      </c>
      <c r="C34" s="69" t="str">
        <f>IF(A34="","",IFERROR(IF(B34&lt;=INDEX(Perioade!$D$6:$D$40,MATCH(B34,Perioade!$C$6:$C$40,1)),MATCH(B34,Perioade!$C$6:$C$40,1),""),""))</f>
        <v/>
      </c>
      <c r="D34" s="52" t="str">
        <f>IF(A34="","",IF(C34="","fără perioadă",INDEX(Perioade!$A$6:$A$40,C34)))</f>
        <v/>
      </c>
      <c r="E34" s="56">
        <f>IF(C34="",0,INDEX(Calcule!$R$6:$R$40,C34))</f>
        <v>0</v>
      </c>
      <c r="F34" s="56">
        <f>IF(C34="",0,INDEX(Calcule!$Y$6:$Y$40,C34))</f>
        <v>0</v>
      </c>
      <c r="G34" s="56">
        <f>IF(C34="",0,INDEX(Calcule!$AE$6:$AE$40,C34))</f>
        <v>0</v>
      </c>
      <c r="H34" s="56">
        <f>IF(C34="",0,INDEX(Calcule!$AI$6:$AI$40,C34))</f>
        <v>0</v>
      </c>
      <c r="I34" s="70">
        <f>IF(C34="",0,INDEX(Calcule!$P$6:$P$40,C34))</f>
        <v>0</v>
      </c>
    </row>
    <row r="35" spans="1:9" x14ac:dyDescent="0.2">
      <c r="A35" s="52" t="str">
        <f>IF(6&lt;=$B$5,6,"")</f>
        <v/>
      </c>
      <c r="B35" s="68" t="str">
        <f t="shared" si="0"/>
        <v/>
      </c>
      <c r="C35" s="69" t="str">
        <f>IF(A35="","",IFERROR(IF(B35&lt;=INDEX(Perioade!$D$6:$D$40,MATCH(B35,Perioade!$C$6:$C$40,1)),MATCH(B35,Perioade!$C$6:$C$40,1),""),""))</f>
        <v/>
      </c>
      <c r="D35" s="52" t="str">
        <f>IF(A35="","",IF(C35="","fără perioadă",INDEX(Perioade!$A$6:$A$40,C35)))</f>
        <v/>
      </c>
      <c r="E35" s="56">
        <f>IF(C35="",0,INDEX(Calcule!$R$6:$R$40,C35))</f>
        <v>0</v>
      </c>
      <c r="F35" s="56">
        <f>IF(C35="",0,INDEX(Calcule!$Y$6:$Y$40,C35))</f>
        <v>0</v>
      </c>
      <c r="G35" s="56">
        <f>IF(C35="",0,INDEX(Calcule!$AE$6:$AE$40,C35))</f>
        <v>0</v>
      </c>
      <c r="H35" s="56">
        <f>IF(C35="",0,INDEX(Calcule!$AI$6:$AI$40,C35))</f>
        <v>0</v>
      </c>
      <c r="I35" s="70">
        <f>IF(C35="",0,INDEX(Calcule!$P$6:$P$40,C35))</f>
        <v>0</v>
      </c>
    </row>
    <row r="36" spans="1:9" x14ac:dyDescent="0.2">
      <c r="A36" s="52" t="str">
        <f>IF(7&lt;=$B$5,7,"")</f>
        <v/>
      </c>
      <c r="B36" s="68" t="str">
        <f t="shared" si="0"/>
        <v/>
      </c>
      <c r="C36" s="69" t="str">
        <f>IF(A36="","",IFERROR(IF(B36&lt;=INDEX(Perioade!$D$6:$D$40,MATCH(B36,Perioade!$C$6:$C$40,1)),MATCH(B36,Perioade!$C$6:$C$40,1),""),""))</f>
        <v/>
      </c>
      <c r="D36" s="52" t="str">
        <f>IF(A36="","",IF(C36="","fără perioadă",INDEX(Perioade!$A$6:$A$40,C36)))</f>
        <v/>
      </c>
      <c r="E36" s="56">
        <f>IF(C36="",0,INDEX(Calcule!$R$6:$R$40,C36))</f>
        <v>0</v>
      </c>
      <c r="F36" s="56">
        <f>IF(C36="",0,INDEX(Calcule!$Y$6:$Y$40,C36))</f>
        <v>0</v>
      </c>
      <c r="G36" s="56">
        <f>IF(C36="",0,INDEX(Calcule!$AE$6:$AE$40,C36))</f>
        <v>0</v>
      </c>
      <c r="H36" s="56">
        <f>IF(C36="",0,INDEX(Calcule!$AI$6:$AI$40,C36))</f>
        <v>0</v>
      </c>
      <c r="I36" s="70">
        <f>IF(C36="",0,INDEX(Calcule!$P$6:$P$40,C36))</f>
        <v>0</v>
      </c>
    </row>
    <row r="37" spans="1:9" x14ac:dyDescent="0.2">
      <c r="A37" s="52" t="str">
        <f>IF(8&lt;=$B$5,8,"")</f>
        <v/>
      </c>
      <c r="B37" s="68" t="str">
        <f t="shared" si="0"/>
        <v/>
      </c>
      <c r="C37" s="69" t="str">
        <f>IF(A37="","",IFERROR(IF(B37&lt;=INDEX(Perioade!$D$6:$D$40,MATCH(B37,Perioade!$C$6:$C$40,1)),MATCH(B37,Perioade!$C$6:$C$40,1),""),""))</f>
        <v/>
      </c>
      <c r="D37" s="52" t="str">
        <f>IF(A37="","",IF(C37="","fără perioadă",INDEX(Perioade!$A$6:$A$40,C37)))</f>
        <v/>
      </c>
      <c r="E37" s="56">
        <f>IF(C37="",0,INDEX(Calcule!$R$6:$R$40,C37))</f>
        <v>0</v>
      </c>
      <c r="F37" s="56">
        <f>IF(C37="",0,INDEX(Calcule!$Y$6:$Y$40,C37))</f>
        <v>0</v>
      </c>
      <c r="G37" s="56">
        <f>IF(C37="",0,INDEX(Calcule!$AE$6:$AE$40,C37))</f>
        <v>0</v>
      </c>
      <c r="H37" s="56">
        <f>IF(C37="",0,INDEX(Calcule!$AI$6:$AI$40,C37))</f>
        <v>0</v>
      </c>
      <c r="I37" s="70">
        <f>IF(C37="",0,INDEX(Calcule!$P$6:$P$40,C37))</f>
        <v>0</v>
      </c>
    </row>
    <row r="38" spans="1:9" x14ac:dyDescent="0.2">
      <c r="A38" s="52" t="str">
        <f>IF(9&lt;=$B$5,9,"")</f>
        <v/>
      </c>
      <c r="B38" s="68" t="str">
        <f t="shared" si="0"/>
        <v/>
      </c>
      <c r="C38" s="69" t="str">
        <f>IF(A38="","",IFERROR(IF(B38&lt;=INDEX(Perioade!$D$6:$D$40,MATCH(B38,Perioade!$C$6:$C$40,1)),MATCH(B38,Perioade!$C$6:$C$40,1),""),""))</f>
        <v/>
      </c>
      <c r="D38" s="52" t="str">
        <f>IF(A38="","",IF(C38="","fără perioadă",INDEX(Perioade!$A$6:$A$40,C38)))</f>
        <v/>
      </c>
      <c r="E38" s="56">
        <f>IF(C38="",0,INDEX(Calcule!$R$6:$R$40,C38))</f>
        <v>0</v>
      </c>
      <c r="F38" s="56">
        <f>IF(C38="",0,INDEX(Calcule!$Y$6:$Y$40,C38))</f>
        <v>0</v>
      </c>
      <c r="G38" s="56">
        <f>IF(C38="",0,INDEX(Calcule!$AE$6:$AE$40,C38))</f>
        <v>0</v>
      </c>
      <c r="H38" s="56">
        <f>IF(C38="",0,INDEX(Calcule!$AI$6:$AI$40,C38))</f>
        <v>0</v>
      </c>
      <c r="I38" s="70">
        <f>IF(C38="",0,INDEX(Calcule!$P$6:$P$40,C38))</f>
        <v>0</v>
      </c>
    </row>
    <row r="39" spans="1:9" x14ac:dyDescent="0.2">
      <c r="A39" s="52" t="str">
        <f>IF(10&lt;=$B$5,10,"")</f>
        <v/>
      </c>
      <c r="B39" s="68" t="str">
        <f t="shared" si="0"/>
        <v/>
      </c>
      <c r="C39" s="69" t="str">
        <f>IF(A39="","",IFERROR(IF(B39&lt;=INDEX(Perioade!$D$6:$D$40,MATCH(B39,Perioade!$C$6:$C$40,1)),MATCH(B39,Perioade!$C$6:$C$40,1),""),""))</f>
        <v/>
      </c>
      <c r="D39" s="52" t="str">
        <f>IF(A39="","",IF(C39="","fără perioadă",INDEX(Perioade!$A$6:$A$40,C39)))</f>
        <v/>
      </c>
      <c r="E39" s="56">
        <f>IF(C39="",0,INDEX(Calcule!$R$6:$R$40,C39))</f>
        <v>0</v>
      </c>
      <c r="F39" s="56">
        <f>IF(C39="",0,INDEX(Calcule!$Y$6:$Y$40,C39))</f>
        <v>0</v>
      </c>
      <c r="G39" s="56">
        <f>IF(C39="",0,INDEX(Calcule!$AE$6:$AE$40,C39))</f>
        <v>0</v>
      </c>
      <c r="H39" s="56">
        <f>IF(C39="",0,INDEX(Calcule!$AI$6:$AI$40,C39))</f>
        <v>0</v>
      </c>
      <c r="I39" s="70">
        <f>IF(C39="",0,INDEX(Calcule!$P$6:$P$40,C39))</f>
        <v>0</v>
      </c>
    </row>
    <row r="40" spans="1:9" x14ac:dyDescent="0.2">
      <c r="A40" s="52" t="str">
        <f>IF(11&lt;=$B$5,11,"")</f>
        <v/>
      </c>
      <c r="B40" s="68" t="str">
        <f t="shared" si="0"/>
        <v/>
      </c>
      <c r="C40" s="69" t="str">
        <f>IF(A40="","",IFERROR(IF(B40&lt;=INDEX(Perioade!$D$6:$D$40,MATCH(B40,Perioade!$C$6:$C$40,1)),MATCH(B40,Perioade!$C$6:$C$40,1),""),""))</f>
        <v/>
      </c>
      <c r="D40" s="52" t="str">
        <f>IF(A40="","",IF(C40="","fără perioadă",INDEX(Perioade!$A$6:$A$40,C40)))</f>
        <v/>
      </c>
      <c r="E40" s="56">
        <f>IF(C40="",0,INDEX(Calcule!$R$6:$R$40,C40))</f>
        <v>0</v>
      </c>
      <c r="F40" s="56">
        <f>IF(C40="",0,INDEX(Calcule!$Y$6:$Y$40,C40))</f>
        <v>0</v>
      </c>
      <c r="G40" s="56">
        <f>IF(C40="",0,INDEX(Calcule!$AE$6:$AE$40,C40))</f>
        <v>0</v>
      </c>
      <c r="H40" s="56">
        <f>IF(C40="",0,INDEX(Calcule!$AI$6:$AI$40,C40))</f>
        <v>0</v>
      </c>
      <c r="I40" s="70">
        <f>IF(C40="",0,INDEX(Calcule!$P$6:$P$40,C40))</f>
        <v>0</v>
      </c>
    </row>
    <row r="41" spans="1:9" x14ac:dyDescent="0.2">
      <c r="A41" s="52" t="str">
        <f>IF(12&lt;=$B$5,12,"")</f>
        <v/>
      </c>
      <c r="B41" s="68" t="str">
        <f t="shared" si="0"/>
        <v/>
      </c>
      <c r="C41" s="69" t="str">
        <f>IF(A41="","",IFERROR(IF(B41&lt;=INDEX(Perioade!$D$6:$D$40,MATCH(B41,Perioade!$C$6:$C$40,1)),MATCH(B41,Perioade!$C$6:$C$40,1),""),""))</f>
        <v/>
      </c>
      <c r="D41" s="52" t="str">
        <f>IF(A41="","",IF(C41="","fără perioadă",INDEX(Perioade!$A$6:$A$40,C41)))</f>
        <v/>
      </c>
      <c r="E41" s="56">
        <f>IF(C41="",0,INDEX(Calcule!$R$6:$R$40,C41))</f>
        <v>0</v>
      </c>
      <c r="F41" s="56">
        <f>IF(C41="",0,INDEX(Calcule!$Y$6:$Y$40,C41))</f>
        <v>0</v>
      </c>
      <c r="G41" s="56">
        <f>IF(C41="",0,INDEX(Calcule!$AE$6:$AE$40,C41))</f>
        <v>0</v>
      </c>
      <c r="H41" s="56">
        <f>IF(C41="",0,INDEX(Calcule!$AI$6:$AI$40,C41))</f>
        <v>0</v>
      </c>
      <c r="I41" s="70">
        <f>IF(C41="",0,INDEX(Calcule!$P$6:$P$40,C41))</f>
        <v>0</v>
      </c>
    </row>
    <row r="42" spans="1:9" x14ac:dyDescent="0.2">
      <c r="A42" s="52" t="str">
        <f>IF(13&lt;=$B$5,13,"")</f>
        <v/>
      </c>
      <c r="B42" s="68" t="str">
        <f t="shared" si="0"/>
        <v/>
      </c>
      <c r="C42" s="69" t="str">
        <f>IF(A42="","",IFERROR(IF(B42&lt;=INDEX(Perioade!$D$6:$D$40,MATCH(B42,Perioade!$C$6:$C$40,1)),MATCH(B42,Perioade!$C$6:$C$40,1),""),""))</f>
        <v/>
      </c>
      <c r="D42" s="52" t="str">
        <f>IF(A42="","",IF(C42="","fără perioadă",INDEX(Perioade!$A$6:$A$40,C42)))</f>
        <v/>
      </c>
      <c r="E42" s="56">
        <f>IF(C42="",0,INDEX(Calcule!$R$6:$R$40,C42))</f>
        <v>0</v>
      </c>
      <c r="F42" s="56">
        <f>IF(C42="",0,INDEX(Calcule!$Y$6:$Y$40,C42))</f>
        <v>0</v>
      </c>
      <c r="G42" s="56">
        <f>IF(C42="",0,INDEX(Calcule!$AE$6:$AE$40,C42))</f>
        <v>0</v>
      </c>
      <c r="H42" s="56">
        <f>IF(C42="",0,INDEX(Calcule!$AI$6:$AI$40,C42))</f>
        <v>0</v>
      </c>
      <c r="I42" s="70">
        <f>IF(C42="",0,INDEX(Calcule!$P$6:$P$40,C42))</f>
        <v>0</v>
      </c>
    </row>
    <row r="43" spans="1:9" x14ac:dyDescent="0.2">
      <c r="A43" s="52" t="str">
        <f>IF(14&lt;=$B$5,14,"")</f>
        <v/>
      </c>
      <c r="B43" s="68" t="str">
        <f t="shared" si="0"/>
        <v/>
      </c>
      <c r="C43" s="69" t="str">
        <f>IF(A43="","",IFERROR(IF(B43&lt;=INDEX(Perioade!$D$6:$D$40,MATCH(B43,Perioade!$C$6:$C$40,1)),MATCH(B43,Perioade!$C$6:$C$40,1),""),""))</f>
        <v/>
      </c>
      <c r="D43" s="52" t="str">
        <f>IF(A43="","",IF(C43="","fără perioadă",INDEX(Perioade!$A$6:$A$40,C43)))</f>
        <v/>
      </c>
      <c r="E43" s="56">
        <f>IF(C43="",0,INDEX(Calcule!$R$6:$R$40,C43))</f>
        <v>0</v>
      </c>
      <c r="F43" s="56">
        <f>IF(C43="",0,INDEX(Calcule!$Y$6:$Y$40,C43))</f>
        <v>0</v>
      </c>
      <c r="G43" s="56">
        <f>IF(C43="",0,INDEX(Calcule!$AE$6:$AE$40,C43))</f>
        <v>0</v>
      </c>
      <c r="H43" s="56">
        <f>IF(C43="",0,INDEX(Calcule!$AI$6:$AI$40,C43))</f>
        <v>0</v>
      </c>
      <c r="I43" s="70">
        <f>IF(C43="",0,INDEX(Calcule!$P$6:$P$40,C43))</f>
        <v>0</v>
      </c>
    </row>
    <row r="44" spans="1:9" x14ac:dyDescent="0.2">
      <c r="A44" s="52" t="str">
        <f>IF(15&lt;=$B$5,15,"")</f>
        <v/>
      </c>
      <c r="B44" s="68" t="str">
        <f t="shared" si="0"/>
        <v/>
      </c>
      <c r="C44" s="69" t="str">
        <f>IF(A44="","",IFERROR(IF(B44&lt;=INDEX(Perioade!$D$6:$D$40,MATCH(B44,Perioade!$C$6:$C$40,1)),MATCH(B44,Perioade!$C$6:$C$40,1),""),""))</f>
        <v/>
      </c>
      <c r="D44" s="52" t="str">
        <f>IF(A44="","",IF(C44="","fără perioadă",INDEX(Perioade!$A$6:$A$40,C44)))</f>
        <v/>
      </c>
      <c r="E44" s="56">
        <f>IF(C44="",0,INDEX(Calcule!$R$6:$R$40,C44))</f>
        <v>0</v>
      </c>
      <c r="F44" s="56">
        <f>IF(C44="",0,INDEX(Calcule!$Y$6:$Y$40,C44))</f>
        <v>0</v>
      </c>
      <c r="G44" s="56">
        <f>IF(C44="",0,INDEX(Calcule!$AE$6:$AE$40,C44))</f>
        <v>0</v>
      </c>
      <c r="H44" s="56">
        <f>IF(C44="",0,INDEX(Calcule!$AI$6:$AI$40,C44))</f>
        <v>0</v>
      </c>
      <c r="I44" s="70">
        <f>IF(C44="",0,INDEX(Calcule!$P$6:$P$40,C44))</f>
        <v>0</v>
      </c>
    </row>
    <row r="45" spans="1:9" x14ac:dyDescent="0.2">
      <c r="A45" s="52" t="str">
        <f>IF(16&lt;=$B$5,16,"")</f>
        <v/>
      </c>
      <c r="B45" s="68" t="str">
        <f t="shared" si="0"/>
        <v/>
      </c>
      <c r="C45" s="69" t="str">
        <f>IF(A45="","",IFERROR(IF(B45&lt;=INDEX(Perioade!$D$6:$D$40,MATCH(B45,Perioade!$C$6:$C$40,1)),MATCH(B45,Perioade!$C$6:$C$40,1),""),""))</f>
        <v/>
      </c>
      <c r="D45" s="52" t="str">
        <f>IF(A45="","",IF(C45="","fără perioadă",INDEX(Perioade!$A$6:$A$40,C45)))</f>
        <v/>
      </c>
      <c r="E45" s="56">
        <f>IF(C45="",0,INDEX(Calcule!$R$6:$R$40,C45))</f>
        <v>0</v>
      </c>
      <c r="F45" s="56">
        <f>IF(C45="",0,INDEX(Calcule!$Y$6:$Y$40,C45))</f>
        <v>0</v>
      </c>
      <c r="G45" s="56">
        <f>IF(C45="",0,INDEX(Calcule!$AE$6:$AE$40,C45))</f>
        <v>0</v>
      </c>
      <c r="H45" s="56">
        <f>IF(C45="",0,INDEX(Calcule!$AI$6:$AI$40,C45))</f>
        <v>0</v>
      </c>
      <c r="I45" s="70">
        <f>IF(C45="",0,INDEX(Calcule!$P$6:$P$40,C45))</f>
        <v>0</v>
      </c>
    </row>
    <row r="46" spans="1:9" x14ac:dyDescent="0.2">
      <c r="A46" s="52" t="str">
        <f>IF(17&lt;=$B$5,17,"")</f>
        <v/>
      </c>
      <c r="B46" s="68" t="str">
        <f t="shared" si="0"/>
        <v/>
      </c>
      <c r="C46" s="69" t="str">
        <f>IF(A46="","",IFERROR(IF(B46&lt;=INDEX(Perioade!$D$6:$D$40,MATCH(B46,Perioade!$C$6:$C$40,1)),MATCH(B46,Perioade!$C$6:$C$40,1),""),""))</f>
        <v/>
      </c>
      <c r="D46" s="52" t="str">
        <f>IF(A46="","",IF(C46="","fără perioadă",INDEX(Perioade!$A$6:$A$40,C46)))</f>
        <v/>
      </c>
      <c r="E46" s="56">
        <f>IF(C46="",0,INDEX(Calcule!$R$6:$R$40,C46))</f>
        <v>0</v>
      </c>
      <c r="F46" s="56">
        <f>IF(C46="",0,INDEX(Calcule!$Y$6:$Y$40,C46))</f>
        <v>0</v>
      </c>
      <c r="G46" s="56">
        <f>IF(C46="",0,INDEX(Calcule!$AE$6:$AE$40,C46))</f>
        <v>0</v>
      </c>
      <c r="H46" s="56">
        <f>IF(C46="",0,INDEX(Calcule!$AI$6:$AI$40,C46))</f>
        <v>0</v>
      </c>
      <c r="I46" s="70">
        <f>IF(C46="",0,INDEX(Calcule!$P$6:$P$40,C46))</f>
        <v>0</v>
      </c>
    </row>
    <row r="47" spans="1:9" x14ac:dyDescent="0.2">
      <c r="A47" s="52" t="str">
        <f>IF(18&lt;=$B$5,18,"")</f>
        <v/>
      </c>
      <c r="B47" s="68" t="str">
        <f t="shared" si="0"/>
        <v/>
      </c>
      <c r="C47" s="69" t="str">
        <f>IF(A47="","",IFERROR(IF(B47&lt;=INDEX(Perioade!$D$6:$D$40,MATCH(B47,Perioade!$C$6:$C$40,1)),MATCH(B47,Perioade!$C$6:$C$40,1),""),""))</f>
        <v/>
      </c>
      <c r="D47" s="52" t="str">
        <f>IF(A47="","",IF(C47="","fără perioadă",INDEX(Perioade!$A$6:$A$40,C47)))</f>
        <v/>
      </c>
      <c r="E47" s="56">
        <f>IF(C47="",0,INDEX(Calcule!$R$6:$R$40,C47))</f>
        <v>0</v>
      </c>
      <c r="F47" s="56">
        <f>IF(C47="",0,INDEX(Calcule!$Y$6:$Y$40,C47))</f>
        <v>0</v>
      </c>
      <c r="G47" s="56">
        <f>IF(C47="",0,INDEX(Calcule!$AE$6:$AE$40,C47))</f>
        <v>0</v>
      </c>
      <c r="H47" s="56">
        <f>IF(C47="",0,INDEX(Calcule!$AI$6:$AI$40,C47))</f>
        <v>0</v>
      </c>
      <c r="I47" s="70">
        <f>IF(C47="",0,INDEX(Calcule!$P$6:$P$40,C47))</f>
        <v>0</v>
      </c>
    </row>
    <row r="48" spans="1:9" x14ac:dyDescent="0.2">
      <c r="A48" s="52" t="str">
        <f>IF(19&lt;=$B$5,19,"")</f>
        <v/>
      </c>
      <c r="B48" s="68" t="str">
        <f t="shared" si="0"/>
        <v/>
      </c>
      <c r="C48" s="69" t="str">
        <f>IF(A48="","",IFERROR(IF(B48&lt;=INDEX(Perioade!$D$6:$D$40,MATCH(B48,Perioade!$C$6:$C$40,1)),MATCH(B48,Perioade!$C$6:$C$40,1),""),""))</f>
        <v/>
      </c>
      <c r="D48" s="52" t="str">
        <f>IF(A48="","",IF(C48="","fără perioadă",INDEX(Perioade!$A$6:$A$40,C48)))</f>
        <v/>
      </c>
      <c r="E48" s="56">
        <f>IF(C48="",0,INDEX(Calcule!$R$6:$R$40,C48))</f>
        <v>0</v>
      </c>
      <c r="F48" s="56">
        <f>IF(C48="",0,INDEX(Calcule!$Y$6:$Y$40,C48))</f>
        <v>0</v>
      </c>
      <c r="G48" s="56">
        <f>IF(C48="",0,INDEX(Calcule!$AE$6:$AE$40,C48))</f>
        <v>0</v>
      </c>
      <c r="H48" s="56">
        <f>IF(C48="",0,INDEX(Calcule!$AI$6:$AI$40,C48))</f>
        <v>0</v>
      </c>
      <c r="I48" s="70">
        <f>IF(C48="",0,INDEX(Calcule!$P$6:$P$40,C48))</f>
        <v>0</v>
      </c>
    </row>
    <row r="49" spans="1:9" x14ac:dyDescent="0.2">
      <c r="A49" s="52" t="str">
        <f>IF(20&lt;=$B$5,20,"")</f>
        <v/>
      </c>
      <c r="B49" s="68" t="str">
        <f t="shared" si="0"/>
        <v/>
      </c>
      <c r="C49" s="69" t="str">
        <f>IF(A49="","",IFERROR(IF(B49&lt;=INDEX(Perioade!$D$6:$D$40,MATCH(B49,Perioade!$C$6:$C$40,1)),MATCH(B49,Perioade!$C$6:$C$40,1),""),""))</f>
        <v/>
      </c>
      <c r="D49" s="52" t="str">
        <f>IF(A49="","",IF(C49="","fără perioadă",INDEX(Perioade!$A$6:$A$40,C49)))</f>
        <v/>
      </c>
      <c r="E49" s="56">
        <f>IF(C49="",0,INDEX(Calcule!$R$6:$R$40,C49))</f>
        <v>0</v>
      </c>
      <c r="F49" s="56">
        <f>IF(C49="",0,INDEX(Calcule!$Y$6:$Y$40,C49))</f>
        <v>0</v>
      </c>
      <c r="G49" s="56">
        <f>IF(C49="",0,INDEX(Calcule!$AE$6:$AE$40,C49))</f>
        <v>0</v>
      </c>
      <c r="H49" s="56">
        <f>IF(C49="",0,INDEX(Calcule!$AI$6:$AI$40,C49))</f>
        <v>0</v>
      </c>
      <c r="I49" s="70">
        <f>IF(C49="",0,INDEX(Calcule!$P$6:$P$40,C49))</f>
        <v>0</v>
      </c>
    </row>
    <row r="50" spans="1:9" x14ac:dyDescent="0.2">
      <c r="A50" s="52" t="str">
        <f>IF(21&lt;=$B$5,21,"")</f>
        <v/>
      </c>
      <c r="B50" s="68" t="str">
        <f t="shared" si="0"/>
        <v/>
      </c>
      <c r="C50" s="69" t="str">
        <f>IF(A50="","",IFERROR(IF(B50&lt;=INDEX(Perioade!$D$6:$D$40,MATCH(B50,Perioade!$C$6:$C$40,1)),MATCH(B50,Perioade!$C$6:$C$40,1),""),""))</f>
        <v/>
      </c>
      <c r="D50" s="52" t="str">
        <f>IF(A50="","",IF(C50="","fără perioadă",INDEX(Perioade!$A$6:$A$40,C50)))</f>
        <v/>
      </c>
      <c r="E50" s="56">
        <f>IF(C50="",0,INDEX(Calcule!$R$6:$R$40,C50))</f>
        <v>0</v>
      </c>
      <c r="F50" s="56">
        <f>IF(C50="",0,INDEX(Calcule!$Y$6:$Y$40,C50))</f>
        <v>0</v>
      </c>
      <c r="G50" s="56">
        <f>IF(C50="",0,INDEX(Calcule!$AE$6:$AE$40,C50))</f>
        <v>0</v>
      </c>
      <c r="H50" s="56">
        <f>IF(C50="",0,INDEX(Calcule!$AI$6:$AI$40,C50))</f>
        <v>0</v>
      </c>
      <c r="I50" s="70">
        <f>IF(C50="",0,INDEX(Calcule!$P$6:$P$40,C50))</f>
        <v>0</v>
      </c>
    </row>
    <row r="51" spans="1:9" x14ac:dyDescent="0.2">
      <c r="A51" s="52" t="str">
        <f>IF(22&lt;=$B$5,22,"")</f>
        <v/>
      </c>
      <c r="B51" s="68" t="str">
        <f t="shared" si="0"/>
        <v/>
      </c>
      <c r="C51" s="69" t="str">
        <f>IF(A51="","",IFERROR(IF(B51&lt;=INDEX(Perioade!$D$6:$D$40,MATCH(B51,Perioade!$C$6:$C$40,1)),MATCH(B51,Perioade!$C$6:$C$40,1),""),""))</f>
        <v/>
      </c>
      <c r="D51" s="52" t="str">
        <f>IF(A51="","",IF(C51="","fără perioadă",INDEX(Perioade!$A$6:$A$40,C51)))</f>
        <v/>
      </c>
      <c r="E51" s="56">
        <f>IF(C51="",0,INDEX(Calcule!$R$6:$R$40,C51))</f>
        <v>0</v>
      </c>
      <c r="F51" s="56">
        <f>IF(C51="",0,INDEX(Calcule!$Y$6:$Y$40,C51))</f>
        <v>0</v>
      </c>
      <c r="G51" s="56">
        <f>IF(C51="",0,INDEX(Calcule!$AE$6:$AE$40,C51))</f>
        <v>0</v>
      </c>
      <c r="H51" s="56">
        <f>IF(C51="",0,INDEX(Calcule!$AI$6:$AI$40,C51))</f>
        <v>0</v>
      </c>
      <c r="I51" s="70">
        <f>IF(C51="",0,INDEX(Calcule!$P$6:$P$40,C51))</f>
        <v>0</v>
      </c>
    </row>
    <row r="52" spans="1:9" x14ac:dyDescent="0.2">
      <c r="A52" s="52" t="str">
        <f>IF(23&lt;=$B$5,23,"")</f>
        <v/>
      </c>
      <c r="B52" s="68" t="str">
        <f t="shared" si="0"/>
        <v/>
      </c>
      <c r="C52" s="69" t="str">
        <f>IF(A52="","",IFERROR(IF(B52&lt;=INDEX(Perioade!$D$6:$D$40,MATCH(B52,Perioade!$C$6:$C$40,1)),MATCH(B52,Perioade!$C$6:$C$40,1),""),""))</f>
        <v/>
      </c>
      <c r="D52" s="52" t="str">
        <f>IF(A52="","",IF(C52="","fără perioadă",INDEX(Perioade!$A$6:$A$40,C52)))</f>
        <v/>
      </c>
      <c r="E52" s="56">
        <f>IF(C52="",0,INDEX(Calcule!$R$6:$R$40,C52))</f>
        <v>0</v>
      </c>
      <c r="F52" s="56">
        <f>IF(C52="",0,INDEX(Calcule!$Y$6:$Y$40,C52))</f>
        <v>0</v>
      </c>
      <c r="G52" s="56">
        <f>IF(C52="",0,INDEX(Calcule!$AE$6:$AE$40,C52))</f>
        <v>0</v>
      </c>
      <c r="H52" s="56">
        <f>IF(C52="",0,INDEX(Calcule!$AI$6:$AI$40,C52))</f>
        <v>0</v>
      </c>
      <c r="I52" s="70">
        <f>IF(C52="",0,INDEX(Calcule!$P$6:$P$40,C52))</f>
        <v>0</v>
      </c>
    </row>
    <row r="53" spans="1:9" x14ac:dyDescent="0.2">
      <c r="A53" s="52" t="str">
        <f>IF(24&lt;=$B$5,24,"")</f>
        <v/>
      </c>
      <c r="B53" s="68" t="str">
        <f t="shared" si="0"/>
        <v/>
      </c>
      <c r="C53" s="69" t="str">
        <f>IF(A53="","",IFERROR(IF(B53&lt;=INDEX(Perioade!$D$6:$D$40,MATCH(B53,Perioade!$C$6:$C$40,1)),MATCH(B53,Perioade!$C$6:$C$40,1),""),""))</f>
        <v/>
      </c>
      <c r="D53" s="52" t="str">
        <f>IF(A53="","",IF(C53="","fără perioadă",INDEX(Perioade!$A$6:$A$40,C53)))</f>
        <v/>
      </c>
      <c r="E53" s="56">
        <f>IF(C53="",0,INDEX(Calcule!$R$6:$R$40,C53))</f>
        <v>0</v>
      </c>
      <c r="F53" s="56">
        <f>IF(C53="",0,INDEX(Calcule!$Y$6:$Y$40,C53))</f>
        <v>0</v>
      </c>
      <c r="G53" s="56">
        <f>IF(C53="",0,INDEX(Calcule!$AE$6:$AE$40,C53))</f>
        <v>0</v>
      </c>
      <c r="H53" s="56">
        <f>IF(C53="",0,INDEX(Calcule!$AI$6:$AI$40,C53))</f>
        <v>0</v>
      </c>
      <c r="I53" s="70">
        <f>IF(C53="",0,INDEX(Calcule!$P$6:$P$40,C53))</f>
        <v>0</v>
      </c>
    </row>
    <row r="54" spans="1:9" x14ac:dyDescent="0.2">
      <c r="A54" s="52" t="str">
        <f>IF(25&lt;=$B$5,25,"")</f>
        <v/>
      </c>
      <c r="B54" s="68" t="str">
        <f t="shared" si="0"/>
        <v/>
      </c>
      <c r="C54" s="69" t="str">
        <f>IF(A54="","",IFERROR(IF(B54&lt;=INDEX(Perioade!$D$6:$D$40,MATCH(B54,Perioade!$C$6:$C$40,1)),MATCH(B54,Perioade!$C$6:$C$40,1),""),""))</f>
        <v/>
      </c>
      <c r="D54" s="52" t="str">
        <f>IF(A54="","",IF(C54="","fără perioadă",INDEX(Perioade!$A$6:$A$40,C54)))</f>
        <v/>
      </c>
      <c r="E54" s="56">
        <f>IF(C54="",0,INDEX(Calcule!$R$6:$R$40,C54))</f>
        <v>0</v>
      </c>
      <c r="F54" s="56">
        <f>IF(C54="",0,INDEX(Calcule!$Y$6:$Y$40,C54))</f>
        <v>0</v>
      </c>
      <c r="G54" s="56">
        <f>IF(C54="",0,INDEX(Calcule!$AE$6:$AE$40,C54))</f>
        <v>0</v>
      </c>
      <c r="H54" s="56">
        <f>IF(C54="",0,INDEX(Calcule!$AI$6:$AI$40,C54))</f>
        <v>0</v>
      </c>
      <c r="I54" s="70">
        <f>IF(C54="",0,INDEX(Calcule!$P$6:$P$40,C54))</f>
        <v>0</v>
      </c>
    </row>
    <row r="55" spans="1:9" x14ac:dyDescent="0.2">
      <c r="A55" s="52" t="str">
        <f>IF(26&lt;=$B$5,26,"")</f>
        <v/>
      </c>
      <c r="B55" s="68" t="str">
        <f t="shared" si="0"/>
        <v/>
      </c>
      <c r="C55" s="69" t="str">
        <f>IF(A55="","",IFERROR(IF(B55&lt;=INDEX(Perioade!$D$6:$D$40,MATCH(B55,Perioade!$C$6:$C$40,1)),MATCH(B55,Perioade!$C$6:$C$40,1),""),""))</f>
        <v/>
      </c>
      <c r="D55" s="52" t="str">
        <f>IF(A55="","",IF(C55="","fără perioadă",INDEX(Perioade!$A$6:$A$40,C55)))</f>
        <v/>
      </c>
      <c r="E55" s="56">
        <f>IF(C55="",0,INDEX(Calcule!$R$6:$R$40,C55))</f>
        <v>0</v>
      </c>
      <c r="F55" s="56">
        <f>IF(C55="",0,INDEX(Calcule!$Y$6:$Y$40,C55))</f>
        <v>0</v>
      </c>
      <c r="G55" s="56">
        <f>IF(C55="",0,INDEX(Calcule!$AE$6:$AE$40,C55))</f>
        <v>0</v>
      </c>
      <c r="H55" s="56">
        <f>IF(C55="",0,INDEX(Calcule!$AI$6:$AI$40,C55))</f>
        <v>0</v>
      </c>
      <c r="I55" s="70">
        <f>IF(C55="",0,INDEX(Calcule!$P$6:$P$40,C55))</f>
        <v>0</v>
      </c>
    </row>
    <row r="56" spans="1:9" x14ac:dyDescent="0.2">
      <c r="A56" s="52" t="str">
        <f>IF(27&lt;=$B$5,27,"")</f>
        <v/>
      </c>
      <c r="B56" s="68" t="str">
        <f t="shared" si="0"/>
        <v/>
      </c>
      <c r="C56" s="69" t="str">
        <f>IF(A56="","",IFERROR(IF(B56&lt;=INDEX(Perioade!$D$6:$D$40,MATCH(B56,Perioade!$C$6:$C$40,1)),MATCH(B56,Perioade!$C$6:$C$40,1),""),""))</f>
        <v/>
      </c>
      <c r="D56" s="52" t="str">
        <f>IF(A56="","",IF(C56="","fără perioadă",INDEX(Perioade!$A$6:$A$40,C56)))</f>
        <v/>
      </c>
      <c r="E56" s="56">
        <f>IF(C56="",0,INDEX(Calcule!$R$6:$R$40,C56))</f>
        <v>0</v>
      </c>
      <c r="F56" s="56">
        <f>IF(C56="",0,INDEX(Calcule!$Y$6:$Y$40,C56))</f>
        <v>0</v>
      </c>
      <c r="G56" s="56">
        <f>IF(C56="",0,INDEX(Calcule!$AE$6:$AE$40,C56))</f>
        <v>0</v>
      </c>
      <c r="H56" s="56">
        <f>IF(C56="",0,INDEX(Calcule!$AI$6:$AI$40,C56))</f>
        <v>0</v>
      </c>
      <c r="I56" s="70">
        <f>IF(C56="",0,INDEX(Calcule!$P$6:$P$40,C56))</f>
        <v>0</v>
      </c>
    </row>
    <row r="57" spans="1:9" x14ac:dyDescent="0.2">
      <c r="A57" s="52" t="str">
        <f>IF(28&lt;=$B$5,28,"")</f>
        <v/>
      </c>
      <c r="B57" s="68" t="str">
        <f t="shared" si="0"/>
        <v/>
      </c>
      <c r="C57" s="69" t="str">
        <f>IF(A57="","",IFERROR(IF(B57&lt;=INDEX(Perioade!$D$6:$D$40,MATCH(B57,Perioade!$C$6:$C$40,1)),MATCH(B57,Perioade!$C$6:$C$40,1),""),""))</f>
        <v/>
      </c>
      <c r="D57" s="52" t="str">
        <f>IF(A57="","",IF(C57="","fără perioadă",INDEX(Perioade!$A$6:$A$40,C57)))</f>
        <v/>
      </c>
      <c r="E57" s="56">
        <f>IF(C57="",0,INDEX(Calcule!$R$6:$R$40,C57))</f>
        <v>0</v>
      </c>
      <c r="F57" s="56">
        <f>IF(C57="",0,INDEX(Calcule!$Y$6:$Y$40,C57))</f>
        <v>0</v>
      </c>
      <c r="G57" s="56">
        <f>IF(C57="",0,INDEX(Calcule!$AE$6:$AE$40,C57))</f>
        <v>0</v>
      </c>
      <c r="H57" s="56">
        <f>IF(C57="",0,INDEX(Calcule!$AI$6:$AI$40,C57))</f>
        <v>0</v>
      </c>
      <c r="I57" s="70">
        <f>IF(C57="",0,INDEX(Calcule!$P$6:$P$40,C57))</f>
        <v>0</v>
      </c>
    </row>
    <row r="58" spans="1:9" x14ac:dyDescent="0.2">
      <c r="A58" s="52" t="str">
        <f>IF(29&lt;=$B$5,29,"")</f>
        <v/>
      </c>
      <c r="B58" s="68" t="str">
        <f t="shared" si="0"/>
        <v/>
      </c>
      <c r="C58" s="69" t="str">
        <f>IF(A58="","",IFERROR(IF(B58&lt;=INDEX(Perioade!$D$6:$D$40,MATCH(B58,Perioade!$C$6:$C$40,1)),MATCH(B58,Perioade!$C$6:$C$40,1),""),""))</f>
        <v/>
      </c>
      <c r="D58" s="52" t="str">
        <f>IF(A58="","",IF(C58="","fără perioadă",INDEX(Perioade!$A$6:$A$40,C58)))</f>
        <v/>
      </c>
      <c r="E58" s="56">
        <f>IF(C58="",0,INDEX(Calcule!$R$6:$R$40,C58))</f>
        <v>0</v>
      </c>
      <c r="F58" s="56">
        <f>IF(C58="",0,INDEX(Calcule!$Y$6:$Y$40,C58))</f>
        <v>0</v>
      </c>
      <c r="G58" s="56">
        <f>IF(C58="",0,INDEX(Calcule!$AE$6:$AE$40,C58))</f>
        <v>0</v>
      </c>
      <c r="H58" s="56">
        <f>IF(C58="",0,INDEX(Calcule!$AI$6:$AI$40,C58))</f>
        <v>0</v>
      </c>
      <c r="I58" s="70">
        <f>IF(C58="",0,INDEX(Calcule!$P$6:$P$40,C58))</f>
        <v>0</v>
      </c>
    </row>
    <row r="59" spans="1:9" x14ac:dyDescent="0.2">
      <c r="A59" s="52" t="str">
        <f>IF(30&lt;=$B$5,30,"")</f>
        <v/>
      </c>
      <c r="B59" s="68" t="str">
        <f t="shared" si="0"/>
        <v/>
      </c>
      <c r="C59" s="69" t="str">
        <f>IF(A59="","",IFERROR(IF(B59&lt;=INDEX(Perioade!$D$6:$D$40,MATCH(B59,Perioade!$C$6:$C$40,1)),MATCH(B59,Perioade!$C$6:$C$40,1),""),""))</f>
        <v/>
      </c>
      <c r="D59" s="52" t="str">
        <f>IF(A59="","",IF(C59="","fără perioadă",INDEX(Perioade!$A$6:$A$40,C59)))</f>
        <v/>
      </c>
      <c r="E59" s="56">
        <f>IF(C59="",0,INDEX(Calcule!$R$6:$R$40,C59))</f>
        <v>0</v>
      </c>
      <c r="F59" s="56">
        <f>IF(C59="",0,INDEX(Calcule!$Y$6:$Y$40,C59))</f>
        <v>0</v>
      </c>
      <c r="G59" s="56">
        <f>IF(C59="",0,INDEX(Calcule!$AE$6:$AE$40,C59))</f>
        <v>0</v>
      </c>
      <c r="H59" s="56">
        <f>IF(C59="",0,INDEX(Calcule!$AI$6:$AI$40,C59))</f>
        <v>0</v>
      </c>
      <c r="I59" s="70">
        <f>IF(C59="",0,INDEX(Calcule!$P$6:$P$40,C59))</f>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0CFBA3-F6FC-432A-A18E-899A51266FAE}">
  <dimension ref="A1:K369"/>
  <sheetViews>
    <sheetView workbookViewId="0">
      <pane ySplit="4" topLeftCell="A5" activePane="bottomLeft" state="frozenSplit"/>
      <selection pane="bottomLeft"/>
    </sheetView>
  </sheetViews>
  <sheetFormatPr defaultRowHeight="12.75" x14ac:dyDescent="0.2"/>
  <cols>
    <col min="1" max="1" width="12.7109375" customWidth="1"/>
    <col min="2" max="2" width="5.7109375" customWidth="1"/>
    <col min="3" max="3" width="20.7109375" customWidth="1"/>
    <col min="4" max="4" width="9.7109375" customWidth="1"/>
    <col min="5" max="10" width="12.7109375" customWidth="1"/>
    <col min="11" max="11" width="8.7109375" customWidth="1"/>
  </cols>
  <sheetData>
    <row r="1" spans="1:11" ht="18" x14ac:dyDescent="0.25">
      <c r="A1" s="9" t="s">
        <v>275</v>
      </c>
    </row>
    <row r="2" spans="1:11" x14ac:dyDescent="0.2">
      <c r="A2" t="s">
        <v>276</v>
      </c>
      <c r="B2" s="38">
        <v>46320</v>
      </c>
      <c r="C2" s="10" t="s">
        <v>277</v>
      </c>
    </row>
    <row r="4" spans="1:11" ht="30" customHeight="1" x14ac:dyDescent="0.2">
      <c r="A4" s="13" t="s">
        <v>272</v>
      </c>
      <c r="B4" s="13" t="s">
        <v>278</v>
      </c>
      <c r="C4" s="13" t="s">
        <v>2</v>
      </c>
      <c r="D4" s="13" t="s">
        <v>218</v>
      </c>
      <c r="E4" s="13" t="s">
        <v>118</v>
      </c>
      <c r="F4" s="13" t="s">
        <v>227</v>
      </c>
      <c r="G4" s="13" t="s">
        <v>228</v>
      </c>
      <c r="H4" s="13" t="s">
        <v>59</v>
      </c>
      <c r="I4" s="13" t="s">
        <v>60</v>
      </c>
      <c r="J4" s="13" t="s">
        <v>147</v>
      </c>
      <c r="K4" s="13" t="s">
        <v>273</v>
      </c>
    </row>
    <row r="5" spans="1:11" x14ac:dyDescent="0.2">
      <c r="A5" s="61">
        <f t="shared" ref="A5:A68" si="0">$B$2+ROW()-5</f>
        <v>46320</v>
      </c>
      <c r="B5" s="71" t="str">
        <f t="shared" ref="B5:B68" si="1">CHOOSE(WEEKDAY(A5,2),"Lu","Ma","Mi","Jo","Vi","Sâ","Du")</f>
        <v>Du</v>
      </c>
      <c r="C5" t="str">
        <f>IF(K5="","⚠ fără perioadă",INDEX(Perioade!$A$6:$A$40,K5))</f>
        <v>vara-toamna-2026</v>
      </c>
      <c r="D5" s="71">
        <f>IF(K5="","",INDEX(Calcule!$C$6:$C$40,K5))</f>
        <v>2</v>
      </c>
      <c r="E5" s="71" t="str">
        <f>IF(K5="","",INDEX(Calcule!$B$6:$B$40,K5))</f>
        <v>Standard</v>
      </c>
      <c r="F5" s="12">
        <f>IF(K5="","",INDEX(Calcule!$R$6:$R$40,K5))</f>
        <v>900</v>
      </c>
      <c r="G5" s="12">
        <f>IF(K5="","",INDEX(Calcule!$Y$6:$Y$40,K5))</f>
        <v>1160</v>
      </c>
      <c r="H5" s="12">
        <f>IF(K5="","",INDEX(Calcule!$AE$6:$AE$40,K5))</f>
        <v>940</v>
      </c>
      <c r="I5" s="12">
        <f>IF(K5="","",INDEX(Calcule!$AI$6:$AI$40,K5))</f>
        <v>1000</v>
      </c>
      <c r="J5" s="12">
        <f>IF(K5="","",INDEX(Calcule!$U$6:$U$40,K5))</f>
        <v>653.79665379665369</v>
      </c>
      <c r="K5" s="72">
        <f>IFERROR(IF(A5&lt;=INDEX(Perioade!$D$6:$D$40,MATCH(A5,Perioade!$C$6:$C$40,1)),MATCH(A5,Perioade!$C$6:$C$40,1),""),"")</f>
        <v>1</v>
      </c>
    </row>
    <row r="6" spans="1:11" x14ac:dyDescent="0.2">
      <c r="A6" s="61">
        <f t="shared" si="0"/>
        <v>46321</v>
      </c>
      <c r="B6" s="71" t="str">
        <f t="shared" si="1"/>
        <v>Lu</v>
      </c>
      <c r="C6" t="str">
        <f>IF(K6="","⚠ fără perioadă",INDEX(Perioade!$A$6:$A$40,K6))</f>
        <v>vara-toamna-2026</v>
      </c>
      <c r="D6" s="71">
        <f>IF(K6="","",INDEX(Calcule!$C$6:$C$40,K6))</f>
        <v>2</v>
      </c>
      <c r="E6" s="71" t="str">
        <f>IF(K6="","",INDEX(Calcule!$B$6:$B$40,K6))</f>
        <v>Standard</v>
      </c>
      <c r="F6" s="12">
        <f>IF(K6="","",INDEX(Calcule!$R$6:$R$40,K6))</f>
        <v>900</v>
      </c>
      <c r="G6" s="12">
        <f>IF(K6="","",INDEX(Calcule!$Y$6:$Y$40,K6))</f>
        <v>1160</v>
      </c>
      <c r="H6" s="12">
        <f>IF(K6="","",INDEX(Calcule!$AE$6:$AE$40,K6))</f>
        <v>940</v>
      </c>
      <c r="I6" s="12">
        <f>IF(K6="","",INDEX(Calcule!$AI$6:$AI$40,K6))</f>
        <v>1000</v>
      </c>
      <c r="J6" s="12">
        <f>IF(K6="","",INDEX(Calcule!$U$6:$U$40,K6))</f>
        <v>653.79665379665369</v>
      </c>
      <c r="K6" s="72">
        <f>IFERROR(IF(A6&lt;=INDEX(Perioade!$D$6:$D$40,MATCH(A6,Perioade!$C$6:$C$40,1)),MATCH(A6,Perioade!$C$6:$C$40,1),""),"")</f>
        <v>1</v>
      </c>
    </row>
    <row r="7" spans="1:11" x14ac:dyDescent="0.2">
      <c r="A7" s="61">
        <f t="shared" si="0"/>
        <v>46322</v>
      </c>
      <c r="B7" s="71" t="str">
        <f t="shared" si="1"/>
        <v>Ma</v>
      </c>
      <c r="C7" t="str">
        <f>IF(K7="","⚠ fără perioadă",INDEX(Perioade!$A$6:$A$40,K7))</f>
        <v>vara-toamna-2026</v>
      </c>
      <c r="D7" s="71">
        <f>IF(K7="","",INDEX(Calcule!$C$6:$C$40,K7))</f>
        <v>2</v>
      </c>
      <c r="E7" s="71" t="str">
        <f>IF(K7="","",INDEX(Calcule!$B$6:$B$40,K7))</f>
        <v>Standard</v>
      </c>
      <c r="F7" s="12">
        <f>IF(K7="","",INDEX(Calcule!$R$6:$R$40,K7))</f>
        <v>900</v>
      </c>
      <c r="G7" s="12">
        <f>IF(K7="","",INDEX(Calcule!$Y$6:$Y$40,K7))</f>
        <v>1160</v>
      </c>
      <c r="H7" s="12">
        <f>IF(K7="","",INDEX(Calcule!$AE$6:$AE$40,K7))</f>
        <v>940</v>
      </c>
      <c r="I7" s="12">
        <f>IF(K7="","",INDEX(Calcule!$AI$6:$AI$40,K7))</f>
        <v>1000</v>
      </c>
      <c r="J7" s="12">
        <f>IF(K7="","",INDEX(Calcule!$U$6:$U$40,K7))</f>
        <v>653.79665379665369</v>
      </c>
      <c r="K7" s="72">
        <f>IFERROR(IF(A7&lt;=INDEX(Perioade!$D$6:$D$40,MATCH(A7,Perioade!$C$6:$C$40,1)),MATCH(A7,Perioade!$C$6:$C$40,1),""),"")</f>
        <v>1</v>
      </c>
    </row>
    <row r="8" spans="1:11" x14ac:dyDescent="0.2">
      <c r="A8" s="61">
        <f t="shared" si="0"/>
        <v>46323</v>
      </c>
      <c r="B8" s="71" t="str">
        <f t="shared" si="1"/>
        <v>Mi</v>
      </c>
      <c r="C8" t="str">
        <f>IF(K8="","⚠ fără perioadă",INDEX(Perioade!$A$6:$A$40,K8))</f>
        <v>vara-toamna-2026</v>
      </c>
      <c r="D8" s="71">
        <f>IF(K8="","",INDEX(Calcule!$C$6:$C$40,K8))</f>
        <v>2</v>
      </c>
      <c r="E8" s="71" t="str">
        <f>IF(K8="","",INDEX(Calcule!$B$6:$B$40,K8))</f>
        <v>Standard</v>
      </c>
      <c r="F8" s="12">
        <f>IF(K8="","",INDEX(Calcule!$R$6:$R$40,K8))</f>
        <v>900</v>
      </c>
      <c r="G8" s="12">
        <f>IF(K8="","",INDEX(Calcule!$Y$6:$Y$40,K8))</f>
        <v>1160</v>
      </c>
      <c r="H8" s="12">
        <f>IF(K8="","",INDEX(Calcule!$AE$6:$AE$40,K8))</f>
        <v>940</v>
      </c>
      <c r="I8" s="12">
        <f>IF(K8="","",INDEX(Calcule!$AI$6:$AI$40,K8))</f>
        <v>1000</v>
      </c>
      <c r="J8" s="12">
        <f>IF(K8="","",INDEX(Calcule!$U$6:$U$40,K8))</f>
        <v>653.79665379665369</v>
      </c>
      <c r="K8" s="72">
        <f>IFERROR(IF(A8&lt;=INDEX(Perioade!$D$6:$D$40,MATCH(A8,Perioade!$C$6:$C$40,1)),MATCH(A8,Perioade!$C$6:$C$40,1),""),"")</f>
        <v>1</v>
      </c>
    </row>
    <row r="9" spans="1:11" x14ac:dyDescent="0.2">
      <c r="A9" s="61">
        <f t="shared" si="0"/>
        <v>46324</v>
      </c>
      <c r="B9" s="71" t="str">
        <f t="shared" si="1"/>
        <v>Jo</v>
      </c>
      <c r="C9" t="str">
        <f>IF(K9="","⚠ fără perioadă",INDEX(Perioade!$A$6:$A$40,K9))</f>
        <v>vara-toamna-2026</v>
      </c>
      <c r="D9" s="71">
        <f>IF(K9="","",INDEX(Calcule!$C$6:$C$40,K9))</f>
        <v>2</v>
      </c>
      <c r="E9" s="71" t="str">
        <f>IF(K9="","",INDEX(Calcule!$B$6:$B$40,K9))</f>
        <v>Standard</v>
      </c>
      <c r="F9" s="12">
        <f>IF(K9="","",INDEX(Calcule!$R$6:$R$40,K9))</f>
        <v>900</v>
      </c>
      <c r="G9" s="12">
        <f>IF(K9="","",INDEX(Calcule!$Y$6:$Y$40,K9))</f>
        <v>1160</v>
      </c>
      <c r="H9" s="12">
        <f>IF(K9="","",INDEX(Calcule!$AE$6:$AE$40,K9))</f>
        <v>940</v>
      </c>
      <c r="I9" s="12">
        <f>IF(K9="","",INDEX(Calcule!$AI$6:$AI$40,K9))</f>
        <v>1000</v>
      </c>
      <c r="J9" s="12">
        <f>IF(K9="","",INDEX(Calcule!$U$6:$U$40,K9))</f>
        <v>653.79665379665369</v>
      </c>
      <c r="K9" s="72">
        <f>IFERROR(IF(A9&lt;=INDEX(Perioade!$D$6:$D$40,MATCH(A9,Perioade!$C$6:$C$40,1)),MATCH(A9,Perioade!$C$6:$C$40,1),""),"")</f>
        <v>1</v>
      </c>
    </row>
    <row r="10" spans="1:11" x14ac:dyDescent="0.2">
      <c r="A10" s="61">
        <f t="shared" si="0"/>
        <v>46325</v>
      </c>
      <c r="B10" s="71" t="str">
        <f t="shared" si="1"/>
        <v>Vi</v>
      </c>
      <c r="C10" t="str">
        <f>IF(K10="","⚠ fără perioadă",INDEX(Perioade!$A$6:$A$40,K10))</f>
        <v>vara-toamna-2026</v>
      </c>
      <c r="D10" s="71">
        <f>IF(K10="","",INDEX(Calcule!$C$6:$C$40,K10))</f>
        <v>2</v>
      </c>
      <c r="E10" s="71" t="str">
        <f>IF(K10="","",INDEX(Calcule!$B$6:$B$40,K10))</f>
        <v>Standard</v>
      </c>
      <c r="F10" s="12">
        <f>IF(K10="","",INDEX(Calcule!$R$6:$R$40,K10))</f>
        <v>900</v>
      </c>
      <c r="G10" s="12">
        <f>IF(K10="","",INDEX(Calcule!$Y$6:$Y$40,K10))</f>
        <v>1160</v>
      </c>
      <c r="H10" s="12">
        <f>IF(K10="","",INDEX(Calcule!$AE$6:$AE$40,K10))</f>
        <v>940</v>
      </c>
      <c r="I10" s="12">
        <f>IF(K10="","",INDEX(Calcule!$AI$6:$AI$40,K10))</f>
        <v>1000</v>
      </c>
      <c r="J10" s="12">
        <f>IF(K10="","",INDEX(Calcule!$U$6:$U$40,K10))</f>
        <v>653.79665379665369</v>
      </c>
      <c r="K10" s="72">
        <f>IFERROR(IF(A10&lt;=INDEX(Perioade!$D$6:$D$40,MATCH(A10,Perioade!$C$6:$C$40,1)),MATCH(A10,Perioade!$C$6:$C$40,1),""),"")</f>
        <v>1</v>
      </c>
    </row>
    <row r="11" spans="1:11" x14ac:dyDescent="0.2">
      <c r="A11" s="61">
        <f t="shared" si="0"/>
        <v>46326</v>
      </c>
      <c r="B11" s="71" t="str">
        <f t="shared" si="1"/>
        <v>Sâ</v>
      </c>
      <c r="C11" t="str">
        <f>IF(K11="","⚠ fără perioadă",INDEX(Perioade!$A$6:$A$40,K11))</f>
        <v>vara-toamna-2026</v>
      </c>
      <c r="D11" s="71">
        <f>IF(K11="","",INDEX(Calcule!$C$6:$C$40,K11))</f>
        <v>2</v>
      </c>
      <c r="E11" s="71" t="str">
        <f>IF(K11="","",INDEX(Calcule!$B$6:$B$40,K11))</f>
        <v>Standard</v>
      </c>
      <c r="F11" s="12">
        <f>IF(K11="","",INDEX(Calcule!$R$6:$R$40,K11))</f>
        <v>900</v>
      </c>
      <c r="G11" s="12">
        <f>IF(K11="","",INDEX(Calcule!$Y$6:$Y$40,K11))</f>
        <v>1160</v>
      </c>
      <c r="H11" s="12">
        <f>IF(K11="","",INDEX(Calcule!$AE$6:$AE$40,K11))</f>
        <v>940</v>
      </c>
      <c r="I11" s="12">
        <f>IF(K11="","",INDEX(Calcule!$AI$6:$AI$40,K11))</f>
        <v>1000</v>
      </c>
      <c r="J11" s="12">
        <f>IF(K11="","",INDEX(Calcule!$U$6:$U$40,K11))</f>
        <v>653.79665379665369</v>
      </c>
      <c r="K11" s="72">
        <f>IFERROR(IF(A11&lt;=INDEX(Perioade!$D$6:$D$40,MATCH(A11,Perioade!$C$6:$C$40,1)),MATCH(A11,Perioade!$C$6:$C$40,1),""),"")</f>
        <v>1</v>
      </c>
    </row>
    <row r="12" spans="1:11" x14ac:dyDescent="0.2">
      <c r="A12" s="61">
        <f t="shared" si="0"/>
        <v>46327</v>
      </c>
      <c r="B12" s="71" t="str">
        <f t="shared" si="1"/>
        <v>Du</v>
      </c>
      <c r="C12" t="str">
        <f>IF(K12="","⚠ fără perioadă",INDEX(Perioade!$A$6:$A$40,K12))</f>
        <v>vara-toamna-2026</v>
      </c>
      <c r="D12" s="71">
        <f>IF(K12="","",INDEX(Calcule!$C$6:$C$40,K12))</f>
        <v>2</v>
      </c>
      <c r="E12" s="71" t="str">
        <f>IF(K12="","",INDEX(Calcule!$B$6:$B$40,K12))</f>
        <v>Standard</v>
      </c>
      <c r="F12" s="12">
        <f>IF(K12="","",INDEX(Calcule!$R$6:$R$40,K12))</f>
        <v>900</v>
      </c>
      <c r="G12" s="12">
        <f>IF(K12="","",INDEX(Calcule!$Y$6:$Y$40,K12))</f>
        <v>1160</v>
      </c>
      <c r="H12" s="12">
        <f>IF(K12="","",INDEX(Calcule!$AE$6:$AE$40,K12))</f>
        <v>940</v>
      </c>
      <c r="I12" s="12">
        <f>IF(K12="","",INDEX(Calcule!$AI$6:$AI$40,K12))</f>
        <v>1000</v>
      </c>
      <c r="J12" s="12">
        <f>IF(K12="","",INDEX(Calcule!$U$6:$U$40,K12))</f>
        <v>653.79665379665369</v>
      </c>
      <c r="K12" s="72">
        <f>IFERROR(IF(A12&lt;=INDEX(Perioade!$D$6:$D$40,MATCH(A12,Perioade!$C$6:$C$40,1)),MATCH(A12,Perioade!$C$6:$C$40,1),""),"")</f>
        <v>1</v>
      </c>
    </row>
    <row r="13" spans="1:11" x14ac:dyDescent="0.2">
      <c r="A13" s="61">
        <f t="shared" si="0"/>
        <v>46328</v>
      </c>
      <c r="B13" s="71" t="str">
        <f t="shared" si="1"/>
        <v>Lu</v>
      </c>
      <c r="C13" t="str">
        <f>IF(K13="","⚠ fără perioadă",INDEX(Perioade!$A$6:$A$40,K13))</f>
        <v>vara-toamna-2026</v>
      </c>
      <c r="D13" s="71">
        <f>IF(K13="","",INDEX(Calcule!$C$6:$C$40,K13))</f>
        <v>2</v>
      </c>
      <c r="E13" s="71" t="str">
        <f>IF(K13="","",INDEX(Calcule!$B$6:$B$40,K13))</f>
        <v>Standard</v>
      </c>
      <c r="F13" s="12">
        <f>IF(K13="","",INDEX(Calcule!$R$6:$R$40,K13))</f>
        <v>900</v>
      </c>
      <c r="G13" s="12">
        <f>IF(K13="","",INDEX(Calcule!$Y$6:$Y$40,K13))</f>
        <v>1160</v>
      </c>
      <c r="H13" s="12">
        <f>IF(K13="","",INDEX(Calcule!$AE$6:$AE$40,K13))</f>
        <v>940</v>
      </c>
      <c r="I13" s="12">
        <f>IF(K13="","",INDEX(Calcule!$AI$6:$AI$40,K13))</f>
        <v>1000</v>
      </c>
      <c r="J13" s="12">
        <f>IF(K13="","",INDEX(Calcule!$U$6:$U$40,K13))</f>
        <v>653.79665379665369</v>
      </c>
      <c r="K13" s="72">
        <f>IFERROR(IF(A13&lt;=INDEX(Perioade!$D$6:$D$40,MATCH(A13,Perioade!$C$6:$C$40,1)),MATCH(A13,Perioade!$C$6:$C$40,1),""),"")</f>
        <v>1</v>
      </c>
    </row>
    <row r="14" spans="1:11" x14ac:dyDescent="0.2">
      <c r="A14" s="61">
        <f t="shared" si="0"/>
        <v>46329</v>
      </c>
      <c r="B14" s="71" t="str">
        <f t="shared" si="1"/>
        <v>Ma</v>
      </c>
      <c r="C14" t="str">
        <f>IF(K14="","⚠ fără perioadă",INDEX(Perioade!$A$6:$A$40,K14))</f>
        <v>vara-toamna-2026</v>
      </c>
      <c r="D14" s="71">
        <f>IF(K14="","",INDEX(Calcule!$C$6:$C$40,K14))</f>
        <v>2</v>
      </c>
      <c r="E14" s="71" t="str">
        <f>IF(K14="","",INDEX(Calcule!$B$6:$B$40,K14))</f>
        <v>Standard</v>
      </c>
      <c r="F14" s="12">
        <f>IF(K14="","",INDEX(Calcule!$R$6:$R$40,K14))</f>
        <v>900</v>
      </c>
      <c r="G14" s="12">
        <f>IF(K14="","",INDEX(Calcule!$Y$6:$Y$40,K14))</f>
        <v>1160</v>
      </c>
      <c r="H14" s="12">
        <f>IF(K14="","",INDEX(Calcule!$AE$6:$AE$40,K14))</f>
        <v>940</v>
      </c>
      <c r="I14" s="12">
        <f>IF(K14="","",INDEX(Calcule!$AI$6:$AI$40,K14))</f>
        <v>1000</v>
      </c>
      <c r="J14" s="12">
        <f>IF(K14="","",INDEX(Calcule!$U$6:$U$40,K14))</f>
        <v>653.79665379665369</v>
      </c>
      <c r="K14" s="72">
        <f>IFERROR(IF(A14&lt;=INDEX(Perioade!$D$6:$D$40,MATCH(A14,Perioade!$C$6:$C$40,1)),MATCH(A14,Perioade!$C$6:$C$40,1),""),"")</f>
        <v>1</v>
      </c>
    </row>
    <row r="15" spans="1:11" x14ac:dyDescent="0.2">
      <c r="A15" s="61">
        <f t="shared" si="0"/>
        <v>46330</v>
      </c>
      <c r="B15" s="71" t="str">
        <f t="shared" si="1"/>
        <v>Mi</v>
      </c>
      <c r="C15" t="str">
        <f>IF(K15="","⚠ fără perioadă",INDEX(Perioade!$A$6:$A$40,K15))</f>
        <v>vara-toamna-2026</v>
      </c>
      <c r="D15" s="71">
        <f>IF(K15="","",INDEX(Calcule!$C$6:$C$40,K15))</f>
        <v>2</v>
      </c>
      <c r="E15" s="71" t="str">
        <f>IF(K15="","",INDEX(Calcule!$B$6:$B$40,K15))</f>
        <v>Standard</v>
      </c>
      <c r="F15" s="12">
        <f>IF(K15="","",INDEX(Calcule!$R$6:$R$40,K15))</f>
        <v>900</v>
      </c>
      <c r="G15" s="12">
        <f>IF(K15="","",INDEX(Calcule!$Y$6:$Y$40,K15))</f>
        <v>1160</v>
      </c>
      <c r="H15" s="12">
        <f>IF(K15="","",INDEX(Calcule!$AE$6:$AE$40,K15))</f>
        <v>940</v>
      </c>
      <c r="I15" s="12">
        <f>IF(K15="","",INDEX(Calcule!$AI$6:$AI$40,K15))</f>
        <v>1000</v>
      </c>
      <c r="J15" s="12">
        <f>IF(K15="","",INDEX(Calcule!$U$6:$U$40,K15))</f>
        <v>653.79665379665369</v>
      </c>
      <c r="K15" s="72">
        <f>IFERROR(IF(A15&lt;=INDEX(Perioade!$D$6:$D$40,MATCH(A15,Perioade!$C$6:$C$40,1)),MATCH(A15,Perioade!$C$6:$C$40,1),""),"")</f>
        <v>1</v>
      </c>
    </row>
    <row r="16" spans="1:11" x14ac:dyDescent="0.2">
      <c r="A16" s="61">
        <f t="shared" si="0"/>
        <v>46331</v>
      </c>
      <c r="B16" s="71" t="str">
        <f t="shared" si="1"/>
        <v>Jo</v>
      </c>
      <c r="C16" t="str">
        <f>IF(K16="","⚠ fără perioadă",INDEX(Perioade!$A$6:$A$40,K16))</f>
        <v>vara-toamna-2026</v>
      </c>
      <c r="D16" s="71">
        <f>IF(K16="","",INDEX(Calcule!$C$6:$C$40,K16))</f>
        <v>2</v>
      </c>
      <c r="E16" s="71" t="str">
        <f>IF(K16="","",INDEX(Calcule!$B$6:$B$40,K16))</f>
        <v>Standard</v>
      </c>
      <c r="F16" s="12">
        <f>IF(K16="","",INDEX(Calcule!$R$6:$R$40,K16))</f>
        <v>900</v>
      </c>
      <c r="G16" s="12">
        <f>IF(K16="","",INDEX(Calcule!$Y$6:$Y$40,K16))</f>
        <v>1160</v>
      </c>
      <c r="H16" s="12">
        <f>IF(K16="","",INDEX(Calcule!$AE$6:$AE$40,K16))</f>
        <v>940</v>
      </c>
      <c r="I16" s="12">
        <f>IF(K16="","",INDEX(Calcule!$AI$6:$AI$40,K16))</f>
        <v>1000</v>
      </c>
      <c r="J16" s="12">
        <f>IF(K16="","",INDEX(Calcule!$U$6:$U$40,K16))</f>
        <v>653.79665379665369</v>
      </c>
      <c r="K16" s="72">
        <f>IFERROR(IF(A16&lt;=INDEX(Perioade!$D$6:$D$40,MATCH(A16,Perioade!$C$6:$C$40,1)),MATCH(A16,Perioade!$C$6:$C$40,1),""),"")</f>
        <v>1</v>
      </c>
    </row>
    <row r="17" spans="1:11" x14ac:dyDescent="0.2">
      <c r="A17" s="61">
        <f t="shared" si="0"/>
        <v>46332</v>
      </c>
      <c r="B17" s="71" t="str">
        <f t="shared" si="1"/>
        <v>Vi</v>
      </c>
      <c r="C17" t="str">
        <f>IF(K17="","⚠ fără perioadă",INDEX(Perioade!$A$6:$A$40,K17))</f>
        <v>vara-toamna-2026</v>
      </c>
      <c r="D17" s="71">
        <f>IF(K17="","",INDEX(Calcule!$C$6:$C$40,K17))</f>
        <v>2</v>
      </c>
      <c r="E17" s="71" t="str">
        <f>IF(K17="","",INDEX(Calcule!$B$6:$B$40,K17))</f>
        <v>Standard</v>
      </c>
      <c r="F17" s="12">
        <f>IF(K17="","",INDEX(Calcule!$R$6:$R$40,K17))</f>
        <v>900</v>
      </c>
      <c r="G17" s="12">
        <f>IF(K17="","",INDEX(Calcule!$Y$6:$Y$40,K17))</f>
        <v>1160</v>
      </c>
      <c r="H17" s="12">
        <f>IF(K17="","",INDEX(Calcule!$AE$6:$AE$40,K17))</f>
        <v>940</v>
      </c>
      <c r="I17" s="12">
        <f>IF(K17="","",INDEX(Calcule!$AI$6:$AI$40,K17))</f>
        <v>1000</v>
      </c>
      <c r="J17" s="12">
        <f>IF(K17="","",INDEX(Calcule!$U$6:$U$40,K17))</f>
        <v>653.79665379665369</v>
      </c>
      <c r="K17" s="72">
        <f>IFERROR(IF(A17&lt;=INDEX(Perioade!$D$6:$D$40,MATCH(A17,Perioade!$C$6:$C$40,1)),MATCH(A17,Perioade!$C$6:$C$40,1),""),"")</f>
        <v>1</v>
      </c>
    </row>
    <row r="18" spans="1:11" x14ac:dyDescent="0.2">
      <c r="A18" s="61">
        <f t="shared" si="0"/>
        <v>46333</v>
      </c>
      <c r="B18" s="71" t="str">
        <f t="shared" si="1"/>
        <v>Sâ</v>
      </c>
      <c r="C18" t="str">
        <f>IF(K18="","⚠ fără perioadă",INDEX(Perioade!$A$6:$A$40,K18))</f>
        <v>vara-toamna-2026</v>
      </c>
      <c r="D18" s="71">
        <f>IF(K18="","",INDEX(Calcule!$C$6:$C$40,K18))</f>
        <v>2</v>
      </c>
      <c r="E18" s="71" t="str">
        <f>IF(K18="","",INDEX(Calcule!$B$6:$B$40,K18))</f>
        <v>Standard</v>
      </c>
      <c r="F18" s="12">
        <f>IF(K18="","",INDEX(Calcule!$R$6:$R$40,K18))</f>
        <v>900</v>
      </c>
      <c r="G18" s="12">
        <f>IF(K18="","",INDEX(Calcule!$Y$6:$Y$40,K18))</f>
        <v>1160</v>
      </c>
      <c r="H18" s="12">
        <f>IF(K18="","",INDEX(Calcule!$AE$6:$AE$40,K18))</f>
        <v>940</v>
      </c>
      <c r="I18" s="12">
        <f>IF(K18="","",INDEX(Calcule!$AI$6:$AI$40,K18))</f>
        <v>1000</v>
      </c>
      <c r="J18" s="12">
        <f>IF(K18="","",INDEX(Calcule!$U$6:$U$40,K18))</f>
        <v>653.79665379665369</v>
      </c>
      <c r="K18" s="72">
        <f>IFERROR(IF(A18&lt;=INDEX(Perioade!$D$6:$D$40,MATCH(A18,Perioade!$C$6:$C$40,1)),MATCH(A18,Perioade!$C$6:$C$40,1),""),"")</f>
        <v>1</v>
      </c>
    </row>
    <row r="19" spans="1:11" x14ac:dyDescent="0.2">
      <c r="A19" s="61">
        <f t="shared" si="0"/>
        <v>46334</v>
      </c>
      <c r="B19" s="71" t="str">
        <f t="shared" si="1"/>
        <v>Du</v>
      </c>
      <c r="C19" t="str">
        <f>IF(K19="","⚠ fără perioadă",INDEX(Perioade!$A$6:$A$40,K19))</f>
        <v>vara-toamna-2026</v>
      </c>
      <c r="D19" s="71">
        <f>IF(K19="","",INDEX(Calcule!$C$6:$C$40,K19))</f>
        <v>2</v>
      </c>
      <c r="E19" s="71" t="str">
        <f>IF(K19="","",INDEX(Calcule!$B$6:$B$40,K19))</f>
        <v>Standard</v>
      </c>
      <c r="F19" s="12">
        <f>IF(K19="","",INDEX(Calcule!$R$6:$R$40,K19))</f>
        <v>900</v>
      </c>
      <c r="G19" s="12">
        <f>IF(K19="","",INDEX(Calcule!$Y$6:$Y$40,K19))</f>
        <v>1160</v>
      </c>
      <c r="H19" s="12">
        <f>IF(K19="","",INDEX(Calcule!$AE$6:$AE$40,K19))</f>
        <v>940</v>
      </c>
      <c r="I19" s="12">
        <f>IF(K19="","",INDEX(Calcule!$AI$6:$AI$40,K19))</f>
        <v>1000</v>
      </c>
      <c r="J19" s="12">
        <f>IF(K19="","",INDEX(Calcule!$U$6:$U$40,K19))</f>
        <v>653.79665379665369</v>
      </c>
      <c r="K19" s="72">
        <f>IFERROR(IF(A19&lt;=INDEX(Perioade!$D$6:$D$40,MATCH(A19,Perioade!$C$6:$C$40,1)),MATCH(A19,Perioade!$C$6:$C$40,1),""),"")</f>
        <v>1</v>
      </c>
    </row>
    <row r="20" spans="1:11" x14ac:dyDescent="0.2">
      <c r="A20" s="61">
        <f t="shared" si="0"/>
        <v>46335</v>
      </c>
      <c r="B20" s="71" t="str">
        <f t="shared" si="1"/>
        <v>Lu</v>
      </c>
      <c r="C20" t="str">
        <f>IF(K20="","⚠ fără perioadă",INDEX(Perioade!$A$6:$A$40,K20))</f>
        <v>vara-toamna-2026</v>
      </c>
      <c r="D20" s="71">
        <f>IF(K20="","",INDEX(Calcule!$C$6:$C$40,K20))</f>
        <v>2</v>
      </c>
      <c r="E20" s="71" t="str">
        <f>IF(K20="","",INDEX(Calcule!$B$6:$B$40,K20))</f>
        <v>Standard</v>
      </c>
      <c r="F20" s="12">
        <f>IF(K20="","",INDEX(Calcule!$R$6:$R$40,K20))</f>
        <v>900</v>
      </c>
      <c r="G20" s="12">
        <f>IF(K20="","",INDEX(Calcule!$Y$6:$Y$40,K20))</f>
        <v>1160</v>
      </c>
      <c r="H20" s="12">
        <f>IF(K20="","",INDEX(Calcule!$AE$6:$AE$40,K20))</f>
        <v>940</v>
      </c>
      <c r="I20" s="12">
        <f>IF(K20="","",INDEX(Calcule!$AI$6:$AI$40,K20))</f>
        <v>1000</v>
      </c>
      <c r="J20" s="12">
        <f>IF(K20="","",INDEX(Calcule!$U$6:$U$40,K20))</f>
        <v>653.79665379665369</v>
      </c>
      <c r="K20" s="72">
        <f>IFERROR(IF(A20&lt;=INDEX(Perioade!$D$6:$D$40,MATCH(A20,Perioade!$C$6:$C$40,1)),MATCH(A20,Perioade!$C$6:$C$40,1),""),"")</f>
        <v>1</v>
      </c>
    </row>
    <row r="21" spans="1:11" x14ac:dyDescent="0.2">
      <c r="A21" s="61">
        <f t="shared" si="0"/>
        <v>46336</v>
      </c>
      <c r="B21" s="71" t="str">
        <f t="shared" si="1"/>
        <v>Ma</v>
      </c>
      <c r="C21" t="str">
        <f>IF(K21="","⚠ fără perioadă",INDEX(Perioade!$A$6:$A$40,K21))</f>
        <v>vara-toamna-2026</v>
      </c>
      <c r="D21" s="71">
        <f>IF(K21="","",INDEX(Calcule!$C$6:$C$40,K21))</f>
        <v>2</v>
      </c>
      <c r="E21" s="71" t="str">
        <f>IF(K21="","",INDEX(Calcule!$B$6:$B$40,K21))</f>
        <v>Standard</v>
      </c>
      <c r="F21" s="12">
        <f>IF(K21="","",INDEX(Calcule!$R$6:$R$40,K21))</f>
        <v>900</v>
      </c>
      <c r="G21" s="12">
        <f>IF(K21="","",INDEX(Calcule!$Y$6:$Y$40,K21))</f>
        <v>1160</v>
      </c>
      <c r="H21" s="12">
        <f>IF(K21="","",INDEX(Calcule!$AE$6:$AE$40,K21))</f>
        <v>940</v>
      </c>
      <c r="I21" s="12">
        <f>IF(K21="","",INDEX(Calcule!$AI$6:$AI$40,K21))</f>
        <v>1000</v>
      </c>
      <c r="J21" s="12">
        <f>IF(K21="","",INDEX(Calcule!$U$6:$U$40,K21))</f>
        <v>653.79665379665369</v>
      </c>
      <c r="K21" s="72">
        <f>IFERROR(IF(A21&lt;=INDEX(Perioade!$D$6:$D$40,MATCH(A21,Perioade!$C$6:$C$40,1)),MATCH(A21,Perioade!$C$6:$C$40,1),""),"")</f>
        <v>1</v>
      </c>
    </row>
    <row r="22" spans="1:11" x14ac:dyDescent="0.2">
      <c r="A22" s="61">
        <f t="shared" si="0"/>
        <v>46337</v>
      </c>
      <c r="B22" s="71" t="str">
        <f t="shared" si="1"/>
        <v>Mi</v>
      </c>
      <c r="C22" t="str">
        <f>IF(K22="","⚠ fără perioadă",INDEX(Perioade!$A$6:$A$40,K22))</f>
        <v>vara-toamna-2026</v>
      </c>
      <c r="D22" s="71">
        <f>IF(K22="","",INDEX(Calcule!$C$6:$C$40,K22))</f>
        <v>2</v>
      </c>
      <c r="E22" s="71" t="str">
        <f>IF(K22="","",INDEX(Calcule!$B$6:$B$40,K22))</f>
        <v>Standard</v>
      </c>
      <c r="F22" s="12">
        <f>IF(K22="","",INDEX(Calcule!$R$6:$R$40,K22))</f>
        <v>900</v>
      </c>
      <c r="G22" s="12">
        <f>IF(K22="","",INDEX(Calcule!$Y$6:$Y$40,K22))</f>
        <v>1160</v>
      </c>
      <c r="H22" s="12">
        <f>IF(K22="","",INDEX(Calcule!$AE$6:$AE$40,K22))</f>
        <v>940</v>
      </c>
      <c r="I22" s="12">
        <f>IF(K22="","",INDEX(Calcule!$AI$6:$AI$40,K22))</f>
        <v>1000</v>
      </c>
      <c r="J22" s="12">
        <f>IF(K22="","",INDEX(Calcule!$U$6:$U$40,K22))</f>
        <v>653.79665379665369</v>
      </c>
      <c r="K22" s="72">
        <f>IFERROR(IF(A22&lt;=INDEX(Perioade!$D$6:$D$40,MATCH(A22,Perioade!$C$6:$C$40,1)),MATCH(A22,Perioade!$C$6:$C$40,1),""),"")</f>
        <v>1</v>
      </c>
    </row>
    <row r="23" spans="1:11" x14ac:dyDescent="0.2">
      <c r="A23" s="61">
        <f t="shared" si="0"/>
        <v>46338</v>
      </c>
      <c r="B23" s="71" t="str">
        <f t="shared" si="1"/>
        <v>Jo</v>
      </c>
      <c r="C23" t="str">
        <f>IF(K23="","⚠ fără perioadă",INDEX(Perioade!$A$6:$A$40,K23))</f>
        <v>vara-toamna-2026</v>
      </c>
      <c r="D23" s="71">
        <f>IF(K23="","",INDEX(Calcule!$C$6:$C$40,K23))</f>
        <v>2</v>
      </c>
      <c r="E23" s="71" t="str">
        <f>IF(K23="","",INDEX(Calcule!$B$6:$B$40,K23))</f>
        <v>Standard</v>
      </c>
      <c r="F23" s="12">
        <f>IF(K23="","",INDEX(Calcule!$R$6:$R$40,K23))</f>
        <v>900</v>
      </c>
      <c r="G23" s="12">
        <f>IF(K23="","",INDEX(Calcule!$Y$6:$Y$40,K23))</f>
        <v>1160</v>
      </c>
      <c r="H23" s="12">
        <f>IF(K23="","",INDEX(Calcule!$AE$6:$AE$40,K23))</f>
        <v>940</v>
      </c>
      <c r="I23" s="12">
        <f>IF(K23="","",INDEX(Calcule!$AI$6:$AI$40,K23))</f>
        <v>1000</v>
      </c>
      <c r="J23" s="12">
        <f>IF(K23="","",INDEX(Calcule!$U$6:$U$40,K23))</f>
        <v>653.79665379665369</v>
      </c>
      <c r="K23" s="72">
        <f>IFERROR(IF(A23&lt;=INDEX(Perioade!$D$6:$D$40,MATCH(A23,Perioade!$C$6:$C$40,1)),MATCH(A23,Perioade!$C$6:$C$40,1),""),"")</f>
        <v>1</v>
      </c>
    </row>
    <row r="24" spans="1:11" x14ac:dyDescent="0.2">
      <c r="A24" s="61">
        <f t="shared" si="0"/>
        <v>46339</v>
      </c>
      <c r="B24" s="71" t="str">
        <f t="shared" si="1"/>
        <v>Vi</v>
      </c>
      <c r="C24" t="str">
        <f>IF(K24="","⚠ fără perioadă",INDEX(Perioade!$A$6:$A$40,K24))</f>
        <v>vara-toamna-2026</v>
      </c>
      <c r="D24" s="71">
        <f>IF(K24="","",INDEX(Calcule!$C$6:$C$40,K24))</f>
        <v>2</v>
      </c>
      <c r="E24" s="71" t="str">
        <f>IF(K24="","",INDEX(Calcule!$B$6:$B$40,K24))</f>
        <v>Standard</v>
      </c>
      <c r="F24" s="12">
        <f>IF(K24="","",INDEX(Calcule!$R$6:$R$40,K24))</f>
        <v>900</v>
      </c>
      <c r="G24" s="12">
        <f>IF(K24="","",INDEX(Calcule!$Y$6:$Y$40,K24))</f>
        <v>1160</v>
      </c>
      <c r="H24" s="12">
        <f>IF(K24="","",INDEX(Calcule!$AE$6:$AE$40,K24))</f>
        <v>940</v>
      </c>
      <c r="I24" s="12">
        <f>IF(K24="","",INDEX(Calcule!$AI$6:$AI$40,K24))</f>
        <v>1000</v>
      </c>
      <c r="J24" s="12">
        <f>IF(K24="","",INDEX(Calcule!$U$6:$U$40,K24))</f>
        <v>653.79665379665369</v>
      </c>
      <c r="K24" s="72">
        <f>IFERROR(IF(A24&lt;=INDEX(Perioade!$D$6:$D$40,MATCH(A24,Perioade!$C$6:$C$40,1)),MATCH(A24,Perioade!$C$6:$C$40,1),""),"")</f>
        <v>1</v>
      </c>
    </row>
    <row r="25" spans="1:11" x14ac:dyDescent="0.2">
      <c r="A25" s="61">
        <f t="shared" si="0"/>
        <v>46340</v>
      </c>
      <c r="B25" s="71" t="str">
        <f t="shared" si="1"/>
        <v>Sâ</v>
      </c>
      <c r="C25" t="str">
        <f>IF(K25="","⚠ fără perioadă",INDEX(Perioade!$A$6:$A$40,K25))</f>
        <v>vara-toamna-2026</v>
      </c>
      <c r="D25" s="71">
        <f>IF(K25="","",INDEX(Calcule!$C$6:$C$40,K25))</f>
        <v>2</v>
      </c>
      <c r="E25" s="71" t="str">
        <f>IF(K25="","",INDEX(Calcule!$B$6:$B$40,K25))</f>
        <v>Standard</v>
      </c>
      <c r="F25" s="12">
        <f>IF(K25="","",INDEX(Calcule!$R$6:$R$40,K25))</f>
        <v>900</v>
      </c>
      <c r="G25" s="12">
        <f>IF(K25="","",INDEX(Calcule!$Y$6:$Y$40,K25))</f>
        <v>1160</v>
      </c>
      <c r="H25" s="12">
        <f>IF(K25="","",INDEX(Calcule!$AE$6:$AE$40,K25))</f>
        <v>940</v>
      </c>
      <c r="I25" s="12">
        <f>IF(K25="","",INDEX(Calcule!$AI$6:$AI$40,K25))</f>
        <v>1000</v>
      </c>
      <c r="J25" s="12">
        <f>IF(K25="","",INDEX(Calcule!$U$6:$U$40,K25))</f>
        <v>653.79665379665369</v>
      </c>
      <c r="K25" s="72">
        <f>IFERROR(IF(A25&lt;=INDEX(Perioade!$D$6:$D$40,MATCH(A25,Perioade!$C$6:$C$40,1)),MATCH(A25,Perioade!$C$6:$C$40,1),""),"")</f>
        <v>1</v>
      </c>
    </row>
    <row r="26" spans="1:11" x14ac:dyDescent="0.2">
      <c r="A26" s="61">
        <f t="shared" si="0"/>
        <v>46341</v>
      </c>
      <c r="B26" s="71" t="str">
        <f t="shared" si="1"/>
        <v>Du</v>
      </c>
      <c r="C26" t="str">
        <f>IF(K26="","⚠ fără perioadă",INDEX(Perioade!$A$6:$A$40,K26))</f>
        <v>vara-toamna-2026</v>
      </c>
      <c r="D26" s="71">
        <f>IF(K26="","",INDEX(Calcule!$C$6:$C$40,K26))</f>
        <v>2</v>
      </c>
      <c r="E26" s="71" t="str">
        <f>IF(K26="","",INDEX(Calcule!$B$6:$B$40,K26))</f>
        <v>Standard</v>
      </c>
      <c r="F26" s="12">
        <f>IF(K26="","",INDEX(Calcule!$R$6:$R$40,K26))</f>
        <v>900</v>
      </c>
      <c r="G26" s="12">
        <f>IF(K26="","",INDEX(Calcule!$Y$6:$Y$40,K26))</f>
        <v>1160</v>
      </c>
      <c r="H26" s="12">
        <f>IF(K26="","",INDEX(Calcule!$AE$6:$AE$40,K26))</f>
        <v>940</v>
      </c>
      <c r="I26" s="12">
        <f>IF(K26="","",INDEX(Calcule!$AI$6:$AI$40,K26))</f>
        <v>1000</v>
      </c>
      <c r="J26" s="12">
        <f>IF(K26="","",INDEX(Calcule!$U$6:$U$40,K26))</f>
        <v>653.79665379665369</v>
      </c>
      <c r="K26" s="72">
        <f>IFERROR(IF(A26&lt;=INDEX(Perioade!$D$6:$D$40,MATCH(A26,Perioade!$C$6:$C$40,1)),MATCH(A26,Perioade!$C$6:$C$40,1),""),"")</f>
        <v>1</v>
      </c>
    </row>
    <row r="27" spans="1:11" x14ac:dyDescent="0.2">
      <c r="A27" s="61">
        <f t="shared" si="0"/>
        <v>46342</v>
      </c>
      <c r="B27" s="71" t="str">
        <f t="shared" si="1"/>
        <v>Lu</v>
      </c>
      <c r="C27" t="str">
        <f>IF(K27="","⚠ fără perioadă",INDEX(Perioade!$A$6:$A$40,K27))</f>
        <v>vara-toamna-2026</v>
      </c>
      <c r="D27" s="71">
        <f>IF(K27="","",INDEX(Calcule!$C$6:$C$40,K27))</f>
        <v>2</v>
      </c>
      <c r="E27" s="71" t="str">
        <f>IF(K27="","",INDEX(Calcule!$B$6:$B$40,K27))</f>
        <v>Standard</v>
      </c>
      <c r="F27" s="12">
        <f>IF(K27="","",INDEX(Calcule!$R$6:$R$40,K27))</f>
        <v>900</v>
      </c>
      <c r="G27" s="12">
        <f>IF(K27="","",INDEX(Calcule!$Y$6:$Y$40,K27))</f>
        <v>1160</v>
      </c>
      <c r="H27" s="12">
        <f>IF(K27="","",INDEX(Calcule!$AE$6:$AE$40,K27))</f>
        <v>940</v>
      </c>
      <c r="I27" s="12">
        <f>IF(K27="","",INDEX(Calcule!$AI$6:$AI$40,K27))</f>
        <v>1000</v>
      </c>
      <c r="J27" s="12">
        <f>IF(K27="","",INDEX(Calcule!$U$6:$U$40,K27))</f>
        <v>653.79665379665369</v>
      </c>
      <c r="K27" s="72">
        <f>IFERROR(IF(A27&lt;=INDEX(Perioade!$D$6:$D$40,MATCH(A27,Perioade!$C$6:$C$40,1)),MATCH(A27,Perioade!$C$6:$C$40,1),""),"")</f>
        <v>1</v>
      </c>
    </row>
    <row r="28" spans="1:11" x14ac:dyDescent="0.2">
      <c r="A28" s="61">
        <f t="shared" si="0"/>
        <v>46343</v>
      </c>
      <c r="B28" s="71" t="str">
        <f t="shared" si="1"/>
        <v>Ma</v>
      </c>
      <c r="C28" t="str">
        <f>IF(K28="","⚠ fără perioadă",INDEX(Perioade!$A$6:$A$40,K28))</f>
        <v>vara-toamna-2026</v>
      </c>
      <c r="D28" s="71">
        <f>IF(K28="","",INDEX(Calcule!$C$6:$C$40,K28))</f>
        <v>2</v>
      </c>
      <c r="E28" s="71" t="str">
        <f>IF(K28="","",INDEX(Calcule!$B$6:$B$40,K28))</f>
        <v>Standard</v>
      </c>
      <c r="F28" s="12">
        <f>IF(K28="","",INDEX(Calcule!$R$6:$R$40,K28))</f>
        <v>900</v>
      </c>
      <c r="G28" s="12">
        <f>IF(K28="","",INDEX(Calcule!$Y$6:$Y$40,K28))</f>
        <v>1160</v>
      </c>
      <c r="H28" s="12">
        <f>IF(K28="","",INDEX(Calcule!$AE$6:$AE$40,K28))</f>
        <v>940</v>
      </c>
      <c r="I28" s="12">
        <f>IF(K28="","",INDEX(Calcule!$AI$6:$AI$40,K28))</f>
        <v>1000</v>
      </c>
      <c r="J28" s="12">
        <f>IF(K28="","",INDEX(Calcule!$U$6:$U$40,K28))</f>
        <v>653.79665379665369</v>
      </c>
      <c r="K28" s="72">
        <f>IFERROR(IF(A28&lt;=INDEX(Perioade!$D$6:$D$40,MATCH(A28,Perioade!$C$6:$C$40,1)),MATCH(A28,Perioade!$C$6:$C$40,1),""),"")</f>
        <v>1</v>
      </c>
    </row>
    <row r="29" spans="1:11" x14ac:dyDescent="0.2">
      <c r="A29" s="61">
        <f t="shared" si="0"/>
        <v>46344</v>
      </c>
      <c r="B29" s="71" t="str">
        <f t="shared" si="1"/>
        <v>Mi</v>
      </c>
      <c r="C29" t="str">
        <f>IF(K29="","⚠ fără perioadă",INDEX(Perioade!$A$6:$A$40,K29))</f>
        <v>vara-toamna-2026</v>
      </c>
      <c r="D29" s="71">
        <f>IF(K29="","",INDEX(Calcule!$C$6:$C$40,K29))</f>
        <v>2</v>
      </c>
      <c r="E29" s="71" t="str">
        <f>IF(K29="","",INDEX(Calcule!$B$6:$B$40,K29))</f>
        <v>Standard</v>
      </c>
      <c r="F29" s="12">
        <f>IF(K29="","",INDEX(Calcule!$R$6:$R$40,K29))</f>
        <v>900</v>
      </c>
      <c r="G29" s="12">
        <f>IF(K29="","",INDEX(Calcule!$Y$6:$Y$40,K29))</f>
        <v>1160</v>
      </c>
      <c r="H29" s="12">
        <f>IF(K29="","",INDEX(Calcule!$AE$6:$AE$40,K29))</f>
        <v>940</v>
      </c>
      <c r="I29" s="12">
        <f>IF(K29="","",INDEX(Calcule!$AI$6:$AI$40,K29))</f>
        <v>1000</v>
      </c>
      <c r="J29" s="12">
        <f>IF(K29="","",INDEX(Calcule!$U$6:$U$40,K29))</f>
        <v>653.79665379665369</v>
      </c>
      <c r="K29" s="72">
        <f>IFERROR(IF(A29&lt;=INDEX(Perioade!$D$6:$D$40,MATCH(A29,Perioade!$C$6:$C$40,1)),MATCH(A29,Perioade!$C$6:$C$40,1),""),"")</f>
        <v>1</v>
      </c>
    </row>
    <row r="30" spans="1:11" x14ac:dyDescent="0.2">
      <c r="A30" s="61">
        <f t="shared" si="0"/>
        <v>46345</v>
      </c>
      <c r="B30" s="71" t="str">
        <f t="shared" si="1"/>
        <v>Jo</v>
      </c>
      <c r="C30" t="str">
        <f>IF(K30="","⚠ fără perioadă",INDEX(Perioade!$A$6:$A$40,K30))</f>
        <v>vara-toamna-2026</v>
      </c>
      <c r="D30" s="71">
        <f>IF(K30="","",INDEX(Calcule!$C$6:$C$40,K30))</f>
        <v>2</v>
      </c>
      <c r="E30" s="71" t="str">
        <f>IF(K30="","",INDEX(Calcule!$B$6:$B$40,K30))</f>
        <v>Standard</v>
      </c>
      <c r="F30" s="12">
        <f>IF(K30="","",INDEX(Calcule!$R$6:$R$40,K30))</f>
        <v>900</v>
      </c>
      <c r="G30" s="12">
        <f>IF(K30="","",INDEX(Calcule!$Y$6:$Y$40,K30))</f>
        <v>1160</v>
      </c>
      <c r="H30" s="12">
        <f>IF(K30="","",INDEX(Calcule!$AE$6:$AE$40,K30))</f>
        <v>940</v>
      </c>
      <c r="I30" s="12">
        <f>IF(K30="","",INDEX(Calcule!$AI$6:$AI$40,K30))</f>
        <v>1000</v>
      </c>
      <c r="J30" s="12">
        <f>IF(K30="","",INDEX(Calcule!$U$6:$U$40,K30))</f>
        <v>653.79665379665369</v>
      </c>
      <c r="K30" s="72">
        <f>IFERROR(IF(A30&lt;=INDEX(Perioade!$D$6:$D$40,MATCH(A30,Perioade!$C$6:$C$40,1)),MATCH(A30,Perioade!$C$6:$C$40,1),""),"")</f>
        <v>1</v>
      </c>
    </row>
    <row r="31" spans="1:11" x14ac:dyDescent="0.2">
      <c r="A31" s="61">
        <f t="shared" si="0"/>
        <v>46346</v>
      </c>
      <c r="B31" s="71" t="str">
        <f t="shared" si="1"/>
        <v>Vi</v>
      </c>
      <c r="C31" t="str">
        <f>IF(K31="","⚠ fără perioadă",INDEX(Perioade!$A$6:$A$40,K31))</f>
        <v>vara-toamna-2026</v>
      </c>
      <c r="D31" s="71">
        <f>IF(K31="","",INDEX(Calcule!$C$6:$C$40,K31))</f>
        <v>2</v>
      </c>
      <c r="E31" s="71" t="str">
        <f>IF(K31="","",INDEX(Calcule!$B$6:$B$40,K31))</f>
        <v>Standard</v>
      </c>
      <c r="F31" s="12">
        <f>IF(K31="","",INDEX(Calcule!$R$6:$R$40,K31))</f>
        <v>900</v>
      </c>
      <c r="G31" s="12">
        <f>IF(K31="","",INDEX(Calcule!$Y$6:$Y$40,K31))</f>
        <v>1160</v>
      </c>
      <c r="H31" s="12">
        <f>IF(K31="","",INDEX(Calcule!$AE$6:$AE$40,K31))</f>
        <v>940</v>
      </c>
      <c r="I31" s="12">
        <f>IF(K31="","",INDEX(Calcule!$AI$6:$AI$40,K31))</f>
        <v>1000</v>
      </c>
      <c r="J31" s="12">
        <f>IF(K31="","",INDEX(Calcule!$U$6:$U$40,K31))</f>
        <v>653.79665379665369</v>
      </c>
      <c r="K31" s="72">
        <f>IFERROR(IF(A31&lt;=INDEX(Perioade!$D$6:$D$40,MATCH(A31,Perioade!$C$6:$C$40,1)),MATCH(A31,Perioade!$C$6:$C$40,1),""),"")</f>
        <v>1</v>
      </c>
    </row>
    <row r="32" spans="1:11" x14ac:dyDescent="0.2">
      <c r="A32" s="61">
        <f t="shared" si="0"/>
        <v>46347</v>
      </c>
      <c r="B32" s="71" t="str">
        <f t="shared" si="1"/>
        <v>Sâ</v>
      </c>
      <c r="C32" t="str">
        <f>IF(K32="","⚠ fără perioadă",INDEX(Perioade!$A$6:$A$40,K32))</f>
        <v>vara-toamna-2026</v>
      </c>
      <c r="D32" s="71">
        <f>IF(K32="","",INDEX(Calcule!$C$6:$C$40,K32))</f>
        <v>2</v>
      </c>
      <c r="E32" s="71" t="str">
        <f>IF(K32="","",INDEX(Calcule!$B$6:$B$40,K32))</f>
        <v>Standard</v>
      </c>
      <c r="F32" s="12">
        <f>IF(K32="","",INDEX(Calcule!$R$6:$R$40,K32))</f>
        <v>900</v>
      </c>
      <c r="G32" s="12">
        <f>IF(K32="","",INDEX(Calcule!$Y$6:$Y$40,K32))</f>
        <v>1160</v>
      </c>
      <c r="H32" s="12">
        <f>IF(K32="","",INDEX(Calcule!$AE$6:$AE$40,K32))</f>
        <v>940</v>
      </c>
      <c r="I32" s="12">
        <f>IF(K32="","",INDEX(Calcule!$AI$6:$AI$40,K32))</f>
        <v>1000</v>
      </c>
      <c r="J32" s="12">
        <f>IF(K32="","",INDEX(Calcule!$U$6:$U$40,K32))</f>
        <v>653.79665379665369</v>
      </c>
      <c r="K32" s="72">
        <f>IFERROR(IF(A32&lt;=INDEX(Perioade!$D$6:$D$40,MATCH(A32,Perioade!$C$6:$C$40,1)),MATCH(A32,Perioade!$C$6:$C$40,1),""),"")</f>
        <v>1</v>
      </c>
    </row>
    <row r="33" spans="1:11" x14ac:dyDescent="0.2">
      <c r="A33" s="61">
        <f t="shared" si="0"/>
        <v>46348</v>
      </c>
      <c r="B33" s="71" t="str">
        <f t="shared" si="1"/>
        <v>Du</v>
      </c>
      <c r="C33" t="str">
        <f>IF(K33="","⚠ fără perioadă",INDEX(Perioade!$A$6:$A$40,K33))</f>
        <v>vara-toamna-2026</v>
      </c>
      <c r="D33" s="71">
        <f>IF(K33="","",INDEX(Calcule!$C$6:$C$40,K33))</f>
        <v>2</v>
      </c>
      <c r="E33" s="71" t="str">
        <f>IF(K33="","",INDEX(Calcule!$B$6:$B$40,K33))</f>
        <v>Standard</v>
      </c>
      <c r="F33" s="12">
        <f>IF(K33="","",INDEX(Calcule!$R$6:$R$40,K33))</f>
        <v>900</v>
      </c>
      <c r="G33" s="12">
        <f>IF(K33="","",INDEX(Calcule!$Y$6:$Y$40,K33))</f>
        <v>1160</v>
      </c>
      <c r="H33" s="12">
        <f>IF(K33="","",INDEX(Calcule!$AE$6:$AE$40,K33))</f>
        <v>940</v>
      </c>
      <c r="I33" s="12">
        <f>IF(K33="","",INDEX(Calcule!$AI$6:$AI$40,K33))</f>
        <v>1000</v>
      </c>
      <c r="J33" s="12">
        <f>IF(K33="","",INDEX(Calcule!$U$6:$U$40,K33))</f>
        <v>653.79665379665369</v>
      </c>
      <c r="K33" s="72">
        <f>IFERROR(IF(A33&lt;=INDEX(Perioade!$D$6:$D$40,MATCH(A33,Perioade!$C$6:$C$40,1)),MATCH(A33,Perioade!$C$6:$C$40,1),""),"")</f>
        <v>1</v>
      </c>
    </row>
    <row r="34" spans="1:11" x14ac:dyDescent="0.2">
      <c r="A34" s="61">
        <f t="shared" si="0"/>
        <v>46349</v>
      </c>
      <c r="B34" s="71" t="str">
        <f t="shared" si="1"/>
        <v>Lu</v>
      </c>
      <c r="C34" t="str">
        <f>IF(K34="","⚠ fără perioadă",INDEX(Perioade!$A$6:$A$40,K34))</f>
        <v>vara-toamna-2026</v>
      </c>
      <c r="D34" s="71">
        <f>IF(K34="","",INDEX(Calcule!$C$6:$C$40,K34))</f>
        <v>2</v>
      </c>
      <c r="E34" s="71" t="str">
        <f>IF(K34="","",INDEX(Calcule!$B$6:$B$40,K34))</f>
        <v>Standard</v>
      </c>
      <c r="F34" s="12">
        <f>IF(K34="","",INDEX(Calcule!$R$6:$R$40,K34))</f>
        <v>900</v>
      </c>
      <c r="G34" s="12">
        <f>IF(K34="","",INDEX(Calcule!$Y$6:$Y$40,K34))</f>
        <v>1160</v>
      </c>
      <c r="H34" s="12">
        <f>IF(K34="","",INDEX(Calcule!$AE$6:$AE$40,K34))</f>
        <v>940</v>
      </c>
      <c r="I34" s="12">
        <f>IF(K34="","",INDEX(Calcule!$AI$6:$AI$40,K34))</f>
        <v>1000</v>
      </c>
      <c r="J34" s="12">
        <f>IF(K34="","",INDEX(Calcule!$U$6:$U$40,K34))</f>
        <v>653.79665379665369</v>
      </c>
      <c r="K34" s="72">
        <f>IFERROR(IF(A34&lt;=INDEX(Perioade!$D$6:$D$40,MATCH(A34,Perioade!$C$6:$C$40,1)),MATCH(A34,Perioade!$C$6:$C$40,1),""),"")</f>
        <v>1</v>
      </c>
    </row>
    <row r="35" spans="1:11" x14ac:dyDescent="0.2">
      <c r="A35" s="61">
        <f t="shared" si="0"/>
        <v>46350</v>
      </c>
      <c r="B35" s="71" t="str">
        <f t="shared" si="1"/>
        <v>Ma</v>
      </c>
      <c r="C35" t="str">
        <f>IF(K35="","⚠ fără perioadă",INDEX(Perioade!$A$6:$A$40,K35))</f>
        <v>vara-toamna-2026</v>
      </c>
      <c r="D35" s="71">
        <f>IF(K35="","",INDEX(Calcule!$C$6:$C$40,K35))</f>
        <v>2</v>
      </c>
      <c r="E35" s="71" t="str">
        <f>IF(K35="","",INDEX(Calcule!$B$6:$B$40,K35))</f>
        <v>Standard</v>
      </c>
      <c r="F35" s="12">
        <f>IF(K35="","",INDEX(Calcule!$R$6:$R$40,K35))</f>
        <v>900</v>
      </c>
      <c r="G35" s="12">
        <f>IF(K35="","",INDEX(Calcule!$Y$6:$Y$40,K35))</f>
        <v>1160</v>
      </c>
      <c r="H35" s="12">
        <f>IF(K35="","",INDEX(Calcule!$AE$6:$AE$40,K35))</f>
        <v>940</v>
      </c>
      <c r="I35" s="12">
        <f>IF(K35="","",INDEX(Calcule!$AI$6:$AI$40,K35))</f>
        <v>1000</v>
      </c>
      <c r="J35" s="12">
        <f>IF(K35="","",INDEX(Calcule!$U$6:$U$40,K35))</f>
        <v>653.79665379665369</v>
      </c>
      <c r="K35" s="72">
        <f>IFERROR(IF(A35&lt;=INDEX(Perioade!$D$6:$D$40,MATCH(A35,Perioade!$C$6:$C$40,1)),MATCH(A35,Perioade!$C$6:$C$40,1),""),"")</f>
        <v>1</v>
      </c>
    </row>
    <row r="36" spans="1:11" x14ac:dyDescent="0.2">
      <c r="A36" s="61">
        <f t="shared" si="0"/>
        <v>46351</v>
      </c>
      <c r="B36" s="71" t="str">
        <f t="shared" si="1"/>
        <v>Mi</v>
      </c>
      <c r="C36" t="str">
        <f>IF(K36="","⚠ fără perioadă",INDEX(Perioade!$A$6:$A$40,K36))</f>
        <v>vara-toamna-2026</v>
      </c>
      <c r="D36" s="71">
        <f>IF(K36="","",INDEX(Calcule!$C$6:$C$40,K36))</f>
        <v>2</v>
      </c>
      <c r="E36" s="71" t="str">
        <f>IF(K36="","",INDEX(Calcule!$B$6:$B$40,K36))</f>
        <v>Standard</v>
      </c>
      <c r="F36" s="12">
        <f>IF(K36="","",INDEX(Calcule!$R$6:$R$40,K36))</f>
        <v>900</v>
      </c>
      <c r="G36" s="12">
        <f>IF(K36="","",INDEX(Calcule!$Y$6:$Y$40,K36))</f>
        <v>1160</v>
      </c>
      <c r="H36" s="12">
        <f>IF(K36="","",INDEX(Calcule!$AE$6:$AE$40,K36))</f>
        <v>940</v>
      </c>
      <c r="I36" s="12">
        <f>IF(K36="","",INDEX(Calcule!$AI$6:$AI$40,K36))</f>
        <v>1000</v>
      </c>
      <c r="J36" s="12">
        <f>IF(K36="","",INDEX(Calcule!$U$6:$U$40,K36))</f>
        <v>653.79665379665369</v>
      </c>
      <c r="K36" s="72">
        <f>IFERROR(IF(A36&lt;=INDEX(Perioade!$D$6:$D$40,MATCH(A36,Perioade!$C$6:$C$40,1)),MATCH(A36,Perioade!$C$6:$C$40,1),""),"")</f>
        <v>1</v>
      </c>
    </row>
    <row r="37" spans="1:11" x14ac:dyDescent="0.2">
      <c r="A37" s="61">
        <f t="shared" si="0"/>
        <v>46352</v>
      </c>
      <c r="B37" s="71" t="str">
        <f t="shared" si="1"/>
        <v>Jo</v>
      </c>
      <c r="C37" t="str">
        <f>IF(K37="","⚠ fără perioadă",INDEX(Perioade!$A$6:$A$40,K37))</f>
        <v>vara-toamna-2026</v>
      </c>
      <c r="D37" s="71">
        <f>IF(K37="","",INDEX(Calcule!$C$6:$C$40,K37))</f>
        <v>2</v>
      </c>
      <c r="E37" s="71" t="str">
        <f>IF(K37="","",INDEX(Calcule!$B$6:$B$40,K37))</f>
        <v>Standard</v>
      </c>
      <c r="F37" s="12">
        <f>IF(K37="","",INDEX(Calcule!$R$6:$R$40,K37))</f>
        <v>900</v>
      </c>
      <c r="G37" s="12">
        <f>IF(K37="","",INDEX(Calcule!$Y$6:$Y$40,K37))</f>
        <v>1160</v>
      </c>
      <c r="H37" s="12">
        <f>IF(K37="","",INDEX(Calcule!$AE$6:$AE$40,K37))</f>
        <v>940</v>
      </c>
      <c r="I37" s="12">
        <f>IF(K37="","",INDEX(Calcule!$AI$6:$AI$40,K37))</f>
        <v>1000</v>
      </c>
      <c r="J37" s="12">
        <f>IF(K37="","",INDEX(Calcule!$U$6:$U$40,K37))</f>
        <v>653.79665379665369</v>
      </c>
      <c r="K37" s="72">
        <f>IFERROR(IF(A37&lt;=INDEX(Perioade!$D$6:$D$40,MATCH(A37,Perioade!$C$6:$C$40,1)),MATCH(A37,Perioade!$C$6:$C$40,1),""),"")</f>
        <v>1</v>
      </c>
    </row>
    <row r="38" spans="1:11" x14ac:dyDescent="0.2">
      <c r="A38" s="61">
        <f t="shared" si="0"/>
        <v>46353</v>
      </c>
      <c r="B38" s="71" t="str">
        <f t="shared" si="1"/>
        <v>Vi</v>
      </c>
      <c r="C38" t="str">
        <f>IF(K38="","⚠ fără perioadă",INDEX(Perioade!$A$6:$A$40,K38))</f>
        <v>vara-toamna-2026</v>
      </c>
      <c r="D38" s="71">
        <f>IF(K38="","",INDEX(Calcule!$C$6:$C$40,K38))</f>
        <v>2</v>
      </c>
      <c r="E38" s="71" t="str">
        <f>IF(K38="","",INDEX(Calcule!$B$6:$B$40,K38))</f>
        <v>Standard</v>
      </c>
      <c r="F38" s="12">
        <f>IF(K38="","",INDEX(Calcule!$R$6:$R$40,K38))</f>
        <v>900</v>
      </c>
      <c r="G38" s="12">
        <f>IF(K38="","",INDEX(Calcule!$Y$6:$Y$40,K38))</f>
        <v>1160</v>
      </c>
      <c r="H38" s="12">
        <f>IF(K38="","",INDEX(Calcule!$AE$6:$AE$40,K38))</f>
        <v>940</v>
      </c>
      <c r="I38" s="12">
        <f>IF(K38="","",INDEX(Calcule!$AI$6:$AI$40,K38))</f>
        <v>1000</v>
      </c>
      <c r="J38" s="12">
        <f>IF(K38="","",INDEX(Calcule!$U$6:$U$40,K38))</f>
        <v>653.79665379665369</v>
      </c>
      <c r="K38" s="72">
        <f>IFERROR(IF(A38&lt;=INDEX(Perioade!$D$6:$D$40,MATCH(A38,Perioade!$C$6:$C$40,1)),MATCH(A38,Perioade!$C$6:$C$40,1),""),"")</f>
        <v>1</v>
      </c>
    </row>
    <row r="39" spans="1:11" x14ac:dyDescent="0.2">
      <c r="A39" s="61">
        <f t="shared" si="0"/>
        <v>46354</v>
      </c>
      <c r="B39" s="71" t="str">
        <f t="shared" si="1"/>
        <v>Sâ</v>
      </c>
      <c r="C39" t="str">
        <f>IF(K39="","⚠ fără perioadă",INDEX(Perioade!$A$6:$A$40,K39))</f>
        <v>vara-toamna-2026</v>
      </c>
      <c r="D39" s="71">
        <f>IF(K39="","",INDEX(Calcule!$C$6:$C$40,K39))</f>
        <v>2</v>
      </c>
      <c r="E39" s="71" t="str">
        <f>IF(K39="","",INDEX(Calcule!$B$6:$B$40,K39))</f>
        <v>Standard</v>
      </c>
      <c r="F39" s="12">
        <f>IF(K39="","",INDEX(Calcule!$R$6:$R$40,K39))</f>
        <v>900</v>
      </c>
      <c r="G39" s="12">
        <f>IF(K39="","",INDEX(Calcule!$Y$6:$Y$40,K39))</f>
        <v>1160</v>
      </c>
      <c r="H39" s="12">
        <f>IF(K39="","",INDEX(Calcule!$AE$6:$AE$40,K39))</f>
        <v>940</v>
      </c>
      <c r="I39" s="12">
        <f>IF(K39="","",INDEX(Calcule!$AI$6:$AI$40,K39))</f>
        <v>1000</v>
      </c>
      <c r="J39" s="12">
        <f>IF(K39="","",INDEX(Calcule!$U$6:$U$40,K39))</f>
        <v>653.79665379665369</v>
      </c>
      <c r="K39" s="72">
        <f>IFERROR(IF(A39&lt;=INDEX(Perioade!$D$6:$D$40,MATCH(A39,Perioade!$C$6:$C$40,1)),MATCH(A39,Perioade!$C$6:$C$40,1),""),"")</f>
        <v>1</v>
      </c>
    </row>
    <row r="40" spans="1:11" x14ac:dyDescent="0.2">
      <c r="A40" s="61">
        <f t="shared" si="0"/>
        <v>46355</v>
      </c>
      <c r="B40" s="71" t="str">
        <f t="shared" si="1"/>
        <v>Du</v>
      </c>
      <c r="C40" t="str">
        <f>IF(K40="","⚠ fără perioadă",INDEX(Perioade!$A$6:$A$40,K40))</f>
        <v>vara-toamna-2026</v>
      </c>
      <c r="D40" s="71">
        <f>IF(K40="","",INDEX(Calcule!$C$6:$C$40,K40))</f>
        <v>2</v>
      </c>
      <c r="E40" s="71" t="str">
        <f>IF(K40="","",INDEX(Calcule!$B$6:$B$40,K40))</f>
        <v>Standard</v>
      </c>
      <c r="F40" s="12">
        <f>IF(K40="","",INDEX(Calcule!$R$6:$R$40,K40))</f>
        <v>900</v>
      </c>
      <c r="G40" s="12">
        <f>IF(K40="","",INDEX(Calcule!$Y$6:$Y$40,K40))</f>
        <v>1160</v>
      </c>
      <c r="H40" s="12">
        <f>IF(K40="","",INDEX(Calcule!$AE$6:$AE$40,K40))</f>
        <v>940</v>
      </c>
      <c r="I40" s="12">
        <f>IF(K40="","",INDEX(Calcule!$AI$6:$AI$40,K40))</f>
        <v>1000</v>
      </c>
      <c r="J40" s="12">
        <f>IF(K40="","",INDEX(Calcule!$U$6:$U$40,K40))</f>
        <v>653.79665379665369</v>
      </c>
      <c r="K40" s="72">
        <f>IFERROR(IF(A40&lt;=INDEX(Perioade!$D$6:$D$40,MATCH(A40,Perioade!$C$6:$C$40,1)),MATCH(A40,Perioade!$C$6:$C$40,1),""),"")</f>
        <v>1</v>
      </c>
    </row>
    <row r="41" spans="1:11" x14ac:dyDescent="0.2">
      <c r="A41" s="61">
        <f t="shared" si="0"/>
        <v>46356</v>
      </c>
      <c r="B41" s="71" t="str">
        <f t="shared" si="1"/>
        <v>Lu</v>
      </c>
      <c r="C41" t="str">
        <f>IF(K41="","⚠ fără perioadă",INDEX(Perioade!$A$6:$A$40,K41))</f>
        <v>vara-toamna-2026</v>
      </c>
      <c r="D41" s="71">
        <f>IF(K41="","",INDEX(Calcule!$C$6:$C$40,K41))</f>
        <v>2</v>
      </c>
      <c r="E41" s="71" t="str">
        <f>IF(K41="","",INDEX(Calcule!$B$6:$B$40,K41))</f>
        <v>Standard</v>
      </c>
      <c r="F41" s="12">
        <f>IF(K41="","",INDEX(Calcule!$R$6:$R$40,K41))</f>
        <v>900</v>
      </c>
      <c r="G41" s="12">
        <f>IF(K41="","",INDEX(Calcule!$Y$6:$Y$40,K41))</f>
        <v>1160</v>
      </c>
      <c r="H41" s="12">
        <f>IF(K41="","",INDEX(Calcule!$AE$6:$AE$40,K41))</f>
        <v>940</v>
      </c>
      <c r="I41" s="12">
        <f>IF(K41="","",INDEX(Calcule!$AI$6:$AI$40,K41))</f>
        <v>1000</v>
      </c>
      <c r="J41" s="12">
        <f>IF(K41="","",INDEX(Calcule!$U$6:$U$40,K41))</f>
        <v>653.79665379665369</v>
      </c>
      <c r="K41" s="72">
        <f>IFERROR(IF(A41&lt;=INDEX(Perioade!$D$6:$D$40,MATCH(A41,Perioade!$C$6:$C$40,1)),MATCH(A41,Perioade!$C$6:$C$40,1),""),"")</f>
        <v>1</v>
      </c>
    </row>
    <row r="42" spans="1:11" x14ac:dyDescent="0.2">
      <c r="A42" s="61">
        <f t="shared" si="0"/>
        <v>46357</v>
      </c>
      <c r="B42" s="71" t="str">
        <f t="shared" si="1"/>
        <v>Ma</v>
      </c>
      <c r="C42" t="str">
        <f>IF(K42="","⚠ fără perioadă",INDEX(Perioade!$A$6:$A$40,K42))</f>
        <v>iarna-2026</v>
      </c>
      <c r="D42" s="71">
        <f>IF(K42="","",INDEX(Calcule!$C$6:$C$40,K42))</f>
        <v>2</v>
      </c>
      <c r="E42" s="71" t="str">
        <f>IF(K42="","",INDEX(Calcule!$B$6:$B$40,K42))</f>
        <v>Standard</v>
      </c>
      <c r="F42" s="12">
        <f>IF(K42="","",INDEX(Calcule!$R$6:$R$40,K42))</f>
        <v>1250</v>
      </c>
      <c r="G42" s="12">
        <f>IF(K42="","",INDEX(Calcule!$Y$6:$Y$40,K42))</f>
        <v>1610</v>
      </c>
      <c r="H42" s="12">
        <f>IF(K42="","",INDEX(Calcule!$AE$6:$AE$40,K42))</f>
        <v>1450</v>
      </c>
      <c r="I42" s="12">
        <f>IF(K42="","",INDEX(Calcule!$AI$6:$AI$40,K42))</f>
        <v>1380</v>
      </c>
      <c r="J42" s="12">
        <f>IF(K42="","",INDEX(Calcule!$U$6:$U$40,K42))</f>
        <v>924.066924066924</v>
      </c>
      <c r="K42" s="72">
        <f>IFERROR(IF(A42&lt;=INDEX(Perioade!$D$6:$D$40,MATCH(A42,Perioade!$C$6:$C$40,1)),MATCH(A42,Perioade!$C$6:$C$40,1),""),"")</f>
        <v>2</v>
      </c>
    </row>
    <row r="43" spans="1:11" x14ac:dyDescent="0.2">
      <c r="A43" s="61">
        <f t="shared" si="0"/>
        <v>46358</v>
      </c>
      <c r="B43" s="71" t="str">
        <f t="shared" si="1"/>
        <v>Mi</v>
      </c>
      <c r="C43" t="str">
        <f>IF(K43="","⚠ fără perioadă",INDEX(Perioade!$A$6:$A$40,K43))</f>
        <v>iarna-2026</v>
      </c>
      <c r="D43" s="71">
        <f>IF(K43="","",INDEX(Calcule!$C$6:$C$40,K43))</f>
        <v>2</v>
      </c>
      <c r="E43" s="71" t="str">
        <f>IF(K43="","",INDEX(Calcule!$B$6:$B$40,K43))</f>
        <v>Standard</v>
      </c>
      <c r="F43" s="12">
        <f>IF(K43="","",INDEX(Calcule!$R$6:$R$40,K43))</f>
        <v>1250</v>
      </c>
      <c r="G43" s="12">
        <f>IF(K43="","",INDEX(Calcule!$Y$6:$Y$40,K43))</f>
        <v>1610</v>
      </c>
      <c r="H43" s="12">
        <f>IF(K43="","",INDEX(Calcule!$AE$6:$AE$40,K43))</f>
        <v>1450</v>
      </c>
      <c r="I43" s="12">
        <f>IF(K43="","",INDEX(Calcule!$AI$6:$AI$40,K43))</f>
        <v>1380</v>
      </c>
      <c r="J43" s="12">
        <f>IF(K43="","",INDEX(Calcule!$U$6:$U$40,K43))</f>
        <v>924.066924066924</v>
      </c>
      <c r="K43" s="72">
        <f>IFERROR(IF(A43&lt;=INDEX(Perioade!$D$6:$D$40,MATCH(A43,Perioade!$C$6:$C$40,1)),MATCH(A43,Perioade!$C$6:$C$40,1),""),"")</f>
        <v>2</v>
      </c>
    </row>
    <row r="44" spans="1:11" x14ac:dyDescent="0.2">
      <c r="A44" s="61">
        <f t="shared" si="0"/>
        <v>46359</v>
      </c>
      <c r="B44" s="71" t="str">
        <f t="shared" si="1"/>
        <v>Jo</v>
      </c>
      <c r="C44" t="str">
        <f>IF(K44="","⚠ fără perioadă",INDEX(Perioade!$A$6:$A$40,K44))</f>
        <v>iarna-2026</v>
      </c>
      <c r="D44" s="71">
        <f>IF(K44="","",INDEX(Calcule!$C$6:$C$40,K44))</f>
        <v>2</v>
      </c>
      <c r="E44" s="71" t="str">
        <f>IF(K44="","",INDEX(Calcule!$B$6:$B$40,K44))</f>
        <v>Standard</v>
      </c>
      <c r="F44" s="12">
        <f>IF(K44="","",INDEX(Calcule!$R$6:$R$40,K44))</f>
        <v>1250</v>
      </c>
      <c r="G44" s="12">
        <f>IF(K44="","",INDEX(Calcule!$Y$6:$Y$40,K44))</f>
        <v>1610</v>
      </c>
      <c r="H44" s="12">
        <f>IF(K44="","",INDEX(Calcule!$AE$6:$AE$40,K44))</f>
        <v>1450</v>
      </c>
      <c r="I44" s="12">
        <f>IF(K44="","",INDEX(Calcule!$AI$6:$AI$40,K44))</f>
        <v>1380</v>
      </c>
      <c r="J44" s="12">
        <f>IF(K44="","",INDEX(Calcule!$U$6:$U$40,K44))</f>
        <v>924.066924066924</v>
      </c>
      <c r="K44" s="72">
        <f>IFERROR(IF(A44&lt;=INDEX(Perioade!$D$6:$D$40,MATCH(A44,Perioade!$C$6:$C$40,1)),MATCH(A44,Perioade!$C$6:$C$40,1),""),"")</f>
        <v>2</v>
      </c>
    </row>
    <row r="45" spans="1:11" x14ac:dyDescent="0.2">
      <c r="A45" s="61">
        <f t="shared" si="0"/>
        <v>46360</v>
      </c>
      <c r="B45" s="71" t="str">
        <f t="shared" si="1"/>
        <v>Vi</v>
      </c>
      <c r="C45" t="str">
        <f>IF(K45="","⚠ fără perioadă",INDEX(Perioade!$A$6:$A$40,K45))</f>
        <v>iarna-2026</v>
      </c>
      <c r="D45" s="71">
        <f>IF(K45="","",INDEX(Calcule!$C$6:$C$40,K45))</f>
        <v>2</v>
      </c>
      <c r="E45" s="71" t="str">
        <f>IF(K45="","",INDEX(Calcule!$B$6:$B$40,K45))</f>
        <v>Standard</v>
      </c>
      <c r="F45" s="12">
        <f>IF(K45="","",INDEX(Calcule!$R$6:$R$40,K45))</f>
        <v>1250</v>
      </c>
      <c r="G45" s="12">
        <f>IF(K45="","",INDEX(Calcule!$Y$6:$Y$40,K45))</f>
        <v>1610</v>
      </c>
      <c r="H45" s="12">
        <f>IF(K45="","",INDEX(Calcule!$AE$6:$AE$40,K45))</f>
        <v>1450</v>
      </c>
      <c r="I45" s="12">
        <f>IF(K45="","",INDEX(Calcule!$AI$6:$AI$40,K45))</f>
        <v>1380</v>
      </c>
      <c r="J45" s="12">
        <f>IF(K45="","",INDEX(Calcule!$U$6:$U$40,K45))</f>
        <v>924.066924066924</v>
      </c>
      <c r="K45" s="72">
        <f>IFERROR(IF(A45&lt;=INDEX(Perioade!$D$6:$D$40,MATCH(A45,Perioade!$C$6:$C$40,1)),MATCH(A45,Perioade!$C$6:$C$40,1),""),"")</f>
        <v>2</v>
      </c>
    </row>
    <row r="46" spans="1:11" x14ac:dyDescent="0.2">
      <c r="A46" s="61">
        <f t="shared" si="0"/>
        <v>46361</v>
      </c>
      <c r="B46" s="71" t="str">
        <f t="shared" si="1"/>
        <v>Sâ</v>
      </c>
      <c r="C46" t="str">
        <f>IF(K46="","⚠ fără perioadă",INDEX(Perioade!$A$6:$A$40,K46))</f>
        <v>iarna-2026</v>
      </c>
      <c r="D46" s="71">
        <f>IF(K46="","",INDEX(Calcule!$C$6:$C$40,K46))</f>
        <v>2</v>
      </c>
      <c r="E46" s="71" t="str">
        <f>IF(K46="","",INDEX(Calcule!$B$6:$B$40,K46))</f>
        <v>Standard</v>
      </c>
      <c r="F46" s="12">
        <f>IF(K46="","",INDEX(Calcule!$R$6:$R$40,K46))</f>
        <v>1250</v>
      </c>
      <c r="G46" s="12">
        <f>IF(K46="","",INDEX(Calcule!$Y$6:$Y$40,K46))</f>
        <v>1610</v>
      </c>
      <c r="H46" s="12">
        <f>IF(K46="","",INDEX(Calcule!$AE$6:$AE$40,K46))</f>
        <v>1450</v>
      </c>
      <c r="I46" s="12">
        <f>IF(K46="","",INDEX(Calcule!$AI$6:$AI$40,K46))</f>
        <v>1380</v>
      </c>
      <c r="J46" s="12">
        <f>IF(K46="","",INDEX(Calcule!$U$6:$U$40,K46))</f>
        <v>924.066924066924</v>
      </c>
      <c r="K46" s="72">
        <f>IFERROR(IF(A46&lt;=INDEX(Perioade!$D$6:$D$40,MATCH(A46,Perioade!$C$6:$C$40,1)),MATCH(A46,Perioade!$C$6:$C$40,1),""),"")</f>
        <v>2</v>
      </c>
    </row>
    <row r="47" spans="1:11" x14ac:dyDescent="0.2">
      <c r="A47" s="61">
        <f t="shared" si="0"/>
        <v>46362</v>
      </c>
      <c r="B47" s="71" t="str">
        <f t="shared" si="1"/>
        <v>Du</v>
      </c>
      <c r="C47" t="str">
        <f>IF(K47="","⚠ fără perioadă",INDEX(Perioade!$A$6:$A$40,K47))</f>
        <v>iarna-2026</v>
      </c>
      <c r="D47" s="71">
        <f>IF(K47="","",INDEX(Calcule!$C$6:$C$40,K47))</f>
        <v>2</v>
      </c>
      <c r="E47" s="71" t="str">
        <f>IF(K47="","",INDEX(Calcule!$B$6:$B$40,K47))</f>
        <v>Standard</v>
      </c>
      <c r="F47" s="12">
        <f>IF(K47="","",INDEX(Calcule!$R$6:$R$40,K47))</f>
        <v>1250</v>
      </c>
      <c r="G47" s="12">
        <f>IF(K47="","",INDEX(Calcule!$Y$6:$Y$40,K47))</f>
        <v>1610</v>
      </c>
      <c r="H47" s="12">
        <f>IF(K47="","",INDEX(Calcule!$AE$6:$AE$40,K47))</f>
        <v>1450</v>
      </c>
      <c r="I47" s="12">
        <f>IF(K47="","",INDEX(Calcule!$AI$6:$AI$40,K47))</f>
        <v>1380</v>
      </c>
      <c r="J47" s="12">
        <f>IF(K47="","",INDEX(Calcule!$U$6:$U$40,K47))</f>
        <v>924.066924066924</v>
      </c>
      <c r="K47" s="72">
        <f>IFERROR(IF(A47&lt;=INDEX(Perioade!$D$6:$D$40,MATCH(A47,Perioade!$C$6:$C$40,1)),MATCH(A47,Perioade!$C$6:$C$40,1),""),"")</f>
        <v>2</v>
      </c>
    </row>
    <row r="48" spans="1:11" x14ac:dyDescent="0.2">
      <c r="A48" s="61">
        <f t="shared" si="0"/>
        <v>46363</v>
      </c>
      <c r="B48" s="71" t="str">
        <f t="shared" si="1"/>
        <v>Lu</v>
      </c>
      <c r="C48" t="str">
        <f>IF(K48="","⚠ fără perioadă",INDEX(Perioade!$A$6:$A$40,K48))</f>
        <v>iarna-2026</v>
      </c>
      <c r="D48" s="71">
        <f>IF(K48="","",INDEX(Calcule!$C$6:$C$40,K48))</f>
        <v>2</v>
      </c>
      <c r="E48" s="71" t="str">
        <f>IF(K48="","",INDEX(Calcule!$B$6:$B$40,K48))</f>
        <v>Standard</v>
      </c>
      <c r="F48" s="12">
        <f>IF(K48="","",INDEX(Calcule!$R$6:$R$40,K48))</f>
        <v>1250</v>
      </c>
      <c r="G48" s="12">
        <f>IF(K48="","",INDEX(Calcule!$Y$6:$Y$40,K48))</f>
        <v>1610</v>
      </c>
      <c r="H48" s="12">
        <f>IF(K48="","",INDEX(Calcule!$AE$6:$AE$40,K48))</f>
        <v>1450</v>
      </c>
      <c r="I48" s="12">
        <f>IF(K48="","",INDEX(Calcule!$AI$6:$AI$40,K48))</f>
        <v>1380</v>
      </c>
      <c r="J48" s="12">
        <f>IF(K48="","",INDEX(Calcule!$U$6:$U$40,K48))</f>
        <v>924.066924066924</v>
      </c>
      <c r="K48" s="72">
        <f>IFERROR(IF(A48&lt;=INDEX(Perioade!$D$6:$D$40,MATCH(A48,Perioade!$C$6:$C$40,1)),MATCH(A48,Perioade!$C$6:$C$40,1),""),"")</f>
        <v>2</v>
      </c>
    </row>
    <row r="49" spans="1:11" x14ac:dyDescent="0.2">
      <c r="A49" s="61">
        <f t="shared" si="0"/>
        <v>46364</v>
      </c>
      <c r="B49" s="71" t="str">
        <f t="shared" si="1"/>
        <v>Ma</v>
      </c>
      <c r="C49" t="str">
        <f>IF(K49="","⚠ fără perioadă",INDEX(Perioade!$A$6:$A$40,K49))</f>
        <v>iarna-2026</v>
      </c>
      <c r="D49" s="71">
        <f>IF(K49="","",INDEX(Calcule!$C$6:$C$40,K49))</f>
        <v>2</v>
      </c>
      <c r="E49" s="71" t="str">
        <f>IF(K49="","",INDEX(Calcule!$B$6:$B$40,K49))</f>
        <v>Standard</v>
      </c>
      <c r="F49" s="12">
        <f>IF(K49="","",INDEX(Calcule!$R$6:$R$40,K49))</f>
        <v>1250</v>
      </c>
      <c r="G49" s="12">
        <f>IF(K49="","",INDEX(Calcule!$Y$6:$Y$40,K49))</f>
        <v>1610</v>
      </c>
      <c r="H49" s="12">
        <f>IF(K49="","",INDEX(Calcule!$AE$6:$AE$40,K49))</f>
        <v>1450</v>
      </c>
      <c r="I49" s="12">
        <f>IF(K49="","",INDEX(Calcule!$AI$6:$AI$40,K49))</f>
        <v>1380</v>
      </c>
      <c r="J49" s="12">
        <f>IF(K49="","",INDEX(Calcule!$U$6:$U$40,K49))</f>
        <v>924.066924066924</v>
      </c>
      <c r="K49" s="72">
        <f>IFERROR(IF(A49&lt;=INDEX(Perioade!$D$6:$D$40,MATCH(A49,Perioade!$C$6:$C$40,1)),MATCH(A49,Perioade!$C$6:$C$40,1),""),"")</f>
        <v>2</v>
      </c>
    </row>
    <row r="50" spans="1:11" x14ac:dyDescent="0.2">
      <c r="A50" s="61">
        <f t="shared" si="0"/>
        <v>46365</v>
      </c>
      <c r="B50" s="71" t="str">
        <f t="shared" si="1"/>
        <v>Mi</v>
      </c>
      <c r="C50" t="str">
        <f>IF(K50="","⚠ fără perioadă",INDEX(Perioade!$A$6:$A$40,K50))</f>
        <v>iarna-2026</v>
      </c>
      <c r="D50" s="71">
        <f>IF(K50="","",INDEX(Calcule!$C$6:$C$40,K50))</f>
        <v>2</v>
      </c>
      <c r="E50" s="71" t="str">
        <f>IF(K50="","",INDEX(Calcule!$B$6:$B$40,K50))</f>
        <v>Standard</v>
      </c>
      <c r="F50" s="12">
        <f>IF(K50="","",INDEX(Calcule!$R$6:$R$40,K50))</f>
        <v>1250</v>
      </c>
      <c r="G50" s="12">
        <f>IF(K50="","",INDEX(Calcule!$Y$6:$Y$40,K50))</f>
        <v>1610</v>
      </c>
      <c r="H50" s="12">
        <f>IF(K50="","",INDEX(Calcule!$AE$6:$AE$40,K50))</f>
        <v>1450</v>
      </c>
      <c r="I50" s="12">
        <f>IF(K50="","",INDEX(Calcule!$AI$6:$AI$40,K50))</f>
        <v>1380</v>
      </c>
      <c r="J50" s="12">
        <f>IF(K50="","",INDEX(Calcule!$U$6:$U$40,K50))</f>
        <v>924.066924066924</v>
      </c>
      <c r="K50" s="72">
        <f>IFERROR(IF(A50&lt;=INDEX(Perioade!$D$6:$D$40,MATCH(A50,Perioade!$C$6:$C$40,1)),MATCH(A50,Perioade!$C$6:$C$40,1),""),"")</f>
        <v>2</v>
      </c>
    </row>
    <row r="51" spans="1:11" x14ac:dyDescent="0.2">
      <c r="A51" s="61">
        <f t="shared" si="0"/>
        <v>46366</v>
      </c>
      <c r="B51" s="71" t="str">
        <f t="shared" si="1"/>
        <v>Jo</v>
      </c>
      <c r="C51" t="str">
        <f>IF(K51="","⚠ fără perioadă",INDEX(Perioade!$A$6:$A$40,K51))</f>
        <v>iarna-2026</v>
      </c>
      <c r="D51" s="71">
        <f>IF(K51="","",INDEX(Calcule!$C$6:$C$40,K51))</f>
        <v>2</v>
      </c>
      <c r="E51" s="71" t="str">
        <f>IF(K51="","",INDEX(Calcule!$B$6:$B$40,K51))</f>
        <v>Standard</v>
      </c>
      <c r="F51" s="12">
        <f>IF(K51="","",INDEX(Calcule!$R$6:$R$40,K51))</f>
        <v>1250</v>
      </c>
      <c r="G51" s="12">
        <f>IF(K51="","",INDEX(Calcule!$Y$6:$Y$40,K51))</f>
        <v>1610</v>
      </c>
      <c r="H51" s="12">
        <f>IF(K51="","",INDEX(Calcule!$AE$6:$AE$40,K51))</f>
        <v>1450</v>
      </c>
      <c r="I51" s="12">
        <f>IF(K51="","",INDEX(Calcule!$AI$6:$AI$40,K51))</f>
        <v>1380</v>
      </c>
      <c r="J51" s="12">
        <f>IF(K51="","",INDEX(Calcule!$U$6:$U$40,K51))</f>
        <v>924.066924066924</v>
      </c>
      <c r="K51" s="72">
        <f>IFERROR(IF(A51&lt;=INDEX(Perioade!$D$6:$D$40,MATCH(A51,Perioade!$C$6:$C$40,1)),MATCH(A51,Perioade!$C$6:$C$40,1),""),"")</f>
        <v>2</v>
      </c>
    </row>
    <row r="52" spans="1:11" x14ac:dyDescent="0.2">
      <c r="A52" s="61">
        <f t="shared" si="0"/>
        <v>46367</v>
      </c>
      <c r="B52" s="71" t="str">
        <f t="shared" si="1"/>
        <v>Vi</v>
      </c>
      <c r="C52" t="str">
        <f>IF(K52="","⚠ fără perioadă",INDEX(Perioade!$A$6:$A$40,K52))</f>
        <v>iarna-2026</v>
      </c>
      <c r="D52" s="71">
        <f>IF(K52="","",INDEX(Calcule!$C$6:$C$40,K52))</f>
        <v>2</v>
      </c>
      <c r="E52" s="71" t="str">
        <f>IF(K52="","",INDEX(Calcule!$B$6:$B$40,K52))</f>
        <v>Standard</v>
      </c>
      <c r="F52" s="12">
        <f>IF(K52="","",INDEX(Calcule!$R$6:$R$40,K52))</f>
        <v>1250</v>
      </c>
      <c r="G52" s="12">
        <f>IF(K52="","",INDEX(Calcule!$Y$6:$Y$40,K52))</f>
        <v>1610</v>
      </c>
      <c r="H52" s="12">
        <f>IF(K52="","",INDEX(Calcule!$AE$6:$AE$40,K52))</f>
        <v>1450</v>
      </c>
      <c r="I52" s="12">
        <f>IF(K52="","",INDEX(Calcule!$AI$6:$AI$40,K52))</f>
        <v>1380</v>
      </c>
      <c r="J52" s="12">
        <f>IF(K52="","",INDEX(Calcule!$U$6:$U$40,K52))</f>
        <v>924.066924066924</v>
      </c>
      <c r="K52" s="72">
        <f>IFERROR(IF(A52&lt;=INDEX(Perioade!$D$6:$D$40,MATCH(A52,Perioade!$C$6:$C$40,1)),MATCH(A52,Perioade!$C$6:$C$40,1),""),"")</f>
        <v>2</v>
      </c>
    </row>
    <row r="53" spans="1:11" x14ac:dyDescent="0.2">
      <c r="A53" s="61">
        <f t="shared" si="0"/>
        <v>46368</v>
      </c>
      <c r="B53" s="71" t="str">
        <f t="shared" si="1"/>
        <v>Sâ</v>
      </c>
      <c r="C53" t="str">
        <f>IF(K53="","⚠ fără perioadă",INDEX(Perioade!$A$6:$A$40,K53))</f>
        <v>iarna-2026</v>
      </c>
      <c r="D53" s="71">
        <f>IF(K53="","",INDEX(Calcule!$C$6:$C$40,K53))</f>
        <v>2</v>
      </c>
      <c r="E53" s="71" t="str">
        <f>IF(K53="","",INDEX(Calcule!$B$6:$B$40,K53))</f>
        <v>Standard</v>
      </c>
      <c r="F53" s="12">
        <f>IF(K53="","",INDEX(Calcule!$R$6:$R$40,K53))</f>
        <v>1250</v>
      </c>
      <c r="G53" s="12">
        <f>IF(K53="","",INDEX(Calcule!$Y$6:$Y$40,K53))</f>
        <v>1610</v>
      </c>
      <c r="H53" s="12">
        <f>IF(K53="","",INDEX(Calcule!$AE$6:$AE$40,K53))</f>
        <v>1450</v>
      </c>
      <c r="I53" s="12">
        <f>IF(K53="","",INDEX(Calcule!$AI$6:$AI$40,K53))</f>
        <v>1380</v>
      </c>
      <c r="J53" s="12">
        <f>IF(K53="","",INDEX(Calcule!$U$6:$U$40,K53))</f>
        <v>924.066924066924</v>
      </c>
      <c r="K53" s="72">
        <f>IFERROR(IF(A53&lt;=INDEX(Perioade!$D$6:$D$40,MATCH(A53,Perioade!$C$6:$C$40,1)),MATCH(A53,Perioade!$C$6:$C$40,1),""),"")</f>
        <v>2</v>
      </c>
    </row>
    <row r="54" spans="1:11" x14ac:dyDescent="0.2">
      <c r="A54" s="61">
        <f t="shared" si="0"/>
        <v>46369</v>
      </c>
      <c r="B54" s="71" t="str">
        <f t="shared" si="1"/>
        <v>Du</v>
      </c>
      <c r="C54" t="str">
        <f>IF(K54="","⚠ fără perioadă",INDEX(Perioade!$A$6:$A$40,K54))</f>
        <v>iarna-2026</v>
      </c>
      <c r="D54" s="71">
        <f>IF(K54="","",INDEX(Calcule!$C$6:$C$40,K54))</f>
        <v>2</v>
      </c>
      <c r="E54" s="71" t="str">
        <f>IF(K54="","",INDEX(Calcule!$B$6:$B$40,K54))</f>
        <v>Standard</v>
      </c>
      <c r="F54" s="12">
        <f>IF(K54="","",INDEX(Calcule!$R$6:$R$40,K54))</f>
        <v>1250</v>
      </c>
      <c r="G54" s="12">
        <f>IF(K54="","",INDEX(Calcule!$Y$6:$Y$40,K54))</f>
        <v>1610</v>
      </c>
      <c r="H54" s="12">
        <f>IF(K54="","",INDEX(Calcule!$AE$6:$AE$40,K54))</f>
        <v>1450</v>
      </c>
      <c r="I54" s="12">
        <f>IF(K54="","",INDEX(Calcule!$AI$6:$AI$40,K54))</f>
        <v>1380</v>
      </c>
      <c r="J54" s="12">
        <f>IF(K54="","",INDEX(Calcule!$U$6:$U$40,K54))</f>
        <v>924.066924066924</v>
      </c>
      <c r="K54" s="72">
        <f>IFERROR(IF(A54&lt;=INDEX(Perioade!$D$6:$D$40,MATCH(A54,Perioade!$C$6:$C$40,1)),MATCH(A54,Perioade!$C$6:$C$40,1),""),"")</f>
        <v>2</v>
      </c>
    </row>
    <row r="55" spans="1:11" x14ac:dyDescent="0.2">
      <c r="A55" s="61">
        <f t="shared" si="0"/>
        <v>46370</v>
      </c>
      <c r="B55" s="71" t="str">
        <f t="shared" si="1"/>
        <v>Lu</v>
      </c>
      <c r="C55" t="str">
        <f>IF(K55="","⚠ fără perioadă",INDEX(Perioade!$A$6:$A$40,K55))</f>
        <v>iarna-2026</v>
      </c>
      <c r="D55" s="71">
        <f>IF(K55="","",INDEX(Calcule!$C$6:$C$40,K55))</f>
        <v>2</v>
      </c>
      <c r="E55" s="71" t="str">
        <f>IF(K55="","",INDEX(Calcule!$B$6:$B$40,K55))</f>
        <v>Standard</v>
      </c>
      <c r="F55" s="12">
        <f>IF(K55="","",INDEX(Calcule!$R$6:$R$40,K55))</f>
        <v>1250</v>
      </c>
      <c r="G55" s="12">
        <f>IF(K55="","",INDEX(Calcule!$Y$6:$Y$40,K55))</f>
        <v>1610</v>
      </c>
      <c r="H55" s="12">
        <f>IF(K55="","",INDEX(Calcule!$AE$6:$AE$40,K55))</f>
        <v>1450</v>
      </c>
      <c r="I55" s="12">
        <f>IF(K55="","",INDEX(Calcule!$AI$6:$AI$40,K55))</f>
        <v>1380</v>
      </c>
      <c r="J55" s="12">
        <f>IF(K55="","",INDEX(Calcule!$U$6:$U$40,K55))</f>
        <v>924.066924066924</v>
      </c>
      <c r="K55" s="72">
        <f>IFERROR(IF(A55&lt;=INDEX(Perioade!$D$6:$D$40,MATCH(A55,Perioade!$C$6:$C$40,1)),MATCH(A55,Perioade!$C$6:$C$40,1),""),"")</f>
        <v>2</v>
      </c>
    </row>
    <row r="56" spans="1:11" x14ac:dyDescent="0.2">
      <c r="A56" s="61">
        <f t="shared" si="0"/>
        <v>46371</v>
      </c>
      <c r="B56" s="71" t="str">
        <f t="shared" si="1"/>
        <v>Ma</v>
      </c>
      <c r="C56" t="str">
        <f>IF(K56="","⚠ fără perioadă",INDEX(Perioade!$A$6:$A$40,K56))</f>
        <v>iarna-2026</v>
      </c>
      <c r="D56" s="71">
        <f>IF(K56="","",INDEX(Calcule!$C$6:$C$40,K56))</f>
        <v>2</v>
      </c>
      <c r="E56" s="71" t="str">
        <f>IF(K56="","",INDEX(Calcule!$B$6:$B$40,K56))</f>
        <v>Standard</v>
      </c>
      <c r="F56" s="12">
        <f>IF(K56="","",INDEX(Calcule!$R$6:$R$40,K56))</f>
        <v>1250</v>
      </c>
      <c r="G56" s="12">
        <f>IF(K56="","",INDEX(Calcule!$Y$6:$Y$40,K56))</f>
        <v>1610</v>
      </c>
      <c r="H56" s="12">
        <f>IF(K56="","",INDEX(Calcule!$AE$6:$AE$40,K56))</f>
        <v>1450</v>
      </c>
      <c r="I56" s="12">
        <f>IF(K56="","",INDEX(Calcule!$AI$6:$AI$40,K56))</f>
        <v>1380</v>
      </c>
      <c r="J56" s="12">
        <f>IF(K56="","",INDEX(Calcule!$U$6:$U$40,K56))</f>
        <v>924.066924066924</v>
      </c>
      <c r="K56" s="72">
        <f>IFERROR(IF(A56&lt;=INDEX(Perioade!$D$6:$D$40,MATCH(A56,Perioade!$C$6:$C$40,1)),MATCH(A56,Perioade!$C$6:$C$40,1),""),"")</f>
        <v>2</v>
      </c>
    </row>
    <row r="57" spans="1:11" x14ac:dyDescent="0.2">
      <c r="A57" s="61">
        <f t="shared" si="0"/>
        <v>46372</v>
      </c>
      <c r="B57" s="71" t="str">
        <f t="shared" si="1"/>
        <v>Mi</v>
      </c>
      <c r="C57" t="str">
        <f>IF(K57="","⚠ fără perioadă",INDEX(Perioade!$A$6:$A$40,K57))</f>
        <v>iarna-2026</v>
      </c>
      <c r="D57" s="71">
        <f>IF(K57="","",INDEX(Calcule!$C$6:$C$40,K57))</f>
        <v>2</v>
      </c>
      <c r="E57" s="71" t="str">
        <f>IF(K57="","",INDEX(Calcule!$B$6:$B$40,K57))</f>
        <v>Standard</v>
      </c>
      <c r="F57" s="12">
        <f>IF(K57="","",INDEX(Calcule!$R$6:$R$40,K57))</f>
        <v>1250</v>
      </c>
      <c r="G57" s="12">
        <f>IF(K57="","",INDEX(Calcule!$Y$6:$Y$40,K57))</f>
        <v>1610</v>
      </c>
      <c r="H57" s="12">
        <f>IF(K57="","",INDEX(Calcule!$AE$6:$AE$40,K57))</f>
        <v>1450</v>
      </c>
      <c r="I57" s="12">
        <f>IF(K57="","",INDEX(Calcule!$AI$6:$AI$40,K57))</f>
        <v>1380</v>
      </c>
      <c r="J57" s="12">
        <f>IF(K57="","",INDEX(Calcule!$U$6:$U$40,K57))</f>
        <v>924.066924066924</v>
      </c>
      <c r="K57" s="72">
        <f>IFERROR(IF(A57&lt;=INDEX(Perioade!$D$6:$D$40,MATCH(A57,Perioade!$C$6:$C$40,1)),MATCH(A57,Perioade!$C$6:$C$40,1),""),"")</f>
        <v>2</v>
      </c>
    </row>
    <row r="58" spans="1:11" x14ac:dyDescent="0.2">
      <c r="A58" s="61">
        <f t="shared" si="0"/>
        <v>46373</v>
      </c>
      <c r="B58" s="71" t="str">
        <f t="shared" si="1"/>
        <v>Jo</v>
      </c>
      <c r="C58" t="str">
        <f>IF(K58="","⚠ fără perioadă",INDEX(Perioade!$A$6:$A$40,K58))</f>
        <v>iarna-2026</v>
      </c>
      <c r="D58" s="71">
        <f>IF(K58="","",INDEX(Calcule!$C$6:$C$40,K58))</f>
        <v>2</v>
      </c>
      <c r="E58" s="71" t="str">
        <f>IF(K58="","",INDEX(Calcule!$B$6:$B$40,K58))</f>
        <v>Standard</v>
      </c>
      <c r="F58" s="12">
        <f>IF(K58="","",INDEX(Calcule!$R$6:$R$40,K58))</f>
        <v>1250</v>
      </c>
      <c r="G58" s="12">
        <f>IF(K58="","",INDEX(Calcule!$Y$6:$Y$40,K58))</f>
        <v>1610</v>
      </c>
      <c r="H58" s="12">
        <f>IF(K58="","",INDEX(Calcule!$AE$6:$AE$40,K58))</f>
        <v>1450</v>
      </c>
      <c r="I58" s="12">
        <f>IF(K58="","",INDEX(Calcule!$AI$6:$AI$40,K58))</f>
        <v>1380</v>
      </c>
      <c r="J58" s="12">
        <f>IF(K58="","",INDEX(Calcule!$U$6:$U$40,K58))</f>
        <v>924.066924066924</v>
      </c>
      <c r="K58" s="72">
        <f>IFERROR(IF(A58&lt;=INDEX(Perioade!$D$6:$D$40,MATCH(A58,Perioade!$C$6:$C$40,1)),MATCH(A58,Perioade!$C$6:$C$40,1),""),"")</f>
        <v>2</v>
      </c>
    </row>
    <row r="59" spans="1:11" x14ac:dyDescent="0.2">
      <c r="A59" s="61">
        <f t="shared" si="0"/>
        <v>46374</v>
      </c>
      <c r="B59" s="71" t="str">
        <f t="shared" si="1"/>
        <v>Vi</v>
      </c>
      <c r="C59" t="str">
        <f>IF(K59="","⚠ fără perioadă",INDEX(Perioade!$A$6:$A$40,K59))</f>
        <v>iarna-2026</v>
      </c>
      <c r="D59" s="71">
        <f>IF(K59="","",INDEX(Calcule!$C$6:$C$40,K59))</f>
        <v>2</v>
      </c>
      <c r="E59" s="71" t="str">
        <f>IF(K59="","",INDEX(Calcule!$B$6:$B$40,K59))</f>
        <v>Standard</v>
      </c>
      <c r="F59" s="12">
        <f>IF(K59="","",INDEX(Calcule!$R$6:$R$40,K59))</f>
        <v>1250</v>
      </c>
      <c r="G59" s="12">
        <f>IF(K59="","",INDEX(Calcule!$Y$6:$Y$40,K59))</f>
        <v>1610</v>
      </c>
      <c r="H59" s="12">
        <f>IF(K59="","",INDEX(Calcule!$AE$6:$AE$40,K59))</f>
        <v>1450</v>
      </c>
      <c r="I59" s="12">
        <f>IF(K59="","",INDEX(Calcule!$AI$6:$AI$40,K59))</f>
        <v>1380</v>
      </c>
      <c r="J59" s="12">
        <f>IF(K59="","",INDEX(Calcule!$U$6:$U$40,K59))</f>
        <v>924.066924066924</v>
      </c>
      <c r="K59" s="72">
        <f>IFERROR(IF(A59&lt;=INDEX(Perioade!$D$6:$D$40,MATCH(A59,Perioade!$C$6:$C$40,1)),MATCH(A59,Perioade!$C$6:$C$40,1),""),"")</f>
        <v>2</v>
      </c>
    </row>
    <row r="60" spans="1:11" x14ac:dyDescent="0.2">
      <c r="A60" s="61">
        <f t="shared" si="0"/>
        <v>46375</v>
      </c>
      <c r="B60" s="71" t="str">
        <f t="shared" si="1"/>
        <v>Sâ</v>
      </c>
      <c r="C60" t="str">
        <f>IF(K60="","⚠ fără perioadă",INDEX(Perioade!$A$6:$A$40,K60))</f>
        <v>iarna-2026</v>
      </c>
      <c r="D60" s="71">
        <f>IF(K60="","",INDEX(Calcule!$C$6:$C$40,K60))</f>
        <v>2</v>
      </c>
      <c r="E60" s="71" t="str">
        <f>IF(K60="","",INDEX(Calcule!$B$6:$B$40,K60))</f>
        <v>Standard</v>
      </c>
      <c r="F60" s="12">
        <f>IF(K60="","",INDEX(Calcule!$R$6:$R$40,K60))</f>
        <v>1250</v>
      </c>
      <c r="G60" s="12">
        <f>IF(K60="","",INDEX(Calcule!$Y$6:$Y$40,K60))</f>
        <v>1610</v>
      </c>
      <c r="H60" s="12">
        <f>IF(K60="","",INDEX(Calcule!$AE$6:$AE$40,K60))</f>
        <v>1450</v>
      </c>
      <c r="I60" s="12">
        <f>IF(K60="","",INDEX(Calcule!$AI$6:$AI$40,K60))</f>
        <v>1380</v>
      </c>
      <c r="J60" s="12">
        <f>IF(K60="","",INDEX(Calcule!$U$6:$U$40,K60))</f>
        <v>924.066924066924</v>
      </c>
      <c r="K60" s="72">
        <f>IFERROR(IF(A60&lt;=INDEX(Perioade!$D$6:$D$40,MATCH(A60,Perioade!$C$6:$C$40,1)),MATCH(A60,Perioade!$C$6:$C$40,1),""),"")</f>
        <v>2</v>
      </c>
    </row>
    <row r="61" spans="1:11" x14ac:dyDescent="0.2">
      <c r="A61" s="61">
        <f t="shared" si="0"/>
        <v>46376</v>
      </c>
      <c r="B61" s="71" t="str">
        <f t="shared" si="1"/>
        <v>Du</v>
      </c>
      <c r="C61" t="str">
        <f>IF(K61="","⚠ fără perioadă",INDEX(Perioade!$A$6:$A$40,K61))</f>
        <v>iarna-2026</v>
      </c>
      <c r="D61" s="71">
        <f>IF(K61="","",INDEX(Calcule!$C$6:$C$40,K61))</f>
        <v>2</v>
      </c>
      <c r="E61" s="71" t="str">
        <f>IF(K61="","",INDEX(Calcule!$B$6:$B$40,K61))</f>
        <v>Standard</v>
      </c>
      <c r="F61" s="12">
        <f>IF(K61="","",INDEX(Calcule!$R$6:$R$40,K61))</f>
        <v>1250</v>
      </c>
      <c r="G61" s="12">
        <f>IF(K61="","",INDEX(Calcule!$Y$6:$Y$40,K61))</f>
        <v>1610</v>
      </c>
      <c r="H61" s="12">
        <f>IF(K61="","",INDEX(Calcule!$AE$6:$AE$40,K61))</f>
        <v>1450</v>
      </c>
      <c r="I61" s="12">
        <f>IF(K61="","",INDEX(Calcule!$AI$6:$AI$40,K61))</f>
        <v>1380</v>
      </c>
      <c r="J61" s="12">
        <f>IF(K61="","",INDEX(Calcule!$U$6:$U$40,K61))</f>
        <v>924.066924066924</v>
      </c>
      <c r="K61" s="72">
        <f>IFERROR(IF(A61&lt;=INDEX(Perioade!$D$6:$D$40,MATCH(A61,Perioade!$C$6:$C$40,1)),MATCH(A61,Perioade!$C$6:$C$40,1),""),"")</f>
        <v>2</v>
      </c>
    </row>
    <row r="62" spans="1:11" x14ac:dyDescent="0.2">
      <c r="A62" s="61">
        <f t="shared" si="0"/>
        <v>46377</v>
      </c>
      <c r="B62" s="71" t="str">
        <f t="shared" si="1"/>
        <v>Lu</v>
      </c>
      <c r="C62" t="str">
        <f>IF(K62="","⚠ fără perioadă",INDEX(Perioade!$A$6:$A$40,K62))</f>
        <v>Craciun-2026</v>
      </c>
      <c r="D62" s="71">
        <f>IF(K62="","",INDEX(Calcule!$C$6:$C$40,K62))</f>
        <v>3</v>
      </c>
      <c r="E62" s="71" t="str">
        <f>IF(K62="","",INDEX(Calcule!$B$6:$B$40,K62))</f>
        <v>Preț fix</v>
      </c>
      <c r="F62" s="12">
        <f>IF(K62="","",INDEX(Calcule!$R$6:$R$40,K62))</f>
        <v>1500</v>
      </c>
      <c r="G62" s="12">
        <f>IF(K62="","",INDEX(Calcule!$Y$6:$Y$40,K62))</f>
        <v>1940</v>
      </c>
      <c r="H62" s="12">
        <f>IF(K62="","",INDEX(Calcule!$AE$6:$AE$40,K62))</f>
        <v>1970</v>
      </c>
      <c r="I62" s="12">
        <f>IF(K62="","",INDEX(Calcule!$AI$6:$AI$40,K62))</f>
        <v>1660</v>
      </c>
      <c r="J62" s="12">
        <f>IF(K62="","",INDEX(Calcule!$U$6:$U$40,K62))</f>
        <v>1245.8172458172455</v>
      </c>
      <c r="K62" s="72">
        <f>IFERROR(IF(A62&lt;=INDEX(Perioade!$D$6:$D$40,MATCH(A62,Perioade!$C$6:$C$40,1)),MATCH(A62,Perioade!$C$6:$C$40,1),""),"")</f>
        <v>3</v>
      </c>
    </row>
    <row r="63" spans="1:11" x14ac:dyDescent="0.2">
      <c r="A63" s="61">
        <f t="shared" si="0"/>
        <v>46378</v>
      </c>
      <c r="B63" s="71" t="str">
        <f t="shared" si="1"/>
        <v>Ma</v>
      </c>
      <c r="C63" t="str">
        <f>IF(K63="","⚠ fără perioadă",INDEX(Perioade!$A$6:$A$40,K63))</f>
        <v>Craciun-2026</v>
      </c>
      <c r="D63" s="71">
        <f>IF(K63="","",INDEX(Calcule!$C$6:$C$40,K63))</f>
        <v>3</v>
      </c>
      <c r="E63" s="71" t="str">
        <f>IF(K63="","",INDEX(Calcule!$B$6:$B$40,K63))</f>
        <v>Preț fix</v>
      </c>
      <c r="F63" s="12">
        <f>IF(K63="","",INDEX(Calcule!$R$6:$R$40,K63))</f>
        <v>1500</v>
      </c>
      <c r="G63" s="12">
        <f>IF(K63="","",INDEX(Calcule!$Y$6:$Y$40,K63))</f>
        <v>1940</v>
      </c>
      <c r="H63" s="12">
        <f>IF(K63="","",INDEX(Calcule!$AE$6:$AE$40,K63))</f>
        <v>1970</v>
      </c>
      <c r="I63" s="12">
        <f>IF(K63="","",INDEX(Calcule!$AI$6:$AI$40,K63))</f>
        <v>1660</v>
      </c>
      <c r="J63" s="12">
        <f>IF(K63="","",INDEX(Calcule!$U$6:$U$40,K63))</f>
        <v>1245.8172458172455</v>
      </c>
      <c r="K63" s="72">
        <f>IFERROR(IF(A63&lt;=INDEX(Perioade!$D$6:$D$40,MATCH(A63,Perioade!$C$6:$C$40,1)),MATCH(A63,Perioade!$C$6:$C$40,1),""),"")</f>
        <v>3</v>
      </c>
    </row>
    <row r="64" spans="1:11" x14ac:dyDescent="0.2">
      <c r="A64" s="61">
        <f t="shared" si="0"/>
        <v>46379</v>
      </c>
      <c r="B64" s="71" t="str">
        <f t="shared" si="1"/>
        <v>Mi</v>
      </c>
      <c r="C64" t="str">
        <f>IF(K64="","⚠ fără perioadă",INDEX(Perioade!$A$6:$A$40,K64))</f>
        <v>Craciun-2026</v>
      </c>
      <c r="D64" s="71">
        <f>IF(K64="","",INDEX(Calcule!$C$6:$C$40,K64))</f>
        <v>3</v>
      </c>
      <c r="E64" s="71" t="str">
        <f>IF(K64="","",INDEX(Calcule!$B$6:$B$40,K64))</f>
        <v>Preț fix</v>
      </c>
      <c r="F64" s="12">
        <f>IF(K64="","",INDEX(Calcule!$R$6:$R$40,K64))</f>
        <v>1500</v>
      </c>
      <c r="G64" s="12">
        <f>IF(K64="","",INDEX(Calcule!$Y$6:$Y$40,K64))</f>
        <v>1940</v>
      </c>
      <c r="H64" s="12">
        <f>IF(K64="","",INDEX(Calcule!$AE$6:$AE$40,K64))</f>
        <v>1970</v>
      </c>
      <c r="I64" s="12">
        <f>IF(K64="","",INDEX(Calcule!$AI$6:$AI$40,K64))</f>
        <v>1660</v>
      </c>
      <c r="J64" s="12">
        <f>IF(K64="","",INDEX(Calcule!$U$6:$U$40,K64))</f>
        <v>1245.8172458172455</v>
      </c>
      <c r="K64" s="72">
        <f>IFERROR(IF(A64&lt;=INDEX(Perioade!$D$6:$D$40,MATCH(A64,Perioade!$C$6:$C$40,1)),MATCH(A64,Perioade!$C$6:$C$40,1),""),"")</f>
        <v>3</v>
      </c>
    </row>
    <row r="65" spans="1:11" x14ac:dyDescent="0.2">
      <c r="A65" s="61">
        <f t="shared" si="0"/>
        <v>46380</v>
      </c>
      <c r="B65" s="71" t="str">
        <f t="shared" si="1"/>
        <v>Jo</v>
      </c>
      <c r="C65" t="str">
        <f>IF(K65="","⚠ fără perioadă",INDEX(Perioade!$A$6:$A$40,K65))</f>
        <v>Craciun-2026</v>
      </c>
      <c r="D65" s="71">
        <f>IF(K65="","",INDEX(Calcule!$C$6:$C$40,K65))</f>
        <v>3</v>
      </c>
      <c r="E65" s="71" t="str">
        <f>IF(K65="","",INDEX(Calcule!$B$6:$B$40,K65))</f>
        <v>Preț fix</v>
      </c>
      <c r="F65" s="12">
        <f>IF(K65="","",INDEX(Calcule!$R$6:$R$40,K65))</f>
        <v>1500</v>
      </c>
      <c r="G65" s="12">
        <f>IF(K65="","",INDEX(Calcule!$Y$6:$Y$40,K65))</f>
        <v>1940</v>
      </c>
      <c r="H65" s="12">
        <f>IF(K65="","",INDEX(Calcule!$AE$6:$AE$40,K65))</f>
        <v>1970</v>
      </c>
      <c r="I65" s="12">
        <f>IF(K65="","",INDEX(Calcule!$AI$6:$AI$40,K65))</f>
        <v>1660</v>
      </c>
      <c r="J65" s="12">
        <f>IF(K65="","",INDEX(Calcule!$U$6:$U$40,K65))</f>
        <v>1245.8172458172455</v>
      </c>
      <c r="K65" s="72">
        <f>IFERROR(IF(A65&lt;=INDEX(Perioade!$D$6:$D$40,MATCH(A65,Perioade!$C$6:$C$40,1)),MATCH(A65,Perioade!$C$6:$C$40,1),""),"")</f>
        <v>3</v>
      </c>
    </row>
    <row r="66" spans="1:11" x14ac:dyDescent="0.2">
      <c r="A66" s="61">
        <f t="shared" si="0"/>
        <v>46381</v>
      </c>
      <c r="B66" s="71" t="str">
        <f t="shared" si="1"/>
        <v>Vi</v>
      </c>
      <c r="C66" t="str">
        <f>IF(K66="","⚠ fără perioadă",INDEX(Perioade!$A$6:$A$40,K66))</f>
        <v>Craciun-2026</v>
      </c>
      <c r="D66" s="71">
        <f>IF(K66="","",INDEX(Calcule!$C$6:$C$40,K66))</f>
        <v>3</v>
      </c>
      <c r="E66" s="71" t="str">
        <f>IF(K66="","",INDEX(Calcule!$B$6:$B$40,K66))</f>
        <v>Preț fix</v>
      </c>
      <c r="F66" s="12">
        <f>IF(K66="","",INDEX(Calcule!$R$6:$R$40,K66))</f>
        <v>1500</v>
      </c>
      <c r="G66" s="12">
        <f>IF(K66="","",INDEX(Calcule!$Y$6:$Y$40,K66))</f>
        <v>1940</v>
      </c>
      <c r="H66" s="12">
        <f>IF(K66="","",INDEX(Calcule!$AE$6:$AE$40,K66))</f>
        <v>1970</v>
      </c>
      <c r="I66" s="12">
        <f>IF(K66="","",INDEX(Calcule!$AI$6:$AI$40,K66))</f>
        <v>1660</v>
      </c>
      <c r="J66" s="12">
        <f>IF(K66="","",INDEX(Calcule!$U$6:$U$40,K66))</f>
        <v>1245.8172458172455</v>
      </c>
      <c r="K66" s="72">
        <f>IFERROR(IF(A66&lt;=INDEX(Perioade!$D$6:$D$40,MATCH(A66,Perioade!$C$6:$C$40,1)),MATCH(A66,Perioade!$C$6:$C$40,1),""),"")</f>
        <v>3</v>
      </c>
    </row>
    <row r="67" spans="1:11" x14ac:dyDescent="0.2">
      <c r="A67" s="61">
        <f t="shared" si="0"/>
        <v>46382</v>
      </c>
      <c r="B67" s="71" t="str">
        <f t="shared" si="1"/>
        <v>Sâ</v>
      </c>
      <c r="C67" t="str">
        <f>IF(K67="","⚠ fără perioadă",INDEX(Perioade!$A$6:$A$40,K67))</f>
        <v>Craciun-2026</v>
      </c>
      <c r="D67" s="71">
        <f>IF(K67="","",INDEX(Calcule!$C$6:$C$40,K67))</f>
        <v>3</v>
      </c>
      <c r="E67" s="71" t="str">
        <f>IF(K67="","",INDEX(Calcule!$B$6:$B$40,K67))</f>
        <v>Preț fix</v>
      </c>
      <c r="F67" s="12">
        <f>IF(K67="","",INDEX(Calcule!$R$6:$R$40,K67))</f>
        <v>1500</v>
      </c>
      <c r="G67" s="12">
        <f>IF(K67="","",INDEX(Calcule!$Y$6:$Y$40,K67))</f>
        <v>1940</v>
      </c>
      <c r="H67" s="12">
        <f>IF(K67="","",INDEX(Calcule!$AE$6:$AE$40,K67))</f>
        <v>1970</v>
      </c>
      <c r="I67" s="12">
        <f>IF(K67="","",INDEX(Calcule!$AI$6:$AI$40,K67))</f>
        <v>1660</v>
      </c>
      <c r="J67" s="12">
        <f>IF(K67="","",INDEX(Calcule!$U$6:$U$40,K67))</f>
        <v>1245.8172458172455</v>
      </c>
      <c r="K67" s="72">
        <f>IFERROR(IF(A67&lt;=INDEX(Perioade!$D$6:$D$40,MATCH(A67,Perioade!$C$6:$C$40,1)),MATCH(A67,Perioade!$C$6:$C$40,1),""),"")</f>
        <v>3</v>
      </c>
    </row>
    <row r="68" spans="1:11" x14ac:dyDescent="0.2">
      <c r="A68" s="61">
        <f t="shared" si="0"/>
        <v>46383</v>
      </c>
      <c r="B68" s="71" t="str">
        <f t="shared" si="1"/>
        <v>Du</v>
      </c>
      <c r="C68" t="str">
        <f>IF(K68="","⚠ fără perioadă",INDEX(Perioade!$A$6:$A$40,K68))</f>
        <v>Craciun-2026</v>
      </c>
      <c r="D68" s="71">
        <f>IF(K68="","",INDEX(Calcule!$C$6:$C$40,K68))</f>
        <v>3</v>
      </c>
      <c r="E68" s="71" t="str">
        <f>IF(K68="","",INDEX(Calcule!$B$6:$B$40,K68))</f>
        <v>Preț fix</v>
      </c>
      <c r="F68" s="12">
        <f>IF(K68="","",INDEX(Calcule!$R$6:$R$40,K68))</f>
        <v>1500</v>
      </c>
      <c r="G68" s="12">
        <f>IF(K68="","",INDEX(Calcule!$Y$6:$Y$40,K68))</f>
        <v>1940</v>
      </c>
      <c r="H68" s="12">
        <f>IF(K68="","",INDEX(Calcule!$AE$6:$AE$40,K68))</f>
        <v>1970</v>
      </c>
      <c r="I68" s="12">
        <f>IF(K68="","",INDEX(Calcule!$AI$6:$AI$40,K68))</f>
        <v>1660</v>
      </c>
      <c r="J68" s="12">
        <f>IF(K68="","",INDEX(Calcule!$U$6:$U$40,K68))</f>
        <v>1245.8172458172455</v>
      </c>
      <c r="K68" s="72">
        <f>IFERROR(IF(A68&lt;=INDEX(Perioade!$D$6:$D$40,MATCH(A68,Perioade!$C$6:$C$40,1)),MATCH(A68,Perioade!$C$6:$C$40,1),""),"")</f>
        <v>3</v>
      </c>
    </row>
    <row r="69" spans="1:11" x14ac:dyDescent="0.2">
      <c r="A69" s="61">
        <f t="shared" ref="A69:A132" si="2">$B$2+ROW()-5</f>
        <v>46384</v>
      </c>
      <c r="B69" s="71" t="str">
        <f t="shared" ref="B69:B132" si="3">CHOOSE(WEEKDAY(A69,2),"Lu","Ma","Mi","Jo","Vi","Sâ","Du")</f>
        <v>Lu</v>
      </c>
      <c r="C69" t="str">
        <f>IF(K69="","⚠ fără perioadă",INDEX(Perioade!$A$6:$A$40,K69))</f>
        <v>Revelion-2026-2027</v>
      </c>
      <c r="D69" s="71">
        <f>IF(K69="","",INDEX(Calcule!$C$6:$C$40,K69))</f>
        <v>4</v>
      </c>
      <c r="E69" s="71" t="str">
        <f>IF(K69="","",INDEX(Calcule!$B$6:$B$40,K69))</f>
        <v>Preț fix</v>
      </c>
      <c r="F69" s="12">
        <f>IF(K69="","",INDEX(Calcule!$R$6:$R$40,K69))</f>
        <v>1800</v>
      </c>
      <c r="G69" s="12">
        <f>IF(K69="","",INDEX(Calcule!$Y$6:$Y$40,K69))</f>
        <v>2320</v>
      </c>
      <c r="H69" s="12">
        <f>IF(K69="","",INDEX(Calcule!$AE$6:$AE$40,K69))</f>
        <v>2440</v>
      </c>
      <c r="I69" s="12">
        <f>IF(K69="","",INDEX(Calcule!$AI$6:$AI$40,K69))</f>
        <v>1990</v>
      </c>
      <c r="J69" s="12">
        <f>IF(K69="","",INDEX(Calcule!$U$6:$U$40,K69))</f>
        <v>1503.217503217503</v>
      </c>
      <c r="K69" s="72">
        <f>IFERROR(IF(A69&lt;=INDEX(Perioade!$D$6:$D$40,MATCH(A69,Perioade!$C$6:$C$40,1)),MATCH(A69,Perioade!$C$6:$C$40,1),""),"")</f>
        <v>4</v>
      </c>
    </row>
    <row r="70" spans="1:11" x14ac:dyDescent="0.2">
      <c r="A70" s="61">
        <f t="shared" si="2"/>
        <v>46385</v>
      </c>
      <c r="B70" s="71" t="str">
        <f t="shared" si="3"/>
        <v>Ma</v>
      </c>
      <c r="C70" t="str">
        <f>IF(K70="","⚠ fără perioadă",INDEX(Perioade!$A$6:$A$40,K70))</f>
        <v>Revelion-2026-2027</v>
      </c>
      <c r="D70" s="71">
        <f>IF(K70="","",INDEX(Calcule!$C$6:$C$40,K70))</f>
        <v>4</v>
      </c>
      <c r="E70" s="71" t="str">
        <f>IF(K70="","",INDEX(Calcule!$B$6:$B$40,K70))</f>
        <v>Preț fix</v>
      </c>
      <c r="F70" s="12">
        <f>IF(K70="","",INDEX(Calcule!$R$6:$R$40,K70))</f>
        <v>1800</v>
      </c>
      <c r="G70" s="12">
        <f>IF(K70="","",INDEX(Calcule!$Y$6:$Y$40,K70))</f>
        <v>2320</v>
      </c>
      <c r="H70" s="12">
        <f>IF(K70="","",INDEX(Calcule!$AE$6:$AE$40,K70))</f>
        <v>2440</v>
      </c>
      <c r="I70" s="12">
        <f>IF(K70="","",INDEX(Calcule!$AI$6:$AI$40,K70))</f>
        <v>1990</v>
      </c>
      <c r="J70" s="12">
        <f>IF(K70="","",INDEX(Calcule!$U$6:$U$40,K70))</f>
        <v>1503.217503217503</v>
      </c>
      <c r="K70" s="72">
        <f>IFERROR(IF(A70&lt;=INDEX(Perioade!$D$6:$D$40,MATCH(A70,Perioade!$C$6:$C$40,1)),MATCH(A70,Perioade!$C$6:$C$40,1),""),"")</f>
        <v>4</v>
      </c>
    </row>
    <row r="71" spans="1:11" x14ac:dyDescent="0.2">
      <c r="A71" s="61">
        <f t="shared" si="2"/>
        <v>46386</v>
      </c>
      <c r="B71" s="71" t="str">
        <f t="shared" si="3"/>
        <v>Mi</v>
      </c>
      <c r="C71" t="str">
        <f>IF(K71="","⚠ fără perioadă",INDEX(Perioade!$A$6:$A$40,K71))</f>
        <v>Revelion-2026-2027</v>
      </c>
      <c r="D71" s="71">
        <f>IF(K71="","",INDEX(Calcule!$C$6:$C$40,K71))</f>
        <v>4</v>
      </c>
      <c r="E71" s="71" t="str">
        <f>IF(K71="","",INDEX(Calcule!$B$6:$B$40,K71))</f>
        <v>Preț fix</v>
      </c>
      <c r="F71" s="12">
        <f>IF(K71="","",INDEX(Calcule!$R$6:$R$40,K71))</f>
        <v>1800</v>
      </c>
      <c r="G71" s="12">
        <f>IF(K71="","",INDEX(Calcule!$Y$6:$Y$40,K71))</f>
        <v>2320</v>
      </c>
      <c r="H71" s="12">
        <f>IF(K71="","",INDEX(Calcule!$AE$6:$AE$40,K71))</f>
        <v>2440</v>
      </c>
      <c r="I71" s="12">
        <f>IF(K71="","",INDEX(Calcule!$AI$6:$AI$40,K71))</f>
        <v>1990</v>
      </c>
      <c r="J71" s="12">
        <f>IF(K71="","",INDEX(Calcule!$U$6:$U$40,K71))</f>
        <v>1503.217503217503</v>
      </c>
      <c r="K71" s="72">
        <f>IFERROR(IF(A71&lt;=INDEX(Perioade!$D$6:$D$40,MATCH(A71,Perioade!$C$6:$C$40,1)),MATCH(A71,Perioade!$C$6:$C$40,1),""),"")</f>
        <v>4</v>
      </c>
    </row>
    <row r="72" spans="1:11" x14ac:dyDescent="0.2">
      <c r="A72" s="61">
        <f t="shared" si="2"/>
        <v>46387</v>
      </c>
      <c r="B72" s="71" t="str">
        <f t="shared" si="3"/>
        <v>Jo</v>
      </c>
      <c r="C72" t="str">
        <f>IF(K72="","⚠ fără perioadă",INDEX(Perioade!$A$6:$A$40,K72))</f>
        <v>Revelion-2026-2027</v>
      </c>
      <c r="D72" s="71">
        <f>IF(K72="","",INDEX(Calcule!$C$6:$C$40,K72))</f>
        <v>4</v>
      </c>
      <c r="E72" s="71" t="str">
        <f>IF(K72="","",INDEX(Calcule!$B$6:$B$40,K72))</f>
        <v>Preț fix</v>
      </c>
      <c r="F72" s="12">
        <f>IF(K72="","",INDEX(Calcule!$R$6:$R$40,K72))</f>
        <v>1800</v>
      </c>
      <c r="G72" s="12">
        <f>IF(K72="","",INDEX(Calcule!$Y$6:$Y$40,K72))</f>
        <v>2320</v>
      </c>
      <c r="H72" s="12">
        <f>IF(K72="","",INDEX(Calcule!$AE$6:$AE$40,K72))</f>
        <v>2440</v>
      </c>
      <c r="I72" s="12">
        <f>IF(K72="","",INDEX(Calcule!$AI$6:$AI$40,K72))</f>
        <v>1990</v>
      </c>
      <c r="J72" s="12">
        <f>IF(K72="","",INDEX(Calcule!$U$6:$U$40,K72))</f>
        <v>1503.217503217503</v>
      </c>
      <c r="K72" s="72">
        <f>IFERROR(IF(A72&lt;=INDEX(Perioade!$D$6:$D$40,MATCH(A72,Perioade!$C$6:$C$40,1)),MATCH(A72,Perioade!$C$6:$C$40,1),""),"")</f>
        <v>4</v>
      </c>
    </row>
    <row r="73" spans="1:11" x14ac:dyDescent="0.2">
      <c r="A73" s="61">
        <f t="shared" si="2"/>
        <v>46388</v>
      </c>
      <c r="B73" s="71" t="str">
        <f t="shared" si="3"/>
        <v>Vi</v>
      </c>
      <c r="C73" t="str">
        <f>IF(K73="","⚠ fără perioadă",INDEX(Perioade!$A$6:$A$40,K73))</f>
        <v>Revelion-2026-2027</v>
      </c>
      <c r="D73" s="71">
        <f>IF(K73="","",INDEX(Calcule!$C$6:$C$40,K73))</f>
        <v>4</v>
      </c>
      <c r="E73" s="71" t="str">
        <f>IF(K73="","",INDEX(Calcule!$B$6:$B$40,K73))</f>
        <v>Preț fix</v>
      </c>
      <c r="F73" s="12">
        <f>IF(K73="","",INDEX(Calcule!$R$6:$R$40,K73))</f>
        <v>1800</v>
      </c>
      <c r="G73" s="12">
        <f>IF(K73="","",INDEX(Calcule!$Y$6:$Y$40,K73))</f>
        <v>2320</v>
      </c>
      <c r="H73" s="12">
        <f>IF(K73="","",INDEX(Calcule!$AE$6:$AE$40,K73))</f>
        <v>2440</v>
      </c>
      <c r="I73" s="12">
        <f>IF(K73="","",INDEX(Calcule!$AI$6:$AI$40,K73))</f>
        <v>1990</v>
      </c>
      <c r="J73" s="12">
        <f>IF(K73="","",INDEX(Calcule!$U$6:$U$40,K73))</f>
        <v>1503.217503217503</v>
      </c>
      <c r="K73" s="72">
        <f>IFERROR(IF(A73&lt;=INDEX(Perioade!$D$6:$D$40,MATCH(A73,Perioade!$C$6:$C$40,1)),MATCH(A73,Perioade!$C$6:$C$40,1),""),"")</f>
        <v>4</v>
      </c>
    </row>
    <row r="74" spans="1:11" x14ac:dyDescent="0.2">
      <c r="A74" s="61">
        <f t="shared" si="2"/>
        <v>46389</v>
      </c>
      <c r="B74" s="71" t="str">
        <f t="shared" si="3"/>
        <v>Sâ</v>
      </c>
      <c r="C74" t="str">
        <f>IF(K74="","⚠ fără perioadă",INDEX(Perioade!$A$6:$A$40,K74))</f>
        <v>Revelion-2026-2027</v>
      </c>
      <c r="D74" s="71">
        <f>IF(K74="","",INDEX(Calcule!$C$6:$C$40,K74))</f>
        <v>4</v>
      </c>
      <c r="E74" s="71" t="str">
        <f>IF(K74="","",INDEX(Calcule!$B$6:$B$40,K74))</f>
        <v>Preț fix</v>
      </c>
      <c r="F74" s="12">
        <f>IF(K74="","",INDEX(Calcule!$R$6:$R$40,K74))</f>
        <v>1800</v>
      </c>
      <c r="G74" s="12">
        <f>IF(K74="","",INDEX(Calcule!$Y$6:$Y$40,K74))</f>
        <v>2320</v>
      </c>
      <c r="H74" s="12">
        <f>IF(K74="","",INDEX(Calcule!$AE$6:$AE$40,K74))</f>
        <v>2440</v>
      </c>
      <c r="I74" s="12">
        <f>IF(K74="","",INDEX(Calcule!$AI$6:$AI$40,K74))</f>
        <v>1990</v>
      </c>
      <c r="J74" s="12">
        <f>IF(K74="","",INDEX(Calcule!$U$6:$U$40,K74))</f>
        <v>1503.217503217503</v>
      </c>
      <c r="K74" s="72">
        <f>IFERROR(IF(A74&lt;=INDEX(Perioade!$D$6:$D$40,MATCH(A74,Perioade!$C$6:$C$40,1)),MATCH(A74,Perioade!$C$6:$C$40,1),""),"")</f>
        <v>4</v>
      </c>
    </row>
    <row r="75" spans="1:11" x14ac:dyDescent="0.2">
      <c r="A75" s="61">
        <f t="shared" si="2"/>
        <v>46390</v>
      </c>
      <c r="B75" s="71" t="str">
        <f t="shared" si="3"/>
        <v>Du</v>
      </c>
      <c r="C75" t="str">
        <f>IF(K75="","⚠ fără perioadă",INDEX(Perioade!$A$6:$A$40,K75))</f>
        <v>Revelion-2026-2027</v>
      </c>
      <c r="D75" s="71">
        <f>IF(K75="","",INDEX(Calcule!$C$6:$C$40,K75))</f>
        <v>4</v>
      </c>
      <c r="E75" s="71" t="str">
        <f>IF(K75="","",INDEX(Calcule!$B$6:$B$40,K75))</f>
        <v>Preț fix</v>
      </c>
      <c r="F75" s="12">
        <f>IF(K75="","",INDEX(Calcule!$R$6:$R$40,K75))</f>
        <v>1800</v>
      </c>
      <c r="G75" s="12">
        <f>IF(K75="","",INDEX(Calcule!$Y$6:$Y$40,K75))</f>
        <v>2320</v>
      </c>
      <c r="H75" s="12">
        <f>IF(K75="","",INDEX(Calcule!$AE$6:$AE$40,K75))</f>
        <v>2440</v>
      </c>
      <c r="I75" s="12">
        <f>IF(K75="","",INDEX(Calcule!$AI$6:$AI$40,K75))</f>
        <v>1990</v>
      </c>
      <c r="J75" s="12">
        <f>IF(K75="","",INDEX(Calcule!$U$6:$U$40,K75))</f>
        <v>1503.217503217503</v>
      </c>
      <c r="K75" s="72">
        <f>IFERROR(IF(A75&lt;=INDEX(Perioade!$D$6:$D$40,MATCH(A75,Perioade!$C$6:$C$40,1)),MATCH(A75,Perioade!$C$6:$C$40,1),""),"")</f>
        <v>4</v>
      </c>
    </row>
    <row r="76" spans="1:11" x14ac:dyDescent="0.2">
      <c r="A76" s="61">
        <f t="shared" si="2"/>
        <v>46391</v>
      </c>
      <c r="B76" s="71" t="str">
        <f t="shared" si="3"/>
        <v>Lu</v>
      </c>
      <c r="C76" t="str">
        <f>IF(K76="","⚠ fără perioadă",INDEX(Perioade!$A$6:$A$40,K76))</f>
        <v>Revelion-2026-2027</v>
      </c>
      <c r="D76" s="71">
        <f>IF(K76="","",INDEX(Calcule!$C$6:$C$40,K76))</f>
        <v>4</v>
      </c>
      <c r="E76" s="71" t="str">
        <f>IF(K76="","",INDEX(Calcule!$B$6:$B$40,K76))</f>
        <v>Preț fix</v>
      </c>
      <c r="F76" s="12">
        <f>IF(K76="","",INDEX(Calcule!$R$6:$R$40,K76))</f>
        <v>1800</v>
      </c>
      <c r="G76" s="12">
        <f>IF(K76="","",INDEX(Calcule!$Y$6:$Y$40,K76))</f>
        <v>2320</v>
      </c>
      <c r="H76" s="12">
        <f>IF(K76="","",INDEX(Calcule!$AE$6:$AE$40,K76))</f>
        <v>2440</v>
      </c>
      <c r="I76" s="12">
        <f>IF(K76="","",INDEX(Calcule!$AI$6:$AI$40,K76))</f>
        <v>1990</v>
      </c>
      <c r="J76" s="12">
        <f>IF(K76="","",INDEX(Calcule!$U$6:$U$40,K76))</f>
        <v>1503.217503217503</v>
      </c>
      <c r="K76" s="72">
        <f>IFERROR(IF(A76&lt;=INDEX(Perioade!$D$6:$D$40,MATCH(A76,Perioade!$C$6:$C$40,1)),MATCH(A76,Perioade!$C$6:$C$40,1),""),"")</f>
        <v>4</v>
      </c>
    </row>
    <row r="77" spans="1:11" x14ac:dyDescent="0.2">
      <c r="A77" s="61">
        <f t="shared" si="2"/>
        <v>46392</v>
      </c>
      <c r="B77" s="71" t="str">
        <f t="shared" si="3"/>
        <v>Ma</v>
      </c>
      <c r="C77" t="str">
        <f>IF(K77="","⚠ fără perioadă",INDEX(Perioade!$A$6:$A$40,K77))</f>
        <v>iarna-2027</v>
      </c>
      <c r="D77" s="71">
        <f>IF(K77="","",INDEX(Calcule!$C$6:$C$40,K77))</f>
        <v>2</v>
      </c>
      <c r="E77" s="71" t="str">
        <f>IF(K77="","",INDEX(Calcule!$B$6:$B$40,K77))</f>
        <v>Standard</v>
      </c>
      <c r="F77" s="12">
        <f>IF(K77="","",INDEX(Calcule!$R$6:$R$40,K77))</f>
        <v>1350</v>
      </c>
      <c r="G77" s="12">
        <f>IF(K77="","",INDEX(Calcule!$Y$6:$Y$40,K77))</f>
        <v>1740</v>
      </c>
      <c r="H77" s="12">
        <f>IF(K77="","",INDEX(Calcule!$AE$6:$AE$40,K77))</f>
        <v>1560</v>
      </c>
      <c r="I77" s="12">
        <f>IF(K77="","",INDEX(Calcule!$AI$6:$AI$40,K77))</f>
        <v>1490</v>
      </c>
      <c r="J77" s="12">
        <f>IF(K77="","",INDEX(Calcule!$U$6:$U$40,K77))</f>
        <v>1001.2870012870011</v>
      </c>
      <c r="K77" s="72">
        <f>IFERROR(IF(A77&lt;=INDEX(Perioade!$D$6:$D$40,MATCH(A77,Perioade!$C$6:$C$40,1)),MATCH(A77,Perioade!$C$6:$C$40,1),""),"")</f>
        <v>5</v>
      </c>
    </row>
    <row r="78" spans="1:11" x14ac:dyDescent="0.2">
      <c r="A78" s="61">
        <f t="shared" si="2"/>
        <v>46393</v>
      </c>
      <c r="B78" s="71" t="str">
        <f t="shared" si="3"/>
        <v>Mi</v>
      </c>
      <c r="C78" t="str">
        <f>IF(K78="","⚠ fără perioadă",INDEX(Perioade!$A$6:$A$40,K78))</f>
        <v>iarna-2027</v>
      </c>
      <c r="D78" s="71">
        <f>IF(K78="","",INDEX(Calcule!$C$6:$C$40,K78))</f>
        <v>2</v>
      </c>
      <c r="E78" s="71" t="str">
        <f>IF(K78="","",INDEX(Calcule!$B$6:$B$40,K78))</f>
        <v>Standard</v>
      </c>
      <c r="F78" s="12">
        <f>IF(K78="","",INDEX(Calcule!$R$6:$R$40,K78))</f>
        <v>1350</v>
      </c>
      <c r="G78" s="12">
        <f>IF(K78="","",INDEX(Calcule!$Y$6:$Y$40,K78))</f>
        <v>1740</v>
      </c>
      <c r="H78" s="12">
        <f>IF(K78="","",INDEX(Calcule!$AE$6:$AE$40,K78))</f>
        <v>1560</v>
      </c>
      <c r="I78" s="12">
        <f>IF(K78="","",INDEX(Calcule!$AI$6:$AI$40,K78))</f>
        <v>1490</v>
      </c>
      <c r="J78" s="12">
        <f>IF(K78="","",INDEX(Calcule!$U$6:$U$40,K78))</f>
        <v>1001.2870012870011</v>
      </c>
      <c r="K78" s="72">
        <f>IFERROR(IF(A78&lt;=INDEX(Perioade!$D$6:$D$40,MATCH(A78,Perioade!$C$6:$C$40,1)),MATCH(A78,Perioade!$C$6:$C$40,1),""),"")</f>
        <v>5</v>
      </c>
    </row>
    <row r="79" spans="1:11" x14ac:dyDescent="0.2">
      <c r="A79" s="61">
        <f t="shared" si="2"/>
        <v>46394</v>
      </c>
      <c r="B79" s="71" t="str">
        <f t="shared" si="3"/>
        <v>Jo</v>
      </c>
      <c r="C79" t="str">
        <f>IF(K79="","⚠ fără perioadă",INDEX(Perioade!$A$6:$A$40,K79))</f>
        <v>iarna-2027</v>
      </c>
      <c r="D79" s="71">
        <f>IF(K79="","",INDEX(Calcule!$C$6:$C$40,K79))</f>
        <v>2</v>
      </c>
      <c r="E79" s="71" t="str">
        <f>IF(K79="","",INDEX(Calcule!$B$6:$B$40,K79))</f>
        <v>Standard</v>
      </c>
      <c r="F79" s="12">
        <f>IF(K79="","",INDEX(Calcule!$R$6:$R$40,K79))</f>
        <v>1350</v>
      </c>
      <c r="G79" s="12">
        <f>IF(K79="","",INDEX(Calcule!$Y$6:$Y$40,K79))</f>
        <v>1740</v>
      </c>
      <c r="H79" s="12">
        <f>IF(K79="","",INDEX(Calcule!$AE$6:$AE$40,K79))</f>
        <v>1560</v>
      </c>
      <c r="I79" s="12">
        <f>IF(K79="","",INDEX(Calcule!$AI$6:$AI$40,K79))</f>
        <v>1490</v>
      </c>
      <c r="J79" s="12">
        <f>IF(K79="","",INDEX(Calcule!$U$6:$U$40,K79))</f>
        <v>1001.2870012870011</v>
      </c>
      <c r="K79" s="72">
        <f>IFERROR(IF(A79&lt;=INDEX(Perioade!$D$6:$D$40,MATCH(A79,Perioade!$C$6:$C$40,1)),MATCH(A79,Perioade!$C$6:$C$40,1),""),"")</f>
        <v>5</v>
      </c>
    </row>
    <row r="80" spans="1:11" x14ac:dyDescent="0.2">
      <c r="A80" s="61">
        <f t="shared" si="2"/>
        <v>46395</v>
      </c>
      <c r="B80" s="71" t="str">
        <f t="shared" si="3"/>
        <v>Vi</v>
      </c>
      <c r="C80" t="str">
        <f>IF(K80="","⚠ fără perioadă",INDEX(Perioade!$A$6:$A$40,K80))</f>
        <v>iarna-2027</v>
      </c>
      <c r="D80" s="71">
        <f>IF(K80="","",INDEX(Calcule!$C$6:$C$40,K80))</f>
        <v>2</v>
      </c>
      <c r="E80" s="71" t="str">
        <f>IF(K80="","",INDEX(Calcule!$B$6:$B$40,K80))</f>
        <v>Standard</v>
      </c>
      <c r="F80" s="12">
        <f>IF(K80="","",INDEX(Calcule!$R$6:$R$40,K80))</f>
        <v>1350</v>
      </c>
      <c r="G80" s="12">
        <f>IF(K80="","",INDEX(Calcule!$Y$6:$Y$40,K80))</f>
        <v>1740</v>
      </c>
      <c r="H80" s="12">
        <f>IF(K80="","",INDEX(Calcule!$AE$6:$AE$40,K80))</f>
        <v>1560</v>
      </c>
      <c r="I80" s="12">
        <f>IF(K80="","",INDEX(Calcule!$AI$6:$AI$40,K80))</f>
        <v>1490</v>
      </c>
      <c r="J80" s="12">
        <f>IF(K80="","",INDEX(Calcule!$U$6:$U$40,K80))</f>
        <v>1001.2870012870011</v>
      </c>
      <c r="K80" s="72">
        <f>IFERROR(IF(A80&lt;=INDEX(Perioade!$D$6:$D$40,MATCH(A80,Perioade!$C$6:$C$40,1)),MATCH(A80,Perioade!$C$6:$C$40,1),""),"")</f>
        <v>5</v>
      </c>
    </row>
    <row r="81" spans="1:11" x14ac:dyDescent="0.2">
      <c r="A81" s="61">
        <f t="shared" si="2"/>
        <v>46396</v>
      </c>
      <c r="B81" s="71" t="str">
        <f t="shared" si="3"/>
        <v>Sâ</v>
      </c>
      <c r="C81" t="str">
        <f>IF(K81="","⚠ fără perioadă",INDEX(Perioade!$A$6:$A$40,K81))</f>
        <v>iarna-2027</v>
      </c>
      <c r="D81" s="71">
        <f>IF(K81="","",INDEX(Calcule!$C$6:$C$40,K81))</f>
        <v>2</v>
      </c>
      <c r="E81" s="71" t="str">
        <f>IF(K81="","",INDEX(Calcule!$B$6:$B$40,K81))</f>
        <v>Standard</v>
      </c>
      <c r="F81" s="12">
        <f>IF(K81="","",INDEX(Calcule!$R$6:$R$40,K81))</f>
        <v>1350</v>
      </c>
      <c r="G81" s="12">
        <f>IF(K81="","",INDEX(Calcule!$Y$6:$Y$40,K81))</f>
        <v>1740</v>
      </c>
      <c r="H81" s="12">
        <f>IF(K81="","",INDEX(Calcule!$AE$6:$AE$40,K81))</f>
        <v>1560</v>
      </c>
      <c r="I81" s="12">
        <f>IF(K81="","",INDEX(Calcule!$AI$6:$AI$40,K81))</f>
        <v>1490</v>
      </c>
      <c r="J81" s="12">
        <f>IF(K81="","",INDEX(Calcule!$U$6:$U$40,K81))</f>
        <v>1001.2870012870011</v>
      </c>
      <c r="K81" s="72">
        <f>IFERROR(IF(A81&lt;=INDEX(Perioade!$D$6:$D$40,MATCH(A81,Perioade!$C$6:$C$40,1)),MATCH(A81,Perioade!$C$6:$C$40,1),""),"")</f>
        <v>5</v>
      </c>
    </row>
    <row r="82" spans="1:11" x14ac:dyDescent="0.2">
      <c r="A82" s="61">
        <f t="shared" si="2"/>
        <v>46397</v>
      </c>
      <c r="B82" s="71" t="str">
        <f t="shared" si="3"/>
        <v>Du</v>
      </c>
      <c r="C82" t="str">
        <f>IF(K82="","⚠ fără perioadă",INDEX(Perioade!$A$6:$A$40,K82))</f>
        <v>iarna-2027</v>
      </c>
      <c r="D82" s="71">
        <f>IF(K82="","",INDEX(Calcule!$C$6:$C$40,K82))</f>
        <v>2</v>
      </c>
      <c r="E82" s="71" t="str">
        <f>IF(K82="","",INDEX(Calcule!$B$6:$B$40,K82))</f>
        <v>Standard</v>
      </c>
      <c r="F82" s="12">
        <f>IF(K82="","",INDEX(Calcule!$R$6:$R$40,K82))</f>
        <v>1350</v>
      </c>
      <c r="G82" s="12">
        <f>IF(K82="","",INDEX(Calcule!$Y$6:$Y$40,K82))</f>
        <v>1740</v>
      </c>
      <c r="H82" s="12">
        <f>IF(K82="","",INDEX(Calcule!$AE$6:$AE$40,K82))</f>
        <v>1560</v>
      </c>
      <c r="I82" s="12">
        <f>IF(K82="","",INDEX(Calcule!$AI$6:$AI$40,K82))</f>
        <v>1490</v>
      </c>
      <c r="J82" s="12">
        <f>IF(K82="","",INDEX(Calcule!$U$6:$U$40,K82))</f>
        <v>1001.2870012870011</v>
      </c>
      <c r="K82" s="72">
        <f>IFERROR(IF(A82&lt;=INDEX(Perioade!$D$6:$D$40,MATCH(A82,Perioade!$C$6:$C$40,1)),MATCH(A82,Perioade!$C$6:$C$40,1),""),"")</f>
        <v>5</v>
      </c>
    </row>
    <row r="83" spans="1:11" x14ac:dyDescent="0.2">
      <c r="A83" s="61">
        <f t="shared" si="2"/>
        <v>46398</v>
      </c>
      <c r="B83" s="71" t="str">
        <f t="shared" si="3"/>
        <v>Lu</v>
      </c>
      <c r="C83" t="str">
        <f>IF(K83="","⚠ fără perioadă",INDEX(Perioade!$A$6:$A$40,K83))</f>
        <v>iarna-2027</v>
      </c>
      <c r="D83" s="71">
        <f>IF(K83="","",INDEX(Calcule!$C$6:$C$40,K83))</f>
        <v>2</v>
      </c>
      <c r="E83" s="71" t="str">
        <f>IF(K83="","",INDEX(Calcule!$B$6:$B$40,K83))</f>
        <v>Standard</v>
      </c>
      <c r="F83" s="12">
        <f>IF(K83="","",INDEX(Calcule!$R$6:$R$40,K83))</f>
        <v>1350</v>
      </c>
      <c r="G83" s="12">
        <f>IF(K83="","",INDEX(Calcule!$Y$6:$Y$40,K83))</f>
        <v>1740</v>
      </c>
      <c r="H83" s="12">
        <f>IF(K83="","",INDEX(Calcule!$AE$6:$AE$40,K83))</f>
        <v>1560</v>
      </c>
      <c r="I83" s="12">
        <f>IF(K83="","",INDEX(Calcule!$AI$6:$AI$40,K83))</f>
        <v>1490</v>
      </c>
      <c r="J83" s="12">
        <f>IF(K83="","",INDEX(Calcule!$U$6:$U$40,K83))</f>
        <v>1001.2870012870011</v>
      </c>
      <c r="K83" s="72">
        <f>IFERROR(IF(A83&lt;=INDEX(Perioade!$D$6:$D$40,MATCH(A83,Perioade!$C$6:$C$40,1)),MATCH(A83,Perioade!$C$6:$C$40,1),""),"")</f>
        <v>5</v>
      </c>
    </row>
    <row r="84" spans="1:11" x14ac:dyDescent="0.2">
      <c r="A84" s="61">
        <f t="shared" si="2"/>
        <v>46399</v>
      </c>
      <c r="B84" s="71" t="str">
        <f t="shared" si="3"/>
        <v>Ma</v>
      </c>
      <c r="C84" t="str">
        <f>IF(K84="","⚠ fără perioadă",INDEX(Perioade!$A$6:$A$40,K84))</f>
        <v>iarna-2027</v>
      </c>
      <c r="D84" s="71">
        <f>IF(K84="","",INDEX(Calcule!$C$6:$C$40,K84))</f>
        <v>2</v>
      </c>
      <c r="E84" s="71" t="str">
        <f>IF(K84="","",INDEX(Calcule!$B$6:$B$40,K84))</f>
        <v>Standard</v>
      </c>
      <c r="F84" s="12">
        <f>IF(K84="","",INDEX(Calcule!$R$6:$R$40,K84))</f>
        <v>1350</v>
      </c>
      <c r="G84" s="12">
        <f>IF(K84="","",INDEX(Calcule!$Y$6:$Y$40,K84))</f>
        <v>1740</v>
      </c>
      <c r="H84" s="12">
        <f>IF(K84="","",INDEX(Calcule!$AE$6:$AE$40,K84))</f>
        <v>1560</v>
      </c>
      <c r="I84" s="12">
        <f>IF(K84="","",INDEX(Calcule!$AI$6:$AI$40,K84))</f>
        <v>1490</v>
      </c>
      <c r="J84" s="12">
        <f>IF(K84="","",INDEX(Calcule!$U$6:$U$40,K84))</f>
        <v>1001.2870012870011</v>
      </c>
      <c r="K84" s="72">
        <f>IFERROR(IF(A84&lt;=INDEX(Perioade!$D$6:$D$40,MATCH(A84,Perioade!$C$6:$C$40,1)),MATCH(A84,Perioade!$C$6:$C$40,1),""),"")</f>
        <v>5</v>
      </c>
    </row>
    <row r="85" spans="1:11" x14ac:dyDescent="0.2">
      <c r="A85" s="61">
        <f t="shared" si="2"/>
        <v>46400</v>
      </c>
      <c r="B85" s="71" t="str">
        <f t="shared" si="3"/>
        <v>Mi</v>
      </c>
      <c r="C85" t="str">
        <f>IF(K85="","⚠ fără perioadă",INDEX(Perioade!$A$6:$A$40,K85))</f>
        <v>iarna-2027</v>
      </c>
      <c r="D85" s="71">
        <f>IF(K85="","",INDEX(Calcule!$C$6:$C$40,K85))</f>
        <v>2</v>
      </c>
      <c r="E85" s="71" t="str">
        <f>IF(K85="","",INDEX(Calcule!$B$6:$B$40,K85))</f>
        <v>Standard</v>
      </c>
      <c r="F85" s="12">
        <f>IF(K85="","",INDEX(Calcule!$R$6:$R$40,K85))</f>
        <v>1350</v>
      </c>
      <c r="G85" s="12">
        <f>IF(K85="","",INDEX(Calcule!$Y$6:$Y$40,K85))</f>
        <v>1740</v>
      </c>
      <c r="H85" s="12">
        <f>IF(K85="","",INDEX(Calcule!$AE$6:$AE$40,K85))</f>
        <v>1560</v>
      </c>
      <c r="I85" s="12">
        <f>IF(K85="","",INDEX(Calcule!$AI$6:$AI$40,K85))</f>
        <v>1490</v>
      </c>
      <c r="J85" s="12">
        <f>IF(K85="","",INDEX(Calcule!$U$6:$U$40,K85))</f>
        <v>1001.2870012870011</v>
      </c>
      <c r="K85" s="72">
        <f>IFERROR(IF(A85&lt;=INDEX(Perioade!$D$6:$D$40,MATCH(A85,Perioade!$C$6:$C$40,1)),MATCH(A85,Perioade!$C$6:$C$40,1),""),"")</f>
        <v>5</v>
      </c>
    </row>
    <row r="86" spans="1:11" x14ac:dyDescent="0.2">
      <c r="A86" s="61">
        <f t="shared" si="2"/>
        <v>46401</v>
      </c>
      <c r="B86" s="71" t="str">
        <f t="shared" si="3"/>
        <v>Jo</v>
      </c>
      <c r="C86" t="str">
        <f>IF(K86="","⚠ fără perioadă",INDEX(Perioade!$A$6:$A$40,K86))</f>
        <v>iarna-2027</v>
      </c>
      <c r="D86" s="71">
        <f>IF(K86="","",INDEX(Calcule!$C$6:$C$40,K86))</f>
        <v>2</v>
      </c>
      <c r="E86" s="71" t="str">
        <f>IF(K86="","",INDEX(Calcule!$B$6:$B$40,K86))</f>
        <v>Standard</v>
      </c>
      <c r="F86" s="12">
        <f>IF(K86="","",INDEX(Calcule!$R$6:$R$40,K86))</f>
        <v>1350</v>
      </c>
      <c r="G86" s="12">
        <f>IF(K86="","",INDEX(Calcule!$Y$6:$Y$40,K86))</f>
        <v>1740</v>
      </c>
      <c r="H86" s="12">
        <f>IF(K86="","",INDEX(Calcule!$AE$6:$AE$40,K86))</f>
        <v>1560</v>
      </c>
      <c r="I86" s="12">
        <f>IF(K86="","",INDEX(Calcule!$AI$6:$AI$40,K86))</f>
        <v>1490</v>
      </c>
      <c r="J86" s="12">
        <f>IF(K86="","",INDEX(Calcule!$U$6:$U$40,K86))</f>
        <v>1001.2870012870011</v>
      </c>
      <c r="K86" s="72">
        <f>IFERROR(IF(A86&lt;=INDEX(Perioade!$D$6:$D$40,MATCH(A86,Perioade!$C$6:$C$40,1)),MATCH(A86,Perioade!$C$6:$C$40,1),""),"")</f>
        <v>5</v>
      </c>
    </row>
    <row r="87" spans="1:11" x14ac:dyDescent="0.2">
      <c r="A87" s="61">
        <f t="shared" si="2"/>
        <v>46402</v>
      </c>
      <c r="B87" s="71" t="str">
        <f t="shared" si="3"/>
        <v>Vi</v>
      </c>
      <c r="C87" t="str">
        <f>IF(K87="","⚠ fără perioadă",INDEX(Perioade!$A$6:$A$40,K87))</f>
        <v>iarna-2027</v>
      </c>
      <c r="D87" s="71">
        <f>IF(K87="","",INDEX(Calcule!$C$6:$C$40,K87))</f>
        <v>2</v>
      </c>
      <c r="E87" s="71" t="str">
        <f>IF(K87="","",INDEX(Calcule!$B$6:$B$40,K87))</f>
        <v>Standard</v>
      </c>
      <c r="F87" s="12">
        <f>IF(K87="","",INDEX(Calcule!$R$6:$R$40,K87))</f>
        <v>1350</v>
      </c>
      <c r="G87" s="12">
        <f>IF(K87="","",INDEX(Calcule!$Y$6:$Y$40,K87))</f>
        <v>1740</v>
      </c>
      <c r="H87" s="12">
        <f>IF(K87="","",INDEX(Calcule!$AE$6:$AE$40,K87))</f>
        <v>1560</v>
      </c>
      <c r="I87" s="12">
        <f>IF(K87="","",INDEX(Calcule!$AI$6:$AI$40,K87))</f>
        <v>1490</v>
      </c>
      <c r="J87" s="12">
        <f>IF(K87="","",INDEX(Calcule!$U$6:$U$40,K87))</f>
        <v>1001.2870012870011</v>
      </c>
      <c r="K87" s="72">
        <f>IFERROR(IF(A87&lt;=INDEX(Perioade!$D$6:$D$40,MATCH(A87,Perioade!$C$6:$C$40,1)),MATCH(A87,Perioade!$C$6:$C$40,1),""),"")</f>
        <v>5</v>
      </c>
    </row>
    <row r="88" spans="1:11" x14ac:dyDescent="0.2">
      <c r="A88" s="61">
        <f t="shared" si="2"/>
        <v>46403</v>
      </c>
      <c r="B88" s="71" t="str">
        <f t="shared" si="3"/>
        <v>Sâ</v>
      </c>
      <c r="C88" t="str">
        <f>IF(K88="","⚠ fără perioadă",INDEX(Perioade!$A$6:$A$40,K88))</f>
        <v>iarna-2027</v>
      </c>
      <c r="D88" s="71">
        <f>IF(K88="","",INDEX(Calcule!$C$6:$C$40,K88))</f>
        <v>2</v>
      </c>
      <c r="E88" s="71" t="str">
        <f>IF(K88="","",INDEX(Calcule!$B$6:$B$40,K88))</f>
        <v>Standard</v>
      </c>
      <c r="F88" s="12">
        <f>IF(K88="","",INDEX(Calcule!$R$6:$R$40,K88))</f>
        <v>1350</v>
      </c>
      <c r="G88" s="12">
        <f>IF(K88="","",INDEX(Calcule!$Y$6:$Y$40,K88))</f>
        <v>1740</v>
      </c>
      <c r="H88" s="12">
        <f>IF(K88="","",INDEX(Calcule!$AE$6:$AE$40,K88))</f>
        <v>1560</v>
      </c>
      <c r="I88" s="12">
        <f>IF(K88="","",INDEX(Calcule!$AI$6:$AI$40,K88))</f>
        <v>1490</v>
      </c>
      <c r="J88" s="12">
        <f>IF(K88="","",INDEX(Calcule!$U$6:$U$40,K88))</f>
        <v>1001.2870012870011</v>
      </c>
      <c r="K88" s="72">
        <f>IFERROR(IF(A88&lt;=INDEX(Perioade!$D$6:$D$40,MATCH(A88,Perioade!$C$6:$C$40,1)),MATCH(A88,Perioade!$C$6:$C$40,1),""),"")</f>
        <v>5</v>
      </c>
    </row>
    <row r="89" spans="1:11" x14ac:dyDescent="0.2">
      <c r="A89" s="61">
        <f t="shared" si="2"/>
        <v>46404</v>
      </c>
      <c r="B89" s="71" t="str">
        <f t="shared" si="3"/>
        <v>Du</v>
      </c>
      <c r="C89" t="str">
        <f>IF(K89="","⚠ fără perioadă",INDEX(Perioade!$A$6:$A$40,K89))</f>
        <v>iarna-2027</v>
      </c>
      <c r="D89" s="71">
        <f>IF(K89="","",INDEX(Calcule!$C$6:$C$40,K89))</f>
        <v>2</v>
      </c>
      <c r="E89" s="71" t="str">
        <f>IF(K89="","",INDEX(Calcule!$B$6:$B$40,K89))</f>
        <v>Standard</v>
      </c>
      <c r="F89" s="12">
        <f>IF(K89="","",INDEX(Calcule!$R$6:$R$40,K89))</f>
        <v>1350</v>
      </c>
      <c r="G89" s="12">
        <f>IF(K89="","",INDEX(Calcule!$Y$6:$Y$40,K89))</f>
        <v>1740</v>
      </c>
      <c r="H89" s="12">
        <f>IF(K89="","",INDEX(Calcule!$AE$6:$AE$40,K89))</f>
        <v>1560</v>
      </c>
      <c r="I89" s="12">
        <f>IF(K89="","",INDEX(Calcule!$AI$6:$AI$40,K89))</f>
        <v>1490</v>
      </c>
      <c r="J89" s="12">
        <f>IF(K89="","",INDEX(Calcule!$U$6:$U$40,K89))</f>
        <v>1001.2870012870011</v>
      </c>
      <c r="K89" s="72">
        <f>IFERROR(IF(A89&lt;=INDEX(Perioade!$D$6:$D$40,MATCH(A89,Perioade!$C$6:$C$40,1)),MATCH(A89,Perioade!$C$6:$C$40,1),""),"")</f>
        <v>5</v>
      </c>
    </row>
    <row r="90" spans="1:11" x14ac:dyDescent="0.2">
      <c r="A90" s="61">
        <f t="shared" si="2"/>
        <v>46405</v>
      </c>
      <c r="B90" s="71" t="str">
        <f t="shared" si="3"/>
        <v>Lu</v>
      </c>
      <c r="C90" t="str">
        <f>IF(K90="","⚠ fără perioadă",INDEX(Perioade!$A$6:$A$40,K90))</f>
        <v>iarna-2027</v>
      </c>
      <c r="D90" s="71">
        <f>IF(K90="","",INDEX(Calcule!$C$6:$C$40,K90))</f>
        <v>2</v>
      </c>
      <c r="E90" s="71" t="str">
        <f>IF(K90="","",INDEX(Calcule!$B$6:$B$40,K90))</f>
        <v>Standard</v>
      </c>
      <c r="F90" s="12">
        <f>IF(K90="","",INDEX(Calcule!$R$6:$R$40,K90))</f>
        <v>1350</v>
      </c>
      <c r="G90" s="12">
        <f>IF(K90="","",INDEX(Calcule!$Y$6:$Y$40,K90))</f>
        <v>1740</v>
      </c>
      <c r="H90" s="12">
        <f>IF(K90="","",INDEX(Calcule!$AE$6:$AE$40,K90))</f>
        <v>1560</v>
      </c>
      <c r="I90" s="12">
        <f>IF(K90="","",INDEX(Calcule!$AI$6:$AI$40,K90))</f>
        <v>1490</v>
      </c>
      <c r="J90" s="12">
        <f>IF(K90="","",INDEX(Calcule!$U$6:$U$40,K90))</f>
        <v>1001.2870012870011</v>
      </c>
      <c r="K90" s="72">
        <f>IFERROR(IF(A90&lt;=INDEX(Perioade!$D$6:$D$40,MATCH(A90,Perioade!$C$6:$C$40,1)),MATCH(A90,Perioade!$C$6:$C$40,1),""),"")</f>
        <v>5</v>
      </c>
    </row>
    <row r="91" spans="1:11" x14ac:dyDescent="0.2">
      <c r="A91" s="61">
        <f t="shared" si="2"/>
        <v>46406</v>
      </c>
      <c r="B91" s="71" t="str">
        <f t="shared" si="3"/>
        <v>Ma</v>
      </c>
      <c r="C91" t="str">
        <f>IF(K91="","⚠ fără perioadă",INDEX(Perioade!$A$6:$A$40,K91))</f>
        <v>iarna-2027</v>
      </c>
      <c r="D91" s="71">
        <f>IF(K91="","",INDEX(Calcule!$C$6:$C$40,K91))</f>
        <v>2</v>
      </c>
      <c r="E91" s="71" t="str">
        <f>IF(K91="","",INDEX(Calcule!$B$6:$B$40,K91))</f>
        <v>Standard</v>
      </c>
      <c r="F91" s="12">
        <f>IF(K91="","",INDEX(Calcule!$R$6:$R$40,K91))</f>
        <v>1350</v>
      </c>
      <c r="G91" s="12">
        <f>IF(K91="","",INDEX(Calcule!$Y$6:$Y$40,K91))</f>
        <v>1740</v>
      </c>
      <c r="H91" s="12">
        <f>IF(K91="","",INDEX(Calcule!$AE$6:$AE$40,K91))</f>
        <v>1560</v>
      </c>
      <c r="I91" s="12">
        <f>IF(K91="","",INDEX(Calcule!$AI$6:$AI$40,K91))</f>
        <v>1490</v>
      </c>
      <c r="J91" s="12">
        <f>IF(K91="","",INDEX(Calcule!$U$6:$U$40,K91))</f>
        <v>1001.2870012870011</v>
      </c>
      <c r="K91" s="72">
        <f>IFERROR(IF(A91&lt;=INDEX(Perioade!$D$6:$D$40,MATCH(A91,Perioade!$C$6:$C$40,1)),MATCH(A91,Perioade!$C$6:$C$40,1),""),"")</f>
        <v>5</v>
      </c>
    </row>
    <row r="92" spans="1:11" x14ac:dyDescent="0.2">
      <c r="A92" s="61">
        <f t="shared" si="2"/>
        <v>46407</v>
      </c>
      <c r="B92" s="71" t="str">
        <f t="shared" si="3"/>
        <v>Mi</v>
      </c>
      <c r="C92" t="str">
        <f>IF(K92="","⚠ fără perioadă",INDEX(Perioade!$A$6:$A$40,K92))</f>
        <v>iarna-2027</v>
      </c>
      <c r="D92" s="71">
        <f>IF(K92="","",INDEX(Calcule!$C$6:$C$40,K92))</f>
        <v>2</v>
      </c>
      <c r="E92" s="71" t="str">
        <f>IF(K92="","",INDEX(Calcule!$B$6:$B$40,K92))</f>
        <v>Standard</v>
      </c>
      <c r="F92" s="12">
        <f>IF(K92="","",INDEX(Calcule!$R$6:$R$40,K92))</f>
        <v>1350</v>
      </c>
      <c r="G92" s="12">
        <f>IF(K92="","",INDEX(Calcule!$Y$6:$Y$40,K92))</f>
        <v>1740</v>
      </c>
      <c r="H92" s="12">
        <f>IF(K92="","",INDEX(Calcule!$AE$6:$AE$40,K92))</f>
        <v>1560</v>
      </c>
      <c r="I92" s="12">
        <f>IF(K92="","",INDEX(Calcule!$AI$6:$AI$40,K92))</f>
        <v>1490</v>
      </c>
      <c r="J92" s="12">
        <f>IF(K92="","",INDEX(Calcule!$U$6:$U$40,K92))</f>
        <v>1001.2870012870011</v>
      </c>
      <c r="K92" s="72">
        <f>IFERROR(IF(A92&lt;=INDEX(Perioade!$D$6:$D$40,MATCH(A92,Perioade!$C$6:$C$40,1)),MATCH(A92,Perioade!$C$6:$C$40,1),""),"")</f>
        <v>5</v>
      </c>
    </row>
    <row r="93" spans="1:11" x14ac:dyDescent="0.2">
      <c r="A93" s="61">
        <f t="shared" si="2"/>
        <v>46408</v>
      </c>
      <c r="B93" s="71" t="str">
        <f t="shared" si="3"/>
        <v>Jo</v>
      </c>
      <c r="C93" t="str">
        <f>IF(K93="","⚠ fără perioadă",INDEX(Perioade!$A$6:$A$40,K93))</f>
        <v>iarna-2027</v>
      </c>
      <c r="D93" s="71">
        <f>IF(K93="","",INDEX(Calcule!$C$6:$C$40,K93))</f>
        <v>2</v>
      </c>
      <c r="E93" s="71" t="str">
        <f>IF(K93="","",INDEX(Calcule!$B$6:$B$40,K93))</f>
        <v>Standard</v>
      </c>
      <c r="F93" s="12">
        <f>IF(K93="","",INDEX(Calcule!$R$6:$R$40,K93))</f>
        <v>1350</v>
      </c>
      <c r="G93" s="12">
        <f>IF(K93="","",INDEX(Calcule!$Y$6:$Y$40,K93))</f>
        <v>1740</v>
      </c>
      <c r="H93" s="12">
        <f>IF(K93="","",INDEX(Calcule!$AE$6:$AE$40,K93))</f>
        <v>1560</v>
      </c>
      <c r="I93" s="12">
        <f>IF(K93="","",INDEX(Calcule!$AI$6:$AI$40,K93))</f>
        <v>1490</v>
      </c>
      <c r="J93" s="12">
        <f>IF(K93="","",INDEX(Calcule!$U$6:$U$40,K93))</f>
        <v>1001.2870012870011</v>
      </c>
      <c r="K93" s="72">
        <f>IFERROR(IF(A93&lt;=INDEX(Perioade!$D$6:$D$40,MATCH(A93,Perioade!$C$6:$C$40,1)),MATCH(A93,Perioade!$C$6:$C$40,1),""),"")</f>
        <v>5</v>
      </c>
    </row>
    <row r="94" spans="1:11" x14ac:dyDescent="0.2">
      <c r="A94" s="61">
        <f t="shared" si="2"/>
        <v>46409</v>
      </c>
      <c r="B94" s="71" t="str">
        <f t="shared" si="3"/>
        <v>Vi</v>
      </c>
      <c r="C94" t="str">
        <f>IF(K94="","⚠ fără perioadă",INDEX(Perioade!$A$6:$A$40,K94))</f>
        <v>iarna-2027</v>
      </c>
      <c r="D94" s="71">
        <f>IF(K94="","",INDEX(Calcule!$C$6:$C$40,K94))</f>
        <v>2</v>
      </c>
      <c r="E94" s="71" t="str">
        <f>IF(K94="","",INDEX(Calcule!$B$6:$B$40,K94))</f>
        <v>Standard</v>
      </c>
      <c r="F94" s="12">
        <f>IF(K94="","",INDEX(Calcule!$R$6:$R$40,K94))</f>
        <v>1350</v>
      </c>
      <c r="G94" s="12">
        <f>IF(K94="","",INDEX(Calcule!$Y$6:$Y$40,K94))</f>
        <v>1740</v>
      </c>
      <c r="H94" s="12">
        <f>IF(K94="","",INDEX(Calcule!$AE$6:$AE$40,K94))</f>
        <v>1560</v>
      </c>
      <c r="I94" s="12">
        <f>IF(K94="","",INDEX(Calcule!$AI$6:$AI$40,K94))</f>
        <v>1490</v>
      </c>
      <c r="J94" s="12">
        <f>IF(K94="","",INDEX(Calcule!$U$6:$U$40,K94))</f>
        <v>1001.2870012870011</v>
      </c>
      <c r="K94" s="72">
        <f>IFERROR(IF(A94&lt;=INDEX(Perioade!$D$6:$D$40,MATCH(A94,Perioade!$C$6:$C$40,1)),MATCH(A94,Perioade!$C$6:$C$40,1),""),"")</f>
        <v>5</v>
      </c>
    </row>
    <row r="95" spans="1:11" x14ac:dyDescent="0.2">
      <c r="A95" s="61">
        <f t="shared" si="2"/>
        <v>46410</v>
      </c>
      <c r="B95" s="71" t="str">
        <f t="shared" si="3"/>
        <v>Sâ</v>
      </c>
      <c r="C95" t="str">
        <f>IF(K95="","⚠ fără perioadă",INDEX(Perioade!$A$6:$A$40,K95))</f>
        <v>iarna-2027</v>
      </c>
      <c r="D95" s="71">
        <f>IF(K95="","",INDEX(Calcule!$C$6:$C$40,K95))</f>
        <v>2</v>
      </c>
      <c r="E95" s="71" t="str">
        <f>IF(K95="","",INDEX(Calcule!$B$6:$B$40,K95))</f>
        <v>Standard</v>
      </c>
      <c r="F95" s="12">
        <f>IF(K95="","",INDEX(Calcule!$R$6:$R$40,K95))</f>
        <v>1350</v>
      </c>
      <c r="G95" s="12">
        <f>IF(K95="","",INDEX(Calcule!$Y$6:$Y$40,K95))</f>
        <v>1740</v>
      </c>
      <c r="H95" s="12">
        <f>IF(K95="","",INDEX(Calcule!$AE$6:$AE$40,K95))</f>
        <v>1560</v>
      </c>
      <c r="I95" s="12">
        <f>IF(K95="","",INDEX(Calcule!$AI$6:$AI$40,K95))</f>
        <v>1490</v>
      </c>
      <c r="J95" s="12">
        <f>IF(K95="","",INDEX(Calcule!$U$6:$U$40,K95))</f>
        <v>1001.2870012870011</v>
      </c>
      <c r="K95" s="72">
        <f>IFERROR(IF(A95&lt;=INDEX(Perioade!$D$6:$D$40,MATCH(A95,Perioade!$C$6:$C$40,1)),MATCH(A95,Perioade!$C$6:$C$40,1),""),"")</f>
        <v>5</v>
      </c>
    </row>
    <row r="96" spans="1:11" x14ac:dyDescent="0.2">
      <c r="A96" s="61">
        <f t="shared" si="2"/>
        <v>46411</v>
      </c>
      <c r="B96" s="71" t="str">
        <f t="shared" si="3"/>
        <v>Du</v>
      </c>
      <c r="C96" t="str">
        <f>IF(K96="","⚠ fără perioadă",INDEX(Perioade!$A$6:$A$40,K96))</f>
        <v>iarna-2027</v>
      </c>
      <c r="D96" s="71">
        <f>IF(K96="","",INDEX(Calcule!$C$6:$C$40,K96))</f>
        <v>2</v>
      </c>
      <c r="E96" s="71" t="str">
        <f>IF(K96="","",INDEX(Calcule!$B$6:$B$40,K96))</f>
        <v>Standard</v>
      </c>
      <c r="F96" s="12">
        <f>IF(K96="","",INDEX(Calcule!$R$6:$R$40,K96))</f>
        <v>1350</v>
      </c>
      <c r="G96" s="12">
        <f>IF(K96="","",INDEX(Calcule!$Y$6:$Y$40,K96))</f>
        <v>1740</v>
      </c>
      <c r="H96" s="12">
        <f>IF(K96="","",INDEX(Calcule!$AE$6:$AE$40,K96))</f>
        <v>1560</v>
      </c>
      <c r="I96" s="12">
        <f>IF(K96="","",INDEX(Calcule!$AI$6:$AI$40,K96))</f>
        <v>1490</v>
      </c>
      <c r="J96" s="12">
        <f>IF(K96="","",INDEX(Calcule!$U$6:$U$40,K96))</f>
        <v>1001.2870012870011</v>
      </c>
      <c r="K96" s="72">
        <f>IFERROR(IF(A96&lt;=INDEX(Perioade!$D$6:$D$40,MATCH(A96,Perioade!$C$6:$C$40,1)),MATCH(A96,Perioade!$C$6:$C$40,1),""),"")</f>
        <v>5</v>
      </c>
    </row>
    <row r="97" spans="1:11" x14ac:dyDescent="0.2">
      <c r="A97" s="61">
        <f t="shared" si="2"/>
        <v>46412</v>
      </c>
      <c r="B97" s="71" t="str">
        <f t="shared" si="3"/>
        <v>Lu</v>
      </c>
      <c r="C97" t="str">
        <f>IF(K97="","⚠ fără perioadă",INDEX(Perioade!$A$6:$A$40,K97))</f>
        <v>iarna-2027</v>
      </c>
      <c r="D97" s="71">
        <f>IF(K97="","",INDEX(Calcule!$C$6:$C$40,K97))</f>
        <v>2</v>
      </c>
      <c r="E97" s="71" t="str">
        <f>IF(K97="","",INDEX(Calcule!$B$6:$B$40,K97))</f>
        <v>Standard</v>
      </c>
      <c r="F97" s="12">
        <f>IF(K97="","",INDEX(Calcule!$R$6:$R$40,K97))</f>
        <v>1350</v>
      </c>
      <c r="G97" s="12">
        <f>IF(K97="","",INDEX(Calcule!$Y$6:$Y$40,K97))</f>
        <v>1740</v>
      </c>
      <c r="H97" s="12">
        <f>IF(K97="","",INDEX(Calcule!$AE$6:$AE$40,K97))</f>
        <v>1560</v>
      </c>
      <c r="I97" s="12">
        <f>IF(K97="","",INDEX(Calcule!$AI$6:$AI$40,K97))</f>
        <v>1490</v>
      </c>
      <c r="J97" s="12">
        <f>IF(K97="","",INDEX(Calcule!$U$6:$U$40,K97))</f>
        <v>1001.2870012870011</v>
      </c>
      <c r="K97" s="72">
        <f>IFERROR(IF(A97&lt;=INDEX(Perioade!$D$6:$D$40,MATCH(A97,Perioade!$C$6:$C$40,1)),MATCH(A97,Perioade!$C$6:$C$40,1),""),"")</f>
        <v>5</v>
      </c>
    </row>
    <row r="98" spans="1:11" x14ac:dyDescent="0.2">
      <c r="A98" s="61">
        <f t="shared" si="2"/>
        <v>46413</v>
      </c>
      <c r="B98" s="71" t="str">
        <f t="shared" si="3"/>
        <v>Ma</v>
      </c>
      <c r="C98" t="str">
        <f>IF(K98="","⚠ fără perioadă",INDEX(Perioade!$A$6:$A$40,K98))</f>
        <v>iarna-2027</v>
      </c>
      <c r="D98" s="71">
        <f>IF(K98="","",INDEX(Calcule!$C$6:$C$40,K98))</f>
        <v>2</v>
      </c>
      <c r="E98" s="71" t="str">
        <f>IF(K98="","",INDEX(Calcule!$B$6:$B$40,K98))</f>
        <v>Standard</v>
      </c>
      <c r="F98" s="12">
        <f>IF(K98="","",INDEX(Calcule!$R$6:$R$40,K98))</f>
        <v>1350</v>
      </c>
      <c r="G98" s="12">
        <f>IF(K98="","",INDEX(Calcule!$Y$6:$Y$40,K98))</f>
        <v>1740</v>
      </c>
      <c r="H98" s="12">
        <f>IF(K98="","",INDEX(Calcule!$AE$6:$AE$40,K98))</f>
        <v>1560</v>
      </c>
      <c r="I98" s="12">
        <f>IF(K98="","",INDEX(Calcule!$AI$6:$AI$40,K98))</f>
        <v>1490</v>
      </c>
      <c r="J98" s="12">
        <f>IF(K98="","",INDEX(Calcule!$U$6:$U$40,K98))</f>
        <v>1001.2870012870011</v>
      </c>
      <c r="K98" s="72">
        <f>IFERROR(IF(A98&lt;=INDEX(Perioade!$D$6:$D$40,MATCH(A98,Perioade!$C$6:$C$40,1)),MATCH(A98,Perioade!$C$6:$C$40,1),""),"")</f>
        <v>5</v>
      </c>
    </row>
    <row r="99" spans="1:11" x14ac:dyDescent="0.2">
      <c r="A99" s="61">
        <f t="shared" si="2"/>
        <v>46414</v>
      </c>
      <c r="B99" s="71" t="str">
        <f t="shared" si="3"/>
        <v>Mi</v>
      </c>
      <c r="C99" t="str">
        <f>IF(K99="","⚠ fără perioadă",INDEX(Perioade!$A$6:$A$40,K99))</f>
        <v>iarna-2027</v>
      </c>
      <c r="D99" s="71">
        <f>IF(K99="","",INDEX(Calcule!$C$6:$C$40,K99))</f>
        <v>2</v>
      </c>
      <c r="E99" s="71" t="str">
        <f>IF(K99="","",INDEX(Calcule!$B$6:$B$40,K99))</f>
        <v>Standard</v>
      </c>
      <c r="F99" s="12">
        <f>IF(K99="","",INDEX(Calcule!$R$6:$R$40,K99))</f>
        <v>1350</v>
      </c>
      <c r="G99" s="12">
        <f>IF(K99="","",INDEX(Calcule!$Y$6:$Y$40,K99))</f>
        <v>1740</v>
      </c>
      <c r="H99" s="12">
        <f>IF(K99="","",INDEX(Calcule!$AE$6:$AE$40,K99))</f>
        <v>1560</v>
      </c>
      <c r="I99" s="12">
        <f>IF(K99="","",INDEX(Calcule!$AI$6:$AI$40,K99))</f>
        <v>1490</v>
      </c>
      <c r="J99" s="12">
        <f>IF(K99="","",INDEX(Calcule!$U$6:$U$40,K99))</f>
        <v>1001.2870012870011</v>
      </c>
      <c r="K99" s="72">
        <f>IFERROR(IF(A99&lt;=INDEX(Perioade!$D$6:$D$40,MATCH(A99,Perioade!$C$6:$C$40,1)),MATCH(A99,Perioade!$C$6:$C$40,1),""),"")</f>
        <v>5</v>
      </c>
    </row>
    <row r="100" spans="1:11" x14ac:dyDescent="0.2">
      <c r="A100" s="61">
        <f t="shared" si="2"/>
        <v>46415</v>
      </c>
      <c r="B100" s="71" t="str">
        <f t="shared" si="3"/>
        <v>Jo</v>
      </c>
      <c r="C100" t="str">
        <f>IF(K100="","⚠ fără perioadă",INDEX(Perioade!$A$6:$A$40,K100))</f>
        <v>iarna-2027</v>
      </c>
      <c r="D100" s="71">
        <f>IF(K100="","",INDEX(Calcule!$C$6:$C$40,K100))</f>
        <v>2</v>
      </c>
      <c r="E100" s="71" t="str">
        <f>IF(K100="","",INDEX(Calcule!$B$6:$B$40,K100))</f>
        <v>Standard</v>
      </c>
      <c r="F100" s="12">
        <f>IF(K100="","",INDEX(Calcule!$R$6:$R$40,K100))</f>
        <v>1350</v>
      </c>
      <c r="G100" s="12">
        <f>IF(K100="","",INDEX(Calcule!$Y$6:$Y$40,K100))</f>
        <v>1740</v>
      </c>
      <c r="H100" s="12">
        <f>IF(K100="","",INDEX(Calcule!$AE$6:$AE$40,K100))</f>
        <v>1560</v>
      </c>
      <c r="I100" s="12">
        <f>IF(K100="","",INDEX(Calcule!$AI$6:$AI$40,K100))</f>
        <v>1490</v>
      </c>
      <c r="J100" s="12">
        <f>IF(K100="","",INDEX(Calcule!$U$6:$U$40,K100))</f>
        <v>1001.2870012870011</v>
      </c>
      <c r="K100" s="72">
        <f>IFERROR(IF(A100&lt;=INDEX(Perioade!$D$6:$D$40,MATCH(A100,Perioade!$C$6:$C$40,1)),MATCH(A100,Perioade!$C$6:$C$40,1),""),"")</f>
        <v>5</v>
      </c>
    </row>
    <row r="101" spans="1:11" x14ac:dyDescent="0.2">
      <c r="A101" s="61">
        <f t="shared" si="2"/>
        <v>46416</v>
      </c>
      <c r="B101" s="71" t="str">
        <f t="shared" si="3"/>
        <v>Vi</v>
      </c>
      <c r="C101" t="str">
        <f>IF(K101="","⚠ fără perioadă",INDEX(Perioade!$A$6:$A$40,K101))</f>
        <v>iarna-2027</v>
      </c>
      <c r="D101" s="71">
        <f>IF(K101="","",INDEX(Calcule!$C$6:$C$40,K101))</f>
        <v>2</v>
      </c>
      <c r="E101" s="71" t="str">
        <f>IF(K101="","",INDEX(Calcule!$B$6:$B$40,K101))</f>
        <v>Standard</v>
      </c>
      <c r="F101" s="12">
        <f>IF(K101="","",INDEX(Calcule!$R$6:$R$40,K101))</f>
        <v>1350</v>
      </c>
      <c r="G101" s="12">
        <f>IF(K101="","",INDEX(Calcule!$Y$6:$Y$40,K101))</f>
        <v>1740</v>
      </c>
      <c r="H101" s="12">
        <f>IF(K101="","",INDEX(Calcule!$AE$6:$AE$40,K101))</f>
        <v>1560</v>
      </c>
      <c r="I101" s="12">
        <f>IF(K101="","",INDEX(Calcule!$AI$6:$AI$40,K101))</f>
        <v>1490</v>
      </c>
      <c r="J101" s="12">
        <f>IF(K101="","",INDEX(Calcule!$U$6:$U$40,K101))</f>
        <v>1001.2870012870011</v>
      </c>
      <c r="K101" s="72">
        <f>IFERROR(IF(A101&lt;=INDEX(Perioade!$D$6:$D$40,MATCH(A101,Perioade!$C$6:$C$40,1)),MATCH(A101,Perioade!$C$6:$C$40,1),""),"")</f>
        <v>5</v>
      </c>
    </row>
    <row r="102" spans="1:11" x14ac:dyDescent="0.2">
      <c r="A102" s="61">
        <f t="shared" si="2"/>
        <v>46417</v>
      </c>
      <c r="B102" s="71" t="str">
        <f t="shared" si="3"/>
        <v>Sâ</v>
      </c>
      <c r="C102" t="str">
        <f>IF(K102="","⚠ fără perioadă",INDEX(Perioade!$A$6:$A$40,K102))</f>
        <v>iarna-2027</v>
      </c>
      <c r="D102" s="71">
        <f>IF(K102="","",INDEX(Calcule!$C$6:$C$40,K102))</f>
        <v>2</v>
      </c>
      <c r="E102" s="71" t="str">
        <f>IF(K102="","",INDEX(Calcule!$B$6:$B$40,K102))</f>
        <v>Standard</v>
      </c>
      <c r="F102" s="12">
        <f>IF(K102="","",INDEX(Calcule!$R$6:$R$40,K102))</f>
        <v>1350</v>
      </c>
      <c r="G102" s="12">
        <f>IF(K102="","",INDEX(Calcule!$Y$6:$Y$40,K102))</f>
        <v>1740</v>
      </c>
      <c r="H102" s="12">
        <f>IF(K102="","",INDEX(Calcule!$AE$6:$AE$40,K102))</f>
        <v>1560</v>
      </c>
      <c r="I102" s="12">
        <f>IF(K102="","",INDEX(Calcule!$AI$6:$AI$40,K102))</f>
        <v>1490</v>
      </c>
      <c r="J102" s="12">
        <f>IF(K102="","",INDEX(Calcule!$U$6:$U$40,K102))</f>
        <v>1001.2870012870011</v>
      </c>
      <c r="K102" s="72">
        <f>IFERROR(IF(A102&lt;=INDEX(Perioade!$D$6:$D$40,MATCH(A102,Perioade!$C$6:$C$40,1)),MATCH(A102,Perioade!$C$6:$C$40,1),""),"")</f>
        <v>5</v>
      </c>
    </row>
    <row r="103" spans="1:11" x14ac:dyDescent="0.2">
      <c r="A103" s="61">
        <f t="shared" si="2"/>
        <v>46418</v>
      </c>
      <c r="B103" s="71" t="str">
        <f t="shared" si="3"/>
        <v>Du</v>
      </c>
      <c r="C103" t="str">
        <f>IF(K103="","⚠ fără perioadă",INDEX(Perioade!$A$6:$A$40,K103))</f>
        <v>iarna-2027</v>
      </c>
      <c r="D103" s="71">
        <f>IF(K103="","",INDEX(Calcule!$C$6:$C$40,K103))</f>
        <v>2</v>
      </c>
      <c r="E103" s="71" t="str">
        <f>IF(K103="","",INDEX(Calcule!$B$6:$B$40,K103))</f>
        <v>Standard</v>
      </c>
      <c r="F103" s="12">
        <f>IF(K103="","",INDEX(Calcule!$R$6:$R$40,K103))</f>
        <v>1350</v>
      </c>
      <c r="G103" s="12">
        <f>IF(K103="","",INDEX(Calcule!$Y$6:$Y$40,K103))</f>
        <v>1740</v>
      </c>
      <c r="H103" s="12">
        <f>IF(K103="","",INDEX(Calcule!$AE$6:$AE$40,K103))</f>
        <v>1560</v>
      </c>
      <c r="I103" s="12">
        <f>IF(K103="","",INDEX(Calcule!$AI$6:$AI$40,K103))</f>
        <v>1490</v>
      </c>
      <c r="J103" s="12">
        <f>IF(K103="","",INDEX(Calcule!$U$6:$U$40,K103))</f>
        <v>1001.2870012870011</v>
      </c>
      <c r="K103" s="72">
        <f>IFERROR(IF(A103&lt;=INDEX(Perioade!$D$6:$D$40,MATCH(A103,Perioade!$C$6:$C$40,1)),MATCH(A103,Perioade!$C$6:$C$40,1),""),"")</f>
        <v>5</v>
      </c>
    </row>
    <row r="104" spans="1:11" x14ac:dyDescent="0.2">
      <c r="A104" s="61">
        <f t="shared" si="2"/>
        <v>46419</v>
      </c>
      <c r="B104" s="71" t="str">
        <f t="shared" si="3"/>
        <v>Lu</v>
      </c>
      <c r="C104" t="str">
        <f>IF(K104="","⚠ fără perioadă",INDEX(Perioade!$A$6:$A$40,K104))</f>
        <v>iarna-2027</v>
      </c>
      <c r="D104" s="71">
        <f>IF(K104="","",INDEX(Calcule!$C$6:$C$40,K104))</f>
        <v>2</v>
      </c>
      <c r="E104" s="71" t="str">
        <f>IF(K104="","",INDEX(Calcule!$B$6:$B$40,K104))</f>
        <v>Standard</v>
      </c>
      <c r="F104" s="12">
        <f>IF(K104="","",INDEX(Calcule!$R$6:$R$40,K104))</f>
        <v>1350</v>
      </c>
      <c r="G104" s="12">
        <f>IF(K104="","",INDEX(Calcule!$Y$6:$Y$40,K104))</f>
        <v>1740</v>
      </c>
      <c r="H104" s="12">
        <f>IF(K104="","",INDEX(Calcule!$AE$6:$AE$40,K104))</f>
        <v>1560</v>
      </c>
      <c r="I104" s="12">
        <f>IF(K104="","",INDEX(Calcule!$AI$6:$AI$40,K104))</f>
        <v>1490</v>
      </c>
      <c r="J104" s="12">
        <f>IF(K104="","",INDEX(Calcule!$U$6:$U$40,K104))</f>
        <v>1001.2870012870011</v>
      </c>
      <c r="K104" s="72">
        <f>IFERROR(IF(A104&lt;=INDEX(Perioade!$D$6:$D$40,MATCH(A104,Perioade!$C$6:$C$40,1)),MATCH(A104,Perioade!$C$6:$C$40,1),""),"")</f>
        <v>5</v>
      </c>
    </row>
    <row r="105" spans="1:11" x14ac:dyDescent="0.2">
      <c r="A105" s="61">
        <f t="shared" si="2"/>
        <v>46420</v>
      </c>
      <c r="B105" s="71" t="str">
        <f t="shared" si="3"/>
        <v>Ma</v>
      </c>
      <c r="C105" t="str">
        <f>IF(K105="","⚠ fără perioadă",INDEX(Perioade!$A$6:$A$40,K105))</f>
        <v>iarna-2027</v>
      </c>
      <c r="D105" s="71">
        <f>IF(K105="","",INDEX(Calcule!$C$6:$C$40,K105))</f>
        <v>2</v>
      </c>
      <c r="E105" s="71" t="str">
        <f>IF(K105="","",INDEX(Calcule!$B$6:$B$40,K105))</f>
        <v>Standard</v>
      </c>
      <c r="F105" s="12">
        <f>IF(K105="","",INDEX(Calcule!$R$6:$R$40,K105))</f>
        <v>1350</v>
      </c>
      <c r="G105" s="12">
        <f>IF(K105="","",INDEX(Calcule!$Y$6:$Y$40,K105))</f>
        <v>1740</v>
      </c>
      <c r="H105" s="12">
        <f>IF(K105="","",INDEX(Calcule!$AE$6:$AE$40,K105))</f>
        <v>1560</v>
      </c>
      <c r="I105" s="12">
        <f>IF(K105="","",INDEX(Calcule!$AI$6:$AI$40,K105))</f>
        <v>1490</v>
      </c>
      <c r="J105" s="12">
        <f>IF(K105="","",INDEX(Calcule!$U$6:$U$40,K105))</f>
        <v>1001.2870012870011</v>
      </c>
      <c r="K105" s="72">
        <f>IFERROR(IF(A105&lt;=INDEX(Perioade!$D$6:$D$40,MATCH(A105,Perioade!$C$6:$C$40,1)),MATCH(A105,Perioade!$C$6:$C$40,1),""),"")</f>
        <v>5</v>
      </c>
    </row>
    <row r="106" spans="1:11" x14ac:dyDescent="0.2">
      <c r="A106" s="61">
        <f t="shared" si="2"/>
        <v>46421</v>
      </c>
      <c r="B106" s="71" t="str">
        <f t="shared" si="3"/>
        <v>Mi</v>
      </c>
      <c r="C106" t="str">
        <f>IF(K106="","⚠ fără perioadă",INDEX(Perioade!$A$6:$A$40,K106))</f>
        <v>iarna-2027</v>
      </c>
      <c r="D106" s="71">
        <f>IF(K106="","",INDEX(Calcule!$C$6:$C$40,K106))</f>
        <v>2</v>
      </c>
      <c r="E106" s="71" t="str">
        <f>IF(K106="","",INDEX(Calcule!$B$6:$B$40,K106))</f>
        <v>Standard</v>
      </c>
      <c r="F106" s="12">
        <f>IF(K106="","",INDEX(Calcule!$R$6:$R$40,K106))</f>
        <v>1350</v>
      </c>
      <c r="G106" s="12">
        <f>IF(K106="","",INDEX(Calcule!$Y$6:$Y$40,K106))</f>
        <v>1740</v>
      </c>
      <c r="H106" s="12">
        <f>IF(K106="","",INDEX(Calcule!$AE$6:$AE$40,K106))</f>
        <v>1560</v>
      </c>
      <c r="I106" s="12">
        <f>IF(K106="","",INDEX(Calcule!$AI$6:$AI$40,K106))</f>
        <v>1490</v>
      </c>
      <c r="J106" s="12">
        <f>IF(K106="","",INDEX(Calcule!$U$6:$U$40,K106))</f>
        <v>1001.2870012870011</v>
      </c>
      <c r="K106" s="72">
        <f>IFERROR(IF(A106&lt;=INDEX(Perioade!$D$6:$D$40,MATCH(A106,Perioade!$C$6:$C$40,1)),MATCH(A106,Perioade!$C$6:$C$40,1),""),"")</f>
        <v>5</v>
      </c>
    </row>
    <row r="107" spans="1:11" x14ac:dyDescent="0.2">
      <c r="A107" s="61">
        <f t="shared" si="2"/>
        <v>46422</v>
      </c>
      <c r="B107" s="71" t="str">
        <f t="shared" si="3"/>
        <v>Jo</v>
      </c>
      <c r="C107" t="str">
        <f>IF(K107="","⚠ fără perioadă",INDEX(Perioade!$A$6:$A$40,K107))</f>
        <v>iarna-2027</v>
      </c>
      <c r="D107" s="71">
        <f>IF(K107="","",INDEX(Calcule!$C$6:$C$40,K107))</f>
        <v>2</v>
      </c>
      <c r="E107" s="71" t="str">
        <f>IF(K107="","",INDEX(Calcule!$B$6:$B$40,K107))</f>
        <v>Standard</v>
      </c>
      <c r="F107" s="12">
        <f>IF(K107="","",INDEX(Calcule!$R$6:$R$40,K107))</f>
        <v>1350</v>
      </c>
      <c r="G107" s="12">
        <f>IF(K107="","",INDEX(Calcule!$Y$6:$Y$40,K107))</f>
        <v>1740</v>
      </c>
      <c r="H107" s="12">
        <f>IF(K107="","",INDEX(Calcule!$AE$6:$AE$40,K107))</f>
        <v>1560</v>
      </c>
      <c r="I107" s="12">
        <f>IF(K107="","",INDEX(Calcule!$AI$6:$AI$40,K107))</f>
        <v>1490</v>
      </c>
      <c r="J107" s="12">
        <f>IF(K107="","",INDEX(Calcule!$U$6:$U$40,K107))</f>
        <v>1001.2870012870011</v>
      </c>
      <c r="K107" s="72">
        <f>IFERROR(IF(A107&lt;=INDEX(Perioade!$D$6:$D$40,MATCH(A107,Perioade!$C$6:$C$40,1)),MATCH(A107,Perioade!$C$6:$C$40,1),""),"")</f>
        <v>5</v>
      </c>
    </row>
    <row r="108" spans="1:11" x14ac:dyDescent="0.2">
      <c r="A108" s="61">
        <f t="shared" si="2"/>
        <v>46423</v>
      </c>
      <c r="B108" s="71" t="str">
        <f t="shared" si="3"/>
        <v>Vi</v>
      </c>
      <c r="C108" t="str">
        <f>IF(K108="","⚠ fără perioadă",INDEX(Perioade!$A$6:$A$40,K108))</f>
        <v>iarna-2027</v>
      </c>
      <c r="D108" s="71">
        <f>IF(K108="","",INDEX(Calcule!$C$6:$C$40,K108))</f>
        <v>2</v>
      </c>
      <c r="E108" s="71" t="str">
        <f>IF(K108="","",INDEX(Calcule!$B$6:$B$40,K108))</f>
        <v>Standard</v>
      </c>
      <c r="F108" s="12">
        <f>IF(K108="","",INDEX(Calcule!$R$6:$R$40,K108))</f>
        <v>1350</v>
      </c>
      <c r="G108" s="12">
        <f>IF(K108="","",INDEX(Calcule!$Y$6:$Y$40,K108))</f>
        <v>1740</v>
      </c>
      <c r="H108" s="12">
        <f>IF(K108="","",INDEX(Calcule!$AE$6:$AE$40,K108))</f>
        <v>1560</v>
      </c>
      <c r="I108" s="12">
        <f>IF(K108="","",INDEX(Calcule!$AI$6:$AI$40,K108))</f>
        <v>1490</v>
      </c>
      <c r="J108" s="12">
        <f>IF(K108="","",INDEX(Calcule!$U$6:$U$40,K108))</f>
        <v>1001.2870012870011</v>
      </c>
      <c r="K108" s="72">
        <f>IFERROR(IF(A108&lt;=INDEX(Perioade!$D$6:$D$40,MATCH(A108,Perioade!$C$6:$C$40,1)),MATCH(A108,Perioade!$C$6:$C$40,1),""),"")</f>
        <v>5</v>
      </c>
    </row>
    <row r="109" spans="1:11" x14ac:dyDescent="0.2">
      <c r="A109" s="61">
        <f t="shared" si="2"/>
        <v>46424</v>
      </c>
      <c r="B109" s="71" t="str">
        <f t="shared" si="3"/>
        <v>Sâ</v>
      </c>
      <c r="C109" t="str">
        <f>IF(K109="","⚠ fără perioadă",INDEX(Perioade!$A$6:$A$40,K109))</f>
        <v>iarna-2027</v>
      </c>
      <c r="D109" s="71">
        <f>IF(K109="","",INDEX(Calcule!$C$6:$C$40,K109))</f>
        <v>2</v>
      </c>
      <c r="E109" s="71" t="str">
        <f>IF(K109="","",INDEX(Calcule!$B$6:$B$40,K109))</f>
        <v>Standard</v>
      </c>
      <c r="F109" s="12">
        <f>IF(K109="","",INDEX(Calcule!$R$6:$R$40,K109))</f>
        <v>1350</v>
      </c>
      <c r="G109" s="12">
        <f>IF(K109="","",INDEX(Calcule!$Y$6:$Y$40,K109))</f>
        <v>1740</v>
      </c>
      <c r="H109" s="12">
        <f>IF(K109="","",INDEX(Calcule!$AE$6:$AE$40,K109))</f>
        <v>1560</v>
      </c>
      <c r="I109" s="12">
        <f>IF(K109="","",INDEX(Calcule!$AI$6:$AI$40,K109))</f>
        <v>1490</v>
      </c>
      <c r="J109" s="12">
        <f>IF(K109="","",INDEX(Calcule!$U$6:$U$40,K109))</f>
        <v>1001.2870012870011</v>
      </c>
      <c r="K109" s="72">
        <f>IFERROR(IF(A109&lt;=INDEX(Perioade!$D$6:$D$40,MATCH(A109,Perioade!$C$6:$C$40,1)),MATCH(A109,Perioade!$C$6:$C$40,1),""),"")</f>
        <v>5</v>
      </c>
    </row>
    <row r="110" spans="1:11" x14ac:dyDescent="0.2">
      <c r="A110" s="61">
        <f t="shared" si="2"/>
        <v>46425</v>
      </c>
      <c r="B110" s="71" t="str">
        <f t="shared" si="3"/>
        <v>Du</v>
      </c>
      <c r="C110" t="str">
        <f>IF(K110="","⚠ fără perioadă",INDEX(Perioade!$A$6:$A$40,K110))</f>
        <v>iarna-2027</v>
      </c>
      <c r="D110" s="71">
        <f>IF(K110="","",INDEX(Calcule!$C$6:$C$40,K110))</f>
        <v>2</v>
      </c>
      <c r="E110" s="71" t="str">
        <f>IF(K110="","",INDEX(Calcule!$B$6:$B$40,K110))</f>
        <v>Standard</v>
      </c>
      <c r="F110" s="12">
        <f>IF(K110="","",INDEX(Calcule!$R$6:$R$40,K110))</f>
        <v>1350</v>
      </c>
      <c r="G110" s="12">
        <f>IF(K110="","",INDEX(Calcule!$Y$6:$Y$40,K110))</f>
        <v>1740</v>
      </c>
      <c r="H110" s="12">
        <f>IF(K110="","",INDEX(Calcule!$AE$6:$AE$40,K110))</f>
        <v>1560</v>
      </c>
      <c r="I110" s="12">
        <f>IF(K110="","",INDEX(Calcule!$AI$6:$AI$40,K110))</f>
        <v>1490</v>
      </c>
      <c r="J110" s="12">
        <f>IF(K110="","",INDEX(Calcule!$U$6:$U$40,K110))</f>
        <v>1001.2870012870011</v>
      </c>
      <c r="K110" s="72">
        <f>IFERROR(IF(A110&lt;=INDEX(Perioade!$D$6:$D$40,MATCH(A110,Perioade!$C$6:$C$40,1)),MATCH(A110,Perioade!$C$6:$C$40,1),""),"")</f>
        <v>5</v>
      </c>
    </row>
    <row r="111" spans="1:11" x14ac:dyDescent="0.2">
      <c r="A111" s="61">
        <f t="shared" si="2"/>
        <v>46426</v>
      </c>
      <c r="B111" s="71" t="str">
        <f t="shared" si="3"/>
        <v>Lu</v>
      </c>
      <c r="C111" t="str">
        <f>IF(K111="","⚠ fără perioadă",INDEX(Perioade!$A$6:$A$40,K111))</f>
        <v>iarna-2027</v>
      </c>
      <c r="D111" s="71">
        <f>IF(K111="","",INDEX(Calcule!$C$6:$C$40,K111))</f>
        <v>2</v>
      </c>
      <c r="E111" s="71" t="str">
        <f>IF(K111="","",INDEX(Calcule!$B$6:$B$40,K111))</f>
        <v>Standard</v>
      </c>
      <c r="F111" s="12">
        <f>IF(K111="","",INDEX(Calcule!$R$6:$R$40,K111))</f>
        <v>1350</v>
      </c>
      <c r="G111" s="12">
        <f>IF(K111="","",INDEX(Calcule!$Y$6:$Y$40,K111))</f>
        <v>1740</v>
      </c>
      <c r="H111" s="12">
        <f>IF(K111="","",INDEX(Calcule!$AE$6:$AE$40,K111))</f>
        <v>1560</v>
      </c>
      <c r="I111" s="12">
        <f>IF(K111="","",INDEX(Calcule!$AI$6:$AI$40,K111))</f>
        <v>1490</v>
      </c>
      <c r="J111" s="12">
        <f>IF(K111="","",INDEX(Calcule!$U$6:$U$40,K111))</f>
        <v>1001.2870012870011</v>
      </c>
      <c r="K111" s="72">
        <f>IFERROR(IF(A111&lt;=INDEX(Perioade!$D$6:$D$40,MATCH(A111,Perioade!$C$6:$C$40,1)),MATCH(A111,Perioade!$C$6:$C$40,1),""),"")</f>
        <v>5</v>
      </c>
    </row>
    <row r="112" spans="1:11" x14ac:dyDescent="0.2">
      <c r="A112" s="61">
        <f t="shared" si="2"/>
        <v>46427</v>
      </c>
      <c r="B112" s="71" t="str">
        <f t="shared" si="3"/>
        <v>Ma</v>
      </c>
      <c r="C112" t="str">
        <f>IF(K112="","⚠ fără perioadă",INDEX(Perioade!$A$6:$A$40,K112))</f>
        <v>iarna-2027</v>
      </c>
      <c r="D112" s="71">
        <f>IF(K112="","",INDEX(Calcule!$C$6:$C$40,K112))</f>
        <v>2</v>
      </c>
      <c r="E112" s="71" t="str">
        <f>IF(K112="","",INDEX(Calcule!$B$6:$B$40,K112))</f>
        <v>Standard</v>
      </c>
      <c r="F112" s="12">
        <f>IF(K112="","",INDEX(Calcule!$R$6:$R$40,K112))</f>
        <v>1350</v>
      </c>
      <c r="G112" s="12">
        <f>IF(K112="","",INDEX(Calcule!$Y$6:$Y$40,K112))</f>
        <v>1740</v>
      </c>
      <c r="H112" s="12">
        <f>IF(K112="","",INDEX(Calcule!$AE$6:$AE$40,K112))</f>
        <v>1560</v>
      </c>
      <c r="I112" s="12">
        <f>IF(K112="","",INDEX(Calcule!$AI$6:$AI$40,K112))</f>
        <v>1490</v>
      </c>
      <c r="J112" s="12">
        <f>IF(K112="","",INDEX(Calcule!$U$6:$U$40,K112))</f>
        <v>1001.2870012870011</v>
      </c>
      <c r="K112" s="72">
        <f>IFERROR(IF(A112&lt;=INDEX(Perioade!$D$6:$D$40,MATCH(A112,Perioade!$C$6:$C$40,1)),MATCH(A112,Perioade!$C$6:$C$40,1),""),"")</f>
        <v>5</v>
      </c>
    </row>
    <row r="113" spans="1:11" x14ac:dyDescent="0.2">
      <c r="A113" s="61">
        <f t="shared" si="2"/>
        <v>46428</v>
      </c>
      <c r="B113" s="71" t="str">
        <f t="shared" si="3"/>
        <v>Mi</v>
      </c>
      <c r="C113" t="str">
        <f>IF(K113="","⚠ fără perioadă",INDEX(Perioade!$A$6:$A$40,K113))</f>
        <v>iarna-2027</v>
      </c>
      <c r="D113" s="71">
        <f>IF(K113="","",INDEX(Calcule!$C$6:$C$40,K113))</f>
        <v>2</v>
      </c>
      <c r="E113" s="71" t="str">
        <f>IF(K113="","",INDEX(Calcule!$B$6:$B$40,K113))</f>
        <v>Standard</v>
      </c>
      <c r="F113" s="12">
        <f>IF(K113="","",INDEX(Calcule!$R$6:$R$40,K113))</f>
        <v>1350</v>
      </c>
      <c r="G113" s="12">
        <f>IF(K113="","",INDEX(Calcule!$Y$6:$Y$40,K113))</f>
        <v>1740</v>
      </c>
      <c r="H113" s="12">
        <f>IF(K113="","",INDEX(Calcule!$AE$6:$AE$40,K113))</f>
        <v>1560</v>
      </c>
      <c r="I113" s="12">
        <f>IF(K113="","",INDEX(Calcule!$AI$6:$AI$40,K113))</f>
        <v>1490</v>
      </c>
      <c r="J113" s="12">
        <f>IF(K113="","",INDEX(Calcule!$U$6:$U$40,K113))</f>
        <v>1001.2870012870011</v>
      </c>
      <c r="K113" s="72">
        <f>IFERROR(IF(A113&lt;=INDEX(Perioade!$D$6:$D$40,MATCH(A113,Perioade!$C$6:$C$40,1)),MATCH(A113,Perioade!$C$6:$C$40,1),""),"")</f>
        <v>5</v>
      </c>
    </row>
    <row r="114" spans="1:11" x14ac:dyDescent="0.2">
      <c r="A114" s="61">
        <f t="shared" si="2"/>
        <v>46429</v>
      </c>
      <c r="B114" s="71" t="str">
        <f t="shared" si="3"/>
        <v>Jo</v>
      </c>
      <c r="C114" t="str">
        <f>IF(K114="","⚠ fără perioadă",INDEX(Perioade!$A$6:$A$40,K114))</f>
        <v>iarna-2027</v>
      </c>
      <c r="D114" s="71">
        <f>IF(K114="","",INDEX(Calcule!$C$6:$C$40,K114))</f>
        <v>2</v>
      </c>
      <c r="E114" s="71" t="str">
        <f>IF(K114="","",INDEX(Calcule!$B$6:$B$40,K114))</f>
        <v>Standard</v>
      </c>
      <c r="F114" s="12">
        <f>IF(K114="","",INDEX(Calcule!$R$6:$R$40,K114))</f>
        <v>1350</v>
      </c>
      <c r="G114" s="12">
        <f>IF(K114="","",INDEX(Calcule!$Y$6:$Y$40,K114))</f>
        <v>1740</v>
      </c>
      <c r="H114" s="12">
        <f>IF(K114="","",INDEX(Calcule!$AE$6:$AE$40,K114))</f>
        <v>1560</v>
      </c>
      <c r="I114" s="12">
        <f>IF(K114="","",INDEX(Calcule!$AI$6:$AI$40,K114))</f>
        <v>1490</v>
      </c>
      <c r="J114" s="12">
        <f>IF(K114="","",INDEX(Calcule!$U$6:$U$40,K114))</f>
        <v>1001.2870012870011</v>
      </c>
      <c r="K114" s="72">
        <f>IFERROR(IF(A114&lt;=INDEX(Perioade!$D$6:$D$40,MATCH(A114,Perioade!$C$6:$C$40,1)),MATCH(A114,Perioade!$C$6:$C$40,1),""),"")</f>
        <v>5</v>
      </c>
    </row>
    <row r="115" spans="1:11" x14ac:dyDescent="0.2">
      <c r="A115" s="61">
        <f t="shared" si="2"/>
        <v>46430</v>
      </c>
      <c r="B115" s="71" t="str">
        <f t="shared" si="3"/>
        <v>Vi</v>
      </c>
      <c r="C115" t="str">
        <f>IF(K115="","⚠ fără perioadă",INDEX(Perioade!$A$6:$A$40,K115))</f>
        <v>iarna-2027</v>
      </c>
      <c r="D115" s="71">
        <f>IF(K115="","",INDEX(Calcule!$C$6:$C$40,K115))</f>
        <v>2</v>
      </c>
      <c r="E115" s="71" t="str">
        <f>IF(K115="","",INDEX(Calcule!$B$6:$B$40,K115))</f>
        <v>Standard</v>
      </c>
      <c r="F115" s="12">
        <f>IF(K115="","",INDEX(Calcule!$R$6:$R$40,K115))</f>
        <v>1350</v>
      </c>
      <c r="G115" s="12">
        <f>IF(K115="","",INDEX(Calcule!$Y$6:$Y$40,K115))</f>
        <v>1740</v>
      </c>
      <c r="H115" s="12">
        <f>IF(K115="","",INDEX(Calcule!$AE$6:$AE$40,K115))</f>
        <v>1560</v>
      </c>
      <c r="I115" s="12">
        <f>IF(K115="","",INDEX(Calcule!$AI$6:$AI$40,K115))</f>
        <v>1490</v>
      </c>
      <c r="J115" s="12">
        <f>IF(K115="","",INDEX(Calcule!$U$6:$U$40,K115))</f>
        <v>1001.2870012870011</v>
      </c>
      <c r="K115" s="72">
        <f>IFERROR(IF(A115&lt;=INDEX(Perioade!$D$6:$D$40,MATCH(A115,Perioade!$C$6:$C$40,1)),MATCH(A115,Perioade!$C$6:$C$40,1),""),"")</f>
        <v>5</v>
      </c>
    </row>
    <row r="116" spans="1:11" x14ac:dyDescent="0.2">
      <c r="A116" s="61">
        <f t="shared" si="2"/>
        <v>46431</v>
      </c>
      <c r="B116" s="71" t="str">
        <f t="shared" si="3"/>
        <v>Sâ</v>
      </c>
      <c r="C116" t="str">
        <f>IF(K116="","⚠ fără perioadă",INDEX(Perioade!$A$6:$A$40,K116))</f>
        <v>iarna-2027</v>
      </c>
      <c r="D116" s="71">
        <f>IF(K116="","",INDEX(Calcule!$C$6:$C$40,K116))</f>
        <v>2</v>
      </c>
      <c r="E116" s="71" t="str">
        <f>IF(K116="","",INDEX(Calcule!$B$6:$B$40,K116))</f>
        <v>Standard</v>
      </c>
      <c r="F116" s="12">
        <f>IF(K116="","",INDEX(Calcule!$R$6:$R$40,K116))</f>
        <v>1350</v>
      </c>
      <c r="G116" s="12">
        <f>IF(K116="","",INDEX(Calcule!$Y$6:$Y$40,K116))</f>
        <v>1740</v>
      </c>
      <c r="H116" s="12">
        <f>IF(K116="","",INDEX(Calcule!$AE$6:$AE$40,K116))</f>
        <v>1560</v>
      </c>
      <c r="I116" s="12">
        <f>IF(K116="","",INDEX(Calcule!$AI$6:$AI$40,K116))</f>
        <v>1490</v>
      </c>
      <c r="J116" s="12">
        <f>IF(K116="","",INDEX(Calcule!$U$6:$U$40,K116))</f>
        <v>1001.2870012870011</v>
      </c>
      <c r="K116" s="72">
        <f>IFERROR(IF(A116&lt;=INDEX(Perioade!$D$6:$D$40,MATCH(A116,Perioade!$C$6:$C$40,1)),MATCH(A116,Perioade!$C$6:$C$40,1),""),"")</f>
        <v>5</v>
      </c>
    </row>
    <row r="117" spans="1:11" x14ac:dyDescent="0.2">
      <c r="A117" s="61">
        <f t="shared" si="2"/>
        <v>46432</v>
      </c>
      <c r="B117" s="71" t="str">
        <f t="shared" si="3"/>
        <v>Du</v>
      </c>
      <c r="C117" t="str">
        <f>IF(K117="","⚠ fără perioadă",INDEX(Perioade!$A$6:$A$40,K117))</f>
        <v>iarna-2027</v>
      </c>
      <c r="D117" s="71">
        <f>IF(K117="","",INDEX(Calcule!$C$6:$C$40,K117))</f>
        <v>2</v>
      </c>
      <c r="E117" s="71" t="str">
        <f>IF(K117="","",INDEX(Calcule!$B$6:$B$40,K117))</f>
        <v>Standard</v>
      </c>
      <c r="F117" s="12">
        <f>IF(K117="","",INDEX(Calcule!$R$6:$R$40,K117))</f>
        <v>1350</v>
      </c>
      <c r="G117" s="12">
        <f>IF(K117="","",INDEX(Calcule!$Y$6:$Y$40,K117))</f>
        <v>1740</v>
      </c>
      <c r="H117" s="12">
        <f>IF(K117="","",INDEX(Calcule!$AE$6:$AE$40,K117))</f>
        <v>1560</v>
      </c>
      <c r="I117" s="12">
        <f>IF(K117="","",INDEX(Calcule!$AI$6:$AI$40,K117))</f>
        <v>1490</v>
      </c>
      <c r="J117" s="12">
        <f>IF(K117="","",INDEX(Calcule!$U$6:$U$40,K117))</f>
        <v>1001.2870012870011</v>
      </c>
      <c r="K117" s="72">
        <f>IFERROR(IF(A117&lt;=INDEX(Perioade!$D$6:$D$40,MATCH(A117,Perioade!$C$6:$C$40,1)),MATCH(A117,Perioade!$C$6:$C$40,1),""),"")</f>
        <v>5</v>
      </c>
    </row>
    <row r="118" spans="1:11" x14ac:dyDescent="0.2">
      <c r="A118" s="61">
        <f t="shared" si="2"/>
        <v>46433</v>
      </c>
      <c r="B118" s="71" t="str">
        <f t="shared" si="3"/>
        <v>Lu</v>
      </c>
      <c r="C118" t="str">
        <f>IF(K118="","⚠ fără perioadă",INDEX(Perioade!$A$6:$A$40,K118))</f>
        <v>Vacanta-schi-2027</v>
      </c>
      <c r="D118" s="71">
        <f>IF(K118="","",INDEX(Calcule!$C$6:$C$40,K118))</f>
        <v>2</v>
      </c>
      <c r="E118" s="71" t="str">
        <f>IF(K118="","",INDEX(Calcule!$B$6:$B$40,K118))</f>
        <v>Standard</v>
      </c>
      <c r="F118" s="12">
        <f>IF(K118="","",INDEX(Calcule!$R$6:$R$40,K118))</f>
        <v>1450</v>
      </c>
      <c r="G118" s="12">
        <f>IF(K118="","",INDEX(Calcule!$Y$6:$Y$40,K118))</f>
        <v>1870</v>
      </c>
      <c r="H118" s="12">
        <f>IF(K118="","",INDEX(Calcule!$AE$6:$AE$40,K118))</f>
        <v>1680</v>
      </c>
      <c r="I118" s="12">
        <f>IF(K118="","",INDEX(Calcule!$AI$6:$AI$40,K118))</f>
        <v>1600</v>
      </c>
      <c r="J118" s="12">
        <f>IF(K118="","",INDEX(Calcule!$U$6:$U$40,K118))</f>
        <v>1078.5070785070784</v>
      </c>
      <c r="K118" s="72">
        <f>IFERROR(IF(A118&lt;=INDEX(Perioade!$D$6:$D$40,MATCH(A118,Perioade!$C$6:$C$40,1)),MATCH(A118,Perioade!$C$6:$C$40,1),""),"")</f>
        <v>6</v>
      </c>
    </row>
    <row r="119" spans="1:11" x14ac:dyDescent="0.2">
      <c r="A119" s="61">
        <f t="shared" si="2"/>
        <v>46434</v>
      </c>
      <c r="B119" s="71" t="str">
        <f t="shared" si="3"/>
        <v>Ma</v>
      </c>
      <c r="C119" t="str">
        <f>IF(K119="","⚠ fără perioadă",INDEX(Perioade!$A$6:$A$40,K119))</f>
        <v>Vacanta-schi-2027</v>
      </c>
      <c r="D119" s="71">
        <f>IF(K119="","",INDEX(Calcule!$C$6:$C$40,K119))</f>
        <v>2</v>
      </c>
      <c r="E119" s="71" t="str">
        <f>IF(K119="","",INDEX(Calcule!$B$6:$B$40,K119))</f>
        <v>Standard</v>
      </c>
      <c r="F119" s="12">
        <f>IF(K119="","",INDEX(Calcule!$R$6:$R$40,K119))</f>
        <v>1450</v>
      </c>
      <c r="G119" s="12">
        <f>IF(K119="","",INDEX(Calcule!$Y$6:$Y$40,K119))</f>
        <v>1870</v>
      </c>
      <c r="H119" s="12">
        <f>IF(K119="","",INDEX(Calcule!$AE$6:$AE$40,K119))</f>
        <v>1680</v>
      </c>
      <c r="I119" s="12">
        <f>IF(K119="","",INDEX(Calcule!$AI$6:$AI$40,K119))</f>
        <v>1600</v>
      </c>
      <c r="J119" s="12">
        <f>IF(K119="","",INDEX(Calcule!$U$6:$U$40,K119))</f>
        <v>1078.5070785070784</v>
      </c>
      <c r="K119" s="72">
        <f>IFERROR(IF(A119&lt;=INDEX(Perioade!$D$6:$D$40,MATCH(A119,Perioade!$C$6:$C$40,1)),MATCH(A119,Perioade!$C$6:$C$40,1),""),"")</f>
        <v>6</v>
      </c>
    </row>
    <row r="120" spans="1:11" x14ac:dyDescent="0.2">
      <c r="A120" s="61">
        <f t="shared" si="2"/>
        <v>46435</v>
      </c>
      <c r="B120" s="71" t="str">
        <f t="shared" si="3"/>
        <v>Mi</v>
      </c>
      <c r="C120" t="str">
        <f>IF(K120="","⚠ fără perioadă",INDEX(Perioade!$A$6:$A$40,K120))</f>
        <v>Vacanta-schi-2027</v>
      </c>
      <c r="D120" s="71">
        <f>IF(K120="","",INDEX(Calcule!$C$6:$C$40,K120))</f>
        <v>2</v>
      </c>
      <c r="E120" s="71" t="str">
        <f>IF(K120="","",INDEX(Calcule!$B$6:$B$40,K120))</f>
        <v>Standard</v>
      </c>
      <c r="F120" s="12">
        <f>IF(K120="","",INDEX(Calcule!$R$6:$R$40,K120))</f>
        <v>1450</v>
      </c>
      <c r="G120" s="12">
        <f>IF(K120="","",INDEX(Calcule!$Y$6:$Y$40,K120))</f>
        <v>1870</v>
      </c>
      <c r="H120" s="12">
        <f>IF(K120="","",INDEX(Calcule!$AE$6:$AE$40,K120))</f>
        <v>1680</v>
      </c>
      <c r="I120" s="12">
        <f>IF(K120="","",INDEX(Calcule!$AI$6:$AI$40,K120))</f>
        <v>1600</v>
      </c>
      <c r="J120" s="12">
        <f>IF(K120="","",INDEX(Calcule!$U$6:$U$40,K120))</f>
        <v>1078.5070785070784</v>
      </c>
      <c r="K120" s="72">
        <f>IFERROR(IF(A120&lt;=INDEX(Perioade!$D$6:$D$40,MATCH(A120,Perioade!$C$6:$C$40,1)),MATCH(A120,Perioade!$C$6:$C$40,1),""),"")</f>
        <v>6</v>
      </c>
    </row>
    <row r="121" spans="1:11" x14ac:dyDescent="0.2">
      <c r="A121" s="61">
        <f t="shared" si="2"/>
        <v>46436</v>
      </c>
      <c r="B121" s="71" t="str">
        <f t="shared" si="3"/>
        <v>Jo</v>
      </c>
      <c r="C121" t="str">
        <f>IF(K121="","⚠ fără perioadă",INDEX(Perioade!$A$6:$A$40,K121))</f>
        <v>Vacanta-schi-2027</v>
      </c>
      <c r="D121" s="71">
        <f>IF(K121="","",INDEX(Calcule!$C$6:$C$40,K121))</f>
        <v>2</v>
      </c>
      <c r="E121" s="71" t="str">
        <f>IF(K121="","",INDEX(Calcule!$B$6:$B$40,K121))</f>
        <v>Standard</v>
      </c>
      <c r="F121" s="12">
        <f>IF(K121="","",INDEX(Calcule!$R$6:$R$40,K121))</f>
        <v>1450</v>
      </c>
      <c r="G121" s="12">
        <f>IF(K121="","",INDEX(Calcule!$Y$6:$Y$40,K121))</f>
        <v>1870</v>
      </c>
      <c r="H121" s="12">
        <f>IF(K121="","",INDEX(Calcule!$AE$6:$AE$40,K121))</f>
        <v>1680</v>
      </c>
      <c r="I121" s="12">
        <f>IF(K121="","",INDEX(Calcule!$AI$6:$AI$40,K121))</f>
        <v>1600</v>
      </c>
      <c r="J121" s="12">
        <f>IF(K121="","",INDEX(Calcule!$U$6:$U$40,K121))</f>
        <v>1078.5070785070784</v>
      </c>
      <c r="K121" s="72">
        <f>IFERROR(IF(A121&lt;=INDEX(Perioade!$D$6:$D$40,MATCH(A121,Perioade!$C$6:$C$40,1)),MATCH(A121,Perioade!$C$6:$C$40,1),""),"")</f>
        <v>6</v>
      </c>
    </row>
    <row r="122" spans="1:11" x14ac:dyDescent="0.2">
      <c r="A122" s="61">
        <f t="shared" si="2"/>
        <v>46437</v>
      </c>
      <c r="B122" s="71" t="str">
        <f t="shared" si="3"/>
        <v>Vi</v>
      </c>
      <c r="C122" t="str">
        <f>IF(K122="","⚠ fără perioadă",INDEX(Perioade!$A$6:$A$40,K122))</f>
        <v>Vacanta-schi-2027</v>
      </c>
      <c r="D122" s="71">
        <f>IF(K122="","",INDEX(Calcule!$C$6:$C$40,K122))</f>
        <v>2</v>
      </c>
      <c r="E122" s="71" t="str">
        <f>IF(K122="","",INDEX(Calcule!$B$6:$B$40,K122))</f>
        <v>Standard</v>
      </c>
      <c r="F122" s="12">
        <f>IF(K122="","",INDEX(Calcule!$R$6:$R$40,K122))</f>
        <v>1450</v>
      </c>
      <c r="G122" s="12">
        <f>IF(K122="","",INDEX(Calcule!$Y$6:$Y$40,K122))</f>
        <v>1870</v>
      </c>
      <c r="H122" s="12">
        <f>IF(K122="","",INDEX(Calcule!$AE$6:$AE$40,K122))</f>
        <v>1680</v>
      </c>
      <c r="I122" s="12">
        <f>IF(K122="","",INDEX(Calcule!$AI$6:$AI$40,K122))</f>
        <v>1600</v>
      </c>
      <c r="J122" s="12">
        <f>IF(K122="","",INDEX(Calcule!$U$6:$U$40,K122))</f>
        <v>1078.5070785070784</v>
      </c>
      <c r="K122" s="72">
        <f>IFERROR(IF(A122&lt;=INDEX(Perioade!$D$6:$D$40,MATCH(A122,Perioade!$C$6:$C$40,1)),MATCH(A122,Perioade!$C$6:$C$40,1),""),"")</f>
        <v>6</v>
      </c>
    </row>
    <row r="123" spans="1:11" x14ac:dyDescent="0.2">
      <c r="A123" s="61">
        <f t="shared" si="2"/>
        <v>46438</v>
      </c>
      <c r="B123" s="71" t="str">
        <f t="shared" si="3"/>
        <v>Sâ</v>
      </c>
      <c r="C123" t="str">
        <f>IF(K123="","⚠ fără perioadă",INDEX(Perioade!$A$6:$A$40,K123))</f>
        <v>Vacanta-schi-2027</v>
      </c>
      <c r="D123" s="71">
        <f>IF(K123="","",INDEX(Calcule!$C$6:$C$40,K123))</f>
        <v>2</v>
      </c>
      <c r="E123" s="71" t="str">
        <f>IF(K123="","",INDEX(Calcule!$B$6:$B$40,K123))</f>
        <v>Standard</v>
      </c>
      <c r="F123" s="12">
        <f>IF(K123="","",INDEX(Calcule!$R$6:$R$40,K123))</f>
        <v>1450</v>
      </c>
      <c r="G123" s="12">
        <f>IF(K123="","",INDEX(Calcule!$Y$6:$Y$40,K123))</f>
        <v>1870</v>
      </c>
      <c r="H123" s="12">
        <f>IF(K123="","",INDEX(Calcule!$AE$6:$AE$40,K123))</f>
        <v>1680</v>
      </c>
      <c r="I123" s="12">
        <f>IF(K123="","",INDEX(Calcule!$AI$6:$AI$40,K123))</f>
        <v>1600</v>
      </c>
      <c r="J123" s="12">
        <f>IF(K123="","",INDEX(Calcule!$U$6:$U$40,K123))</f>
        <v>1078.5070785070784</v>
      </c>
      <c r="K123" s="72">
        <f>IFERROR(IF(A123&lt;=INDEX(Perioade!$D$6:$D$40,MATCH(A123,Perioade!$C$6:$C$40,1)),MATCH(A123,Perioade!$C$6:$C$40,1),""),"")</f>
        <v>6</v>
      </c>
    </row>
    <row r="124" spans="1:11" x14ac:dyDescent="0.2">
      <c r="A124" s="61">
        <f t="shared" si="2"/>
        <v>46439</v>
      </c>
      <c r="B124" s="71" t="str">
        <f t="shared" si="3"/>
        <v>Du</v>
      </c>
      <c r="C124" t="str">
        <f>IF(K124="","⚠ fără perioadă",INDEX(Perioade!$A$6:$A$40,K124))</f>
        <v>Vacanta-schi-2027</v>
      </c>
      <c r="D124" s="71">
        <f>IF(K124="","",INDEX(Calcule!$C$6:$C$40,K124))</f>
        <v>2</v>
      </c>
      <c r="E124" s="71" t="str">
        <f>IF(K124="","",INDEX(Calcule!$B$6:$B$40,K124))</f>
        <v>Standard</v>
      </c>
      <c r="F124" s="12">
        <f>IF(K124="","",INDEX(Calcule!$R$6:$R$40,K124))</f>
        <v>1450</v>
      </c>
      <c r="G124" s="12">
        <f>IF(K124="","",INDEX(Calcule!$Y$6:$Y$40,K124))</f>
        <v>1870</v>
      </c>
      <c r="H124" s="12">
        <f>IF(K124="","",INDEX(Calcule!$AE$6:$AE$40,K124))</f>
        <v>1680</v>
      </c>
      <c r="I124" s="12">
        <f>IF(K124="","",INDEX(Calcule!$AI$6:$AI$40,K124))</f>
        <v>1600</v>
      </c>
      <c r="J124" s="12">
        <f>IF(K124="","",INDEX(Calcule!$U$6:$U$40,K124))</f>
        <v>1078.5070785070784</v>
      </c>
      <c r="K124" s="72">
        <f>IFERROR(IF(A124&lt;=INDEX(Perioade!$D$6:$D$40,MATCH(A124,Perioade!$C$6:$C$40,1)),MATCH(A124,Perioade!$C$6:$C$40,1),""),"")</f>
        <v>6</v>
      </c>
    </row>
    <row r="125" spans="1:11" x14ac:dyDescent="0.2">
      <c r="A125" s="61">
        <f t="shared" si="2"/>
        <v>46440</v>
      </c>
      <c r="B125" s="71" t="str">
        <f t="shared" si="3"/>
        <v>Lu</v>
      </c>
      <c r="C125" t="str">
        <f>IF(K125="","⚠ fără perioadă",INDEX(Perioade!$A$6:$A$40,K125))</f>
        <v>Vacanta-schi-2027</v>
      </c>
      <c r="D125" s="71">
        <f>IF(K125="","",INDEX(Calcule!$C$6:$C$40,K125))</f>
        <v>2</v>
      </c>
      <c r="E125" s="71" t="str">
        <f>IF(K125="","",INDEX(Calcule!$B$6:$B$40,K125))</f>
        <v>Standard</v>
      </c>
      <c r="F125" s="12">
        <f>IF(K125="","",INDEX(Calcule!$R$6:$R$40,K125))</f>
        <v>1450</v>
      </c>
      <c r="G125" s="12">
        <f>IF(K125="","",INDEX(Calcule!$Y$6:$Y$40,K125))</f>
        <v>1870</v>
      </c>
      <c r="H125" s="12">
        <f>IF(K125="","",INDEX(Calcule!$AE$6:$AE$40,K125))</f>
        <v>1680</v>
      </c>
      <c r="I125" s="12">
        <f>IF(K125="","",INDEX(Calcule!$AI$6:$AI$40,K125))</f>
        <v>1600</v>
      </c>
      <c r="J125" s="12">
        <f>IF(K125="","",INDEX(Calcule!$U$6:$U$40,K125))</f>
        <v>1078.5070785070784</v>
      </c>
      <c r="K125" s="72">
        <f>IFERROR(IF(A125&lt;=INDEX(Perioade!$D$6:$D$40,MATCH(A125,Perioade!$C$6:$C$40,1)),MATCH(A125,Perioade!$C$6:$C$40,1),""),"")</f>
        <v>6</v>
      </c>
    </row>
    <row r="126" spans="1:11" x14ac:dyDescent="0.2">
      <c r="A126" s="61">
        <f t="shared" si="2"/>
        <v>46441</v>
      </c>
      <c r="B126" s="71" t="str">
        <f t="shared" si="3"/>
        <v>Ma</v>
      </c>
      <c r="C126" t="str">
        <f>IF(K126="","⚠ fără perioadă",INDEX(Perioade!$A$6:$A$40,K126))</f>
        <v>Vacanta-schi-2027</v>
      </c>
      <c r="D126" s="71">
        <f>IF(K126="","",INDEX(Calcule!$C$6:$C$40,K126))</f>
        <v>2</v>
      </c>
      <c r="E126" s="71" t="str">
        <f>IF(K126="","",INDEX(Calcule!$B$6:$B$40,K126))</f>
        <v>Standard</v>
      </c>
      <c r="F126" s="12">
        <f>IF(K126="","",INDEX(Calcule!$R$6:$R$40,K126))</f>
        <v>1450</v>
      </c>
      <c r="G126" s="12">
        <f>IF(K126="","",INDEX(Calcule!$Y$6:$Y$40,K126))</f>
        <v>1870</v>
      </c>
      <c r="H126" s="12">
        <f>IF(K126="","",INDEX(Calcule!$AE$6:$AE$40,K126))</f>
        <v>1680</v>
      </c>
      <c r="I126" s="12">
        <f>IF(K126="","",INDEX(Calcule!$AI$6:$AI$40,K126))</f>
        <v>1600</v>
      </c>
      <c r="J126" s="12">
        <f>IF(K126="","",INDEX(Calcule!$U$6:$U$40,K126))</f>
        <v>1078.5070785070784</v>
      </c>
      <c r="K126" s="72">
        <f>IFERROR(IF(A126&lt;=INDEX(Perioade!$D$6:$D$40,MATCH(A126,Perioade!$C$6:$C$40,1)),MATCH(A126,Perioade!$C$6:$C$40,1),""),"")</f>
        <v>6</v>
      </c>
    </row>
    <row r="127" spans="1:11" x14ac:dyDescent="0.2">
      <c r="A127" s="61">
        <f t="shared" si="2"/>
        <v>46442</v>
      </c>
      <c r="B127" s="71" t="str">
        <f t="shared" si="3"/>
        <v>Mi</v>
      </c>
      <c r="C127" t="str">
        <f>IF(K127="","⚠ fără perioadă",INDEX(Perioade!$A$6:$A$40,K127))</f>
        <v>Vacanta-schi-2027</v>
      </c>
      <c r="D127" s="71">
        <f>IF(K127="","",INDEX(Calcule!$C$6:$C$40,K127))</f>
        <v>2</v>
      </c>
      <c r="E127" s="71" t="str">
        <f>IF(K127="","",INDEX(Calcule!$B$6:$B$40,K127))</f>
        <v>Standard</v>
      </c>
      <c r="F127" s="12">
        <f>IF(K127="","",INDEX(Calcule!$R$6:$R$40,K127))</f>
        <v>1450</v>
      </c>
      <c r="G127" s="12">
        <f>IF(K127="","",INDEX(Calcule!$Y$6:$Y$40,K127))</f>
        <v>1870</v>
      </c>
      <c r="H127" s="12">
        <f>IF(K127="","",INDEX(Calcule!$AE$6:$AE$40,K127))</f>
        <v>1680</v>
      </c>
      <c r="I127" s="12">
        <f>IF(K127="","",INDEX(Calcule!$AI$6:$AI$40,K127))</f>
        <v>1600</v>
      </c>
      <c r="J127" s="12">
        <f>IF(K127="","",INDEX(Calcule!$U$6:$U$40,K127))</f>
        <v>1078.5070785070784</v>
      </c>
      <c r="K127" s="72">
        <f>IFERROR(IF(A127&lt;=INDEX(Perioade!$D$6:$D$40,MATCH(A127,Perioade!$C$6:$C$40,1)),MATCH(A127,Perioade!$C$6:$C$40,1),""),"")</f>
        <v>6</v>
      </c>
    </row>
    <row r="128" spans="1:11" x14ac:dyDescent="0.2">
      <c r="A128" s="61">
        <f t="shared" si="2"/>
        <v>46443</v>
      </c>
      <c r="B128" s="71" t="str">
        <f t="shared" si="3"/>
        <v>Jo</v>
      </c>
      <c r="C128" t="str">
        <f>IF(K128="","⚠ fără perioadă",INDEX(Perioade!$A$6:$A$40,K128))</f>
        <v>Vacanta-schi-2027</v>
      </c>
      <c r="D128" s="71">
        <f>IF(K128="","",INDEX(Calcule!$C$6:$C$40,K128))</f>
        <v>2</v>
      </c>
      <c r="E128" s="71" t="str">
        <f>IF(K128="","",INDEX(Calcule!$B$6:$B$40,K128))</f>
        <v>Standard</v>
      </c>
      <c r="F128" s="12">
        <f>IF(K128="","",INDEX(Calcule!$R$6:$R$40,K128))</f>
        <v>1450</v>
      </c>
      <c r="G128" s="12">
        <f>IF(K128="","",INDEX(Calcule!$Y$6:$Y$40,K128))</f>
        <v>1870</v>
      </c>
      <c r="H128" s="12">
        <f>IF(K128="","",INDEX(Calcule!$AE$6:$AE$40,K128))</f>
        <v>1680</v>
      </c>
      <c r="I128" s="12">
        <f>IF(K128="","",INDEX(Calcule!$AI$6:$AI$40,K128))</f>
        <v>1600</v>
      </c>
      <c r="J128" s="12">
        <f>IF(K128="","",INDEX(Calcule!$U$6:$U$40,K128))</f>
        <v>1078.5070785070784</v>
      </c>
      <c r="K128" s="72">
        <f>IFERROR(IF(A128&lt;=INDEX(Perioade!$D$6:$D$40,MATCH(A128,Perioade!$C$6:$C$40,1)),MATCH(A128,Perioade!$C$6:$C$40,1),""),"")</f>
        <v>6</v>
      </c>
    </row>
    <row r="129" spans="1:11" x14ac:dyDescent="0.2">
      <c r="A129" s="61">
        <f t="shared" si="2"/>
        <v>46444</v>
      </c>
      <c r="B129" s="71" t="str">
        <f t="shared" si="3"/>
        <v>Vi</v>
      </c>
      <c r="C129" t="str">
        <f>IF(K129="","⚠ fără perioadă",INDEX(Perioade!$A$6:$A$40,K129))</f>
        <v>Vacanta-schi-2027</v>
      </c>
      <c r="D129" s="71">
        <f>IF(K129="","",INDEX(Calcule!$C$6:$C$40,K129))</f>
        <v>2</v>
      </c>
      <c r="E129" s="71" t="str">
        <f>IF(K129="","",INDEX(Calcule!$B$6:$B$40,K129))</f>
        <v>Standard</v>
      </c>
      <c r="F129" s="12">
        <f>IF(K129="","",INDEX(Calcule!$R$6:$R$40,K129))</f>
        <v>1450</v>
      </c>
      <c r="G129" s="12">
        <f>IF(K129="","",INDEX(Calcule!$Y$6:$Y$40,K129))</f>
        <v>1870</v>
      </c>
      <c r="H129" s="12">
        <f>IF(K129="","",INDEX(Calcule!$AE$6:$AE$40,K129))</f>
        <v>1680</v>
      </c>
      <c r="I129" s="12">
        <f>IF(K129="","",INDEX(Calcule!$AI$6:$AI$40,K129))</f>
        <v>1600</v>
      </c>
      <c r="J129" s="12">
        <f>IF(K129="","",INDEX(Calcule!$U$6:$U$40,K129))</f>
        <v>1078.5070785070784</v>
      </c>
      <c r="K129" s="72">
        <f>IFERROR(IF(A129&lt;=INDEX(Perioade!$D$6:$D$40,MATCH(A129,Perioade!$C$6:$C$40,1)),MATCH(A129,Perioade!$C$6:$C$40,1),""),"")</f>
        <v>6</v>
      </c>
    </row>
    <row r="130" spans="1:11" x14ac:dyDescent="0.2">
      <c r="A130" s="61">
        <f t="shared" si="2"/>
        <v>46445</v>
      </c>
      <c r="B130" s="71" t="str">
        <f t="shared" si="3"/>
        <v>Sâ</v>
      </c>
      <c r="C130" t="str">
        <f>IF(K130="","⚠ fără perioadă",INDEX(Perioade!$A$6:$A$40,K130))</f>
        <v>Vacanta-schi-2027</v>
      </c>
      <c r="D130" s="71">
        <f>IF(K130="","",INDEX(Calcule!$C$6:$C$40,K130))</f>
        <v>2</v>
      </c>
      <c r="E130" s="71" t="str">
        <f>IF(K130="","",INDEX(Calcule!$B$6:$B$40,K130))</f>
        <v>Standard</v>
      </c>
      <c r="F130" s="12">
        <f>IF(K130="","",INDEX(Calcule!$R$6:$R$40,K130))</f>
        <v>1450</v>
      </c>
      <c r="G130" s="12">
        <f>IF(K130="","",INDEX(Calcule!$Y$6:$Y$40,K130))</f>
        <v>1870</v>
      </c>
      <c r="H130" s="12">
        <f>IF(K130="","",INDEX(Calcule!$AE$6:$AE$40,K130))</f>
        <v>1680</v>
      </c>
      <c r="I130" s="12">
        <f>IF(K130="","",INDEX(Calcule!$AI$6:$AI$40,K130))</f>
        <v>1600</v>
      </c>
      <c r="J130" s="12">
        <f>IF(K130="","",INDEX(Calcule!$U$6:$U$40,K130))</f>
        <v>1078.5070785070784</v>
      </c>
      <c r="K130" s="72">
        <f>IFERROR(IF(A130&lt;=INDEX(Perioade!$D$6:$D$40,MATCH(A130,Perioade!$C$6:$C$40,1)),MATCH(A130,Perioade!$C$6:$C$40,1),""),"")</f>
        <v>6</v>
      </c>
    </row>
    <row r="131" spans="1:11" x14ac:dyDescent="0.2">
      <c r="A131" s="61">
        <f t="shared" si="2"/>
        <v>46446</v>
      </c>
      <c r="B131" s="71" t="str">
        <f t="shared" si="3"/>
        <v>Du</v>
      </c>
      <c r="C131" t="str">
        <f>IF(K131="","⚠ fără perioadă",INDEX(Perioade!$A$6:$A$40,K131))</f>
        <v>Vacanta-schi-2027</v>
      </c>
      <c r="D131" s="71">
        <f>IF(K131="","",INDEX(Calcule!$C$6:$C$40,K131))</f>
        <v>2</v>
      </c>
      <c r="E131" s="71" t="str">
        <f>IF(K131="","",INDEX(Calcule!$B$6:$B$40,K131))</f>
        <v>Standard</v>
      </c>
      <c r="F131" s="12">
        <f>IF(K131="","",INDEX(Calcule!$R$6:$R$40,K131))</f>
        <v>1450</v>
      </c>
      <c r="G131" s="12">
        <f>IF(K131="","",INDEX(Calcule!$Y$6:$Y$40,K131))</f>
        <v>1870</v>
      </c>
      <c r="H131" s="12">
        <f>IF(K131="","",INDEX(Calcule!$AE$6:$AE$40,K131))</f>
        <v>1680</v>
      </c>
      <c r="I131" s="12">
        <f>IF(K131="","",INDEX(Calcule!$AI$6:$AI$40,K131))</f>
        <v>1600</v>
      </c>
      <c r="J131" s="12">
        <f>IF(K131="","",INDEX(Calcule!$U$6:$U$40,K131))</f>
        <v>1078.5070785070784</v>
      </c>
      <c r="K131" s="72">
        <f>IFERROR(IF(A131&lt;=INDEX(Perioade!$D$6:$D$40,MATCH(A131,Perioade!$C$6:$C$40,1)),MATCH(A131,Perioade!$C$6:$C$40,1),""),"")</f>
        <v>6</v>
      </c>
    </row>
    <row r="132" spans="1:11" x14ac:dyDescent="0.2">
      <c r="A132" s="61">
        <f t="shared" si="2"/>
        <v>46447</v>
      </c>
      <c r="B132" s="71" t="str">
        <f t="shared" si="3"/>
        <v>Lu</v>
      </c>
      <c r="C132" t="str">
        <f>IF(K132="","⚠ fără perioadă",INDEX(Perioade!$A$6:$A$40,K132))</f>
        <v>Vacanta-schi-2027</v>
      </c>
      <c r="D132" s="71">
        <f>IF(K132="","",INDEX(Calcule!$C$6:$C$40,K132))</f>
        <v>2</v>
      </c>
      <c r="E132" s="71" t="str">
        <f>IF(K132="","",INDEX(Calcule!$B$6:$B$40,K132))</f>
        <v>Standard</v>
      </c>
      <c r="F132" s="12">
        <f>IF(K132="","",INDEX(Calcule!$R$6:$R$40,K132))</f>
        <v>1450</v>
      </c>
      <c r="G132" s="12">
        <f>IF(K132="","",INDEX(Calcule!$Y$6:$Y$40,K132))</f>
        <v>1870</v>
      </c>
      <c r="H132" s="12">
        <f>IF(K132="","",INDEX(Calcule!$AE$6:$AE$40,K132))</f>
        <v>1680</v>
      </c>
      <c r="I132" s="12">
        <f>IF(K132="","",INDEX(Calcule!$AI$6:$AI$40,K132))</f>
        <v>1600</v>
      </c>
      <c r="J132" s="12">
        <f>IF(K132="","",INDEX(Calcule!$U$6:$U$40,K132))</f>
        <v>1078.5070785070784</v>
      </c>
      <c r="K132" s="72">
        <f>IFERROR(IF(A132&lt;=INDEX(Perioade!$D$6:$D$40,MATCH(A132,Perioade!$C$6:$C$40,1)),MATCH(A132,Perioade!$C$6:$C$40,1),""),"")</f>
        <v>6</v>
      </c>
    </row>
    <row r="133" spans="1:11" x14ac:dyDescent="0.2">
      <c r="A133" s="61">
        <f t="shared" ref="A133:A196" si="4">$B$2+ROW()-5</f>
        <v>46448</v>
      </c>
      <c r="B133" s="71" t="str">
        <f t="shared" ref="B133:B196" si="5">CHOOSE(WEEKDAY(A133,2),"Lu","Ma","Mi","Jo","Vi","Sâ","Du")</f>
        <v>Ma</v>
      </c>
      <c r="C133" t="str">
        <f>IF(K133="","⚠ fără perioadă",INDEX(Perioade!$A$6:$A$40,K133))</f>
        <v>Vacanta-schi-2027</v>
      </c>
      <c r="D133" s="71">
        <f>IF(K133="","",INDEX(Calcule!$C$6:$C$40,K133))</f>
        <v>2</v>
      </c>
      <c r="E133" s="71" t="str">
        <f>IF(K133="","",INDEX(Calcule!$B$6:$B$40,K133))</f>
        <v>Standard</v>
      </c>
      <c r="F133" s="12">
        <f>IF(K133="","",INDEX(Calcule!$R$6:$R$40,K133))</f>
        <v>1450</v>
      </c>
      <c r="G133" s="12">
        <f>IF(K133="","",INDEX(Calcule!$Y$6:$Y$40,K133))</f>
        <v>1870</v>
      </c>
      <c r="H133" s="12">
        <f>IF(K133="","",INDEX(Calcule!$AE$6:$AE$40,K133))</f>
        <v>1680</v>
      </c>
      <c r="I133" s="12">
        <f>IF(K133="","",INDEX(Calcule!$AI$6:$AI$40,K133))</f>
        <v>1600</v>
      </c>
      <c r="J133" s="12">
        <f>IF(K133="","",INDEX(Calcule!$U$6:$U$40,K133))</f>
        <v>1078.5070785070784</v>
      </c>
      <c r="K133" s="72">
        <f>IFERROR(IF(A133&lt;=INDEX(Perioade!$D$6:$D$40,MATCH(A133,Perioade!$C$6:$C$40,1)),MATCH(A133,Perioade!$C$6:$C$40,1),""),"")</f>
        <v>6</v>
      </c>
    </row>
    <row r="134" spans="1:11" x14ac:dyDescent="0.2">
      <c r="A134" s="61">
        <f t="shared" si="4"/>
        <v>46449</v>
      </c>
      <c r="B134" s="71" t="str">
        <f t="shared" si="5"/>
        <v>Mi</v>
      </c>
      <c r="C134" t="str">
        <f>IF(K134="","⚠ fără perioadă",INDEX(Perioade!$A$6:$A$40,K134))</f>
        <v>Vacanta-schi-2027</v>
      </c>
      <c r="D134" s="71">
        <f>IF(K134="","",INDEX(Calcule!$C$6:$C$40,K134))</f>
        <v>2</v>
      </c>
      <c r="E134" s="71" t="str">
        <f>IF(K134="","",INDEX(Calcule!$B$6:$B$40,K134))</f>
        <v>Standard</v>
      </c>
      <c r="F134" s="12">
        <f>IF(K134="","",INDEX(Calcule!$R$6:$R$40,K134))</f>
        <v>1450</v>
      </c>
      <c r="G134" s="12">
        <f>IF(K134="","",INDEX(Calcule!$Y$6:$Y$40,K134))</f>
        <v>1870</v>
      </c>
      <c r="H134" s="12">
        <f>IF(K134="","",INDEX(Calcule!$AE$6:$AE$40,K134))</f>
        <v>1680</v>
      </c>
      <c r="I134" s="12">
        <f>IF(K134="","",INDEX(Calcule!$AI$6:$AI$40,K134))</f>
        <v>1600</v>
      </c>
      <c r="J134" s="12">
        <f>IF(K134="","",INDEX(Calcule!$U$6:$U$40,K134))</f>
        <v>1078.5070785070784</v>
      </c>
      <c r="K134" s="72">
        <f>IFERROR(IF(A134&lt;=INDEX(Perioade!$D$6:$D$40,MATCH(A134,Perioade!$C$6:$C$40,1)),MATCH(A134,Perioade!$C$6:$C$40,1),""),"")</f>
        <v>6</v>
      </c>
    </row>
    <row r="135" spans="1:11" x14ac:dyDescent="0.2">
      <c r="A135" s="61">
        <f t="shared" si="4"/>
        <v>46450</v>
      </c>
      <c r="B135" s="71" t="str">
        <f t="shared" si="5"/>
        <v>Jo</v>
      </c>
      <c r="C135" t="str">
        <f>IF(K135="","⚠ fără perioadă",INDEX(Perioade!$A$6:$A$40,K135))</f>
        <v>Vacanta-schi-2027</v>
      </c>
      <c r="D135" s="71">
        <f>IF(K135="","",INDEX(Calcule!$C$6:$C$40,K135))</f>
        <v>2</v>
      </c>
      <c r="E135" s="71" t="str">
        <f>IF(K135="","",INDEX(Calcule!$B$6:$B$40,K135))</f>
        <v>Standard</v>
      </c>
      <c r="F135" s="12">
        <f>IF(K135="","",INDEX(Calcule!$R$6:$R$40,K135))</f>
        <v>1450</v>
      </c>
      <c r="G135" s="12">
        <f>IF(K135="","",INDEX(Calcule!$Y$6:$Y$40,K135))</f>
        <v>1870</v>
      </c>
      <c r="H135" s="12">
        <f>IF(K135="","",INDEX(Calcule!$AE$6:$AE$40,K135))</f>
        <v>1680</v>
      </c>
      <c r="I135" s="12">
        <f>IF(K135="","",INDEX(Calcule!$AI$6:$AI$40,K135))</f>
        <v>1600</v>
      </c>
      <c r="J135" s="12">
        <f>IF(K135="","",INDEX(Calcule!$U$6:$U$40,K135))</f>
        <v>1078.5070785070784</v>
      </c>
      <c r="K135" s="72">
        <f>IFERROR(IF(A135&lt;=INDEX(Perioade!$D$6:$D$40,MATCH(A135,Perioade!$C$6:$C$40,1)),MATCH(A135,Perioade!$C$6:$C$40,1),""),"")</f>
        <v>6</v>
      </c>
    </row>
    <row r="136" spans="1:11" x14ac:dyDescent="0.2">
      <c r="A136" s="61">
        <f t="shared" si="4"/>
        <v>46451</v>
      </c>
      <c r="B136" s="71" t="str">
        <f t="shared" si="5"/>
        <v>Vi</v>
      </c>
      <c r="C136" t="str">
        <f>IF(K136="","⚠ fără perioadă",INDEX(Perioade!$A$6:$A$40,K136))</f>
        <v>Vacanta-schi-2027</v>
      </c>
      <c r="D136" s="71">
        <f>IF(K136="","",INDEX(Calcule!$C$6:$C$40,K136))</f>
        <v>2</v>
      </c>
      <c r="E136" s="71" t="str">
        <f>IF(K136="","",INDEX(Calcule!$B$6:$B$40,K136))</f>
        <v>Standard</v>
      </c>
      <c r="F136" s="12">
        <f>IF(K136="","",INDEX(Calcule!$R$6:$R$40,K136))</f>
        <v>1450</v>
      </c>
      <c r="G136" s="12">
        <f>IF(K136="","",INDEX(Calcule!$Y$6:$Y$40,K136))</f>
        <v>1870</v>
      </c>
      <c r="H136" s="12">
        <f>IF(K136="","",INDEX(Calcule!$AE$6:$AE$40,K136))</f>
        <v>1680</v>
      </c>
      <c r="I136" s="12">
        <f>IF(K136="","",INDEX(Calcule!$AI$6:$AI$40,K136))</f>
        <v>1600</v>
      </c>
      <c r="J136" s="12">
        <f>IF(K136="","",INDEX(Calcule!$U$6:$U$40,K136))</f>
        <v>1078.5070785070784</v>
      </c>
      <c r="K136" s="72">
        <f>IFERROR(IF(A136&lt;=INDEX(Perioade!$D$6:$D$40,MATCH(A136,Perioade!$C$6:$C$40,1)),MATCH(A136,Perioade!$C$6:$C$40,1),""),"")</f>
        <v>6</v>
      </c>
    </row>
    <row r="137" spans="1:11" x14ac:dyDescent="0.2">
      <c r="A137" s="61">
        <f t="shared" si="4"/>
        <v>46452</v>
      </c>
      <c r="B137" s="71" t="str">
        <f t="shared" si="5"/>
        <v>Sâ</v>
      </c>
      <c r="C137" t="str">
        <f>IF(K137="","⚠ fără perioadă",INDEX(Perioade!$A$6:$A$40,K137))</f>
        <v>Vacanta-schi-2027</v>
      </c>
      <c r="D137" s="71">
        <f>IF(K137="","",INDEX(Calcule!$C$6:$C$40,K137))</f>
        <v>2</v>
      </c>
      <c r="E137" s="71" t="str">
        <f>IF(K137="","",INDEX(Calcule!$B$6:$B$40,K137))</f>
        <v>Standard</v>
      </c>
      <c r="F137" s="12">
        <f>IF(K137="","",INDEX(Calcule!$R$6:$R$40,K137))</f>
        <v>1450</v>
      </c>
      <c r="G137" s="12">
        <f>IF(K137="","",INDEX(Calcule!$Y$6:$Y$40,K137))</f>
        <v>1870</v>
      </c>
      <c r="H137" s="12">
        <f>IF(K137="","",INDEX(Calcule!$AE$6:$AE$40,K137))</f>
        <v>1680</v>
      </c>
      <c r="I137" s="12">
        <f>IF(K137="","",INDEX(Calcule!$AI$6:$AI$40,K137))</f>
        <v>1600</v>
      </c>
      <c r="J137" s="12">
        <f>IF(K137="","",INDEX(Calcule!$U$6:$U$40,K137))</f>
        <v>1078.5070785070784</v>
      </c>
      <c r="K137" s="72">
        <f>IFERROR(IF(A137&lt;=INDEX(Perioade!$D$6:$D$40,MATCH(A137,Perioade!$C$6:$C$40,1)),MATCH(A137,Perioade!$C$6:$C$40,1),""),"")</f>
        <v>6</v>
      </c>
    </row>
    <row r="138" spans="1:11" x14ac:dyDescent="0.2">
      <c r="A138" s="61">
        <f t="shared" si="4"/>
        <v>46453</v>
      </c>
      <c r="B138" s="71" t="str">
        <f t="shared" si="5"/>
        <v>Du</v>
      </c>
      <c r="C138" t="str">
        <f>IF(K138="","⚠ fără perioadă",INDEX(Perioade!$A$6:$A$40,K138))</f>
        <v>Vacanta-schi-2027</v>
      </c>
      <c r="D138" s="71">
        <f>IF(K138="","",INDEX(Calcule!$C$6:$C$40,K138))</f>
        <v>2</v>
      </c>
      <c r="E138" s="71" t="str">
        <f>IF(K138="","",INDEX(Calcule!$B$6:$B$40,K138))</f>
        <v>Standard</v>
      </c>
      <c r="F138" s="12">
        <f>IF(K138="","",INDEX(Calcule!$R$6:$R$40,K138))</f>
        <v>1450</v>
      </c>
      <c r="G138" s="12">
        <f>IF(K138="","",INDEX(Calcule!$Y$6:$Y$40,K138))</f>
        <v>1870</v>
      </c>
      <c r="H138" s="12">
        <f>IF(K138="","",INDEX(Calcule!$AE$6:$AE$40,K138))</f>
        <v>1680</v>
      </c>
      <c r="I138" s="12">
        <f>IF(K138="","",INDEX(Calcule!$AI$6:$AI$40,K138))</f>
        <v>1600</v>
      </c>
      <c r="J138" s="12">
        <f>IF(K138="","",INDEX(Calcule!$U$6:$U$40,K138))</f>
        <v>1078.5070785070784</v>
      </c>
      <c r="K138" s="72">
        <f>IFERROR(IF(A138&lt;=INDEX(Perioade!$D$6:$D$40,MATCH(A138,Perioade!$C$6:$C$40,1)),MATCH(A138,Perioade!$C$6:$C$40,1),""),"")</f>
        <v>6</v>
      </c>
    </row>
    <row r="139" spans="1:11" x14ac:dyDescent="0.2">
      <c r="A139" s="61">
        <f t="shared" si="4"/>
        <v>46454</v>
      </c>
      <c r="B139" s="71" t="str">
        <f t="shared" si="5"/>
        <v>Lu</v>
      </c>
      <c r="C139" t="str">
        <f>IF(K139="","⚠ fără perioadă",INDEX(Perioade!$A$6:$A$40,K139))</f>
        <v>primavara-2027</v>
      </c>
      <c r="D139" s="71">
        <f>IF(K139="","",INDEX(Calcule!$C$6:$C$40,K139))</f>
        <v>2</v>
      </c>
      <c r="E139" s="71" t="str">
        <f>IF(K139="","",INDEX(Calcule!$B$6:$B$40,K139))</f>
        <v>Standard</v>
      </c>
      <c r="F139" s="12">
        <f>IF(K139="","",INDEX(Calcule!$R$6:$R$40,K139))</f>
        <v>900</v>
      </c>
      <c r="G139" s="12">
        <f>IF(K139="","",INDEX(Calcule!$Y$6:$Y$40,K139))</f>
        <v>1160</v>
      </c>
      <c r="H139" s="12">
        <f>IF(K139="","",INDEX(Calcule!$AE$6:$AE$40,K139))</f>
        <v>1040</v>
      </c>
      <c r="I139" s="12">
        <f>IF(K139="","",INDEX(Calcule!$AI$6:$AI$40,K139))</f>
        <v>1000</v>
      </c>
      <c r="J139" s="12">
        <f>IF(K139="","",INDEX(Calcule!$U$6:$U$40,K139))</f>
        <v>653.79665379665369</v>
      </c>
      <c r="K139" s="72">
        <f>IFERROR(IF(A139&lt;=INDEX(Perioade!$D$6:$D$40,MATCH(A139,Perioade!$C$6:$C$40,1)),MATCH(A139,Perioade!$C$6:$C$40,1),""),"")</f>
        <v>7</v>
      </c>
    </row>
    <row r="140" spans="1:11" x14ac:dyDescent="0.2">
      <c r="A140" s="61">
        <f t="shared" si="4"/>
        <v>46455</v>
      </c>
      <c r="B140" s="71" t="str">
        <f t="shared" si="5"/>
        <v>Ma</v>
      </c>
      <c r="C140" t="str">
        <f>IF(K140="","⚠ fără perioadă",INDEX(Perioade!$A$6:$A$40,K140))</f>
        <v>primavara-2027</v>
      </c>
      <c r="D140" s="71">
        <f>IF(K140="","",INDEX(Calcule!$C$6:$C$40,K140))</f>
        <v>2</v>
      </c>
      <c r="E140" s="71" t="str">
        <f>IF(K140="","",INDEX(Calcule!$B$6:$B$40,K140))</f>
        <v>Standard</v>
      </c>
      <c r="F140" s="12">
        <f>IF(K140="","",INDEX(Calcule!$R$6:$R$40,K140))</f>
        <v>900</v>
      </c>
      <c r="G140" s="12">
        <f>IF(K140="","",INDEX(Calcule!$Y$6:$Y$40,K140))</f>
        <v>1160</v>
      </c>
      <c r="H140" s="12">
        <f>IF(K140="","",INDEX(Calcule!$AE$6:$AE$40,K140))</f>
        <v>1040</v>
      </c>
      <c r="I140" s="12">
        <f>IF(K140="","",INDEX(Calcule!$AI$6:$AI$40,K140))</f>
        <v>1000</v>
      </c>
      <c r="J140" s="12">
        <f>IF(K140="","",INDEX(Calcule!$U$6:$U$40,K140))</f>
        <v>653.79665379665369</v>
      </c>
      <c r="K140" s="72">
        <f>IFERROR(IF(A140&lt;=INDEX(Perioade!$D$6:$D$40,MATCH(A140,Perioade!$C$6:$C$40,1)),MATCH(A140,Perioade!$C$6:$C$40,1),""),"")</f>
        <v>7</v>
      </c>
    </row>
    <row r="141" spans="1:11" x14ac:dyDescent="0.2">
      <c r="A141" s="61">
        <f t="shared" si="4"/>
        <v>46456</v>
      </c>
      <c r="B141" s="71" t="str">
        <f t="shared" si="5"/>
        <v>Mi</v>
      </c>
      <c r="C141" t="str">
        <f>IF(K141="","⚠ fără perioadă",INDEX(Perioade!$A$6:$A$40,K141))</f>
        <v>primavara-2027</v>
      </c>
      <c r="D141" s="71">
        <f>IF(K141="","",INDEX(Calcule!$C$6:$C$40,K141))</f>
        <v>2</v>
      </c>
      <c r="E141" s="71" t="str">
        <f>IF(K141="","",INDEX(Calcule!$B$6:$B$40,K141))</f>
        <v>Standard</v>
      </c>
      <c r="F141" s="12">
        <f>IF(K141="","",INDEX(Calcule!$R$6:$R$40,K141))</f>
        <v>900</v>
      </c>
      <c r="G141" s="12">
        <f>IF(K141="","",INDEX(Calcule!$Y$6:$Y$40,K141))</f>
        <v>1160</v>
      </c>
      <c r="H141" s="12">
        <f>IF(K141="","",INDEX(Calcule!$AE$6:$AE$40,K141))</f>
        <v>1040</v>
      </c>
      <c r="I141" s="12">
        <f>IF(K141="","",INDEX(Calcule!$AI$6:$AI$40,K141))</f>
        <v>1000</v>
      </c>
      <c r="J141" s="12">
        <f>IF(K141="","",INDEX(Calcule!$U$6:$U$40,K141))</f>
        <v>653.79665379665369</v>
      </c>
      <c r="K141" s="72">
        <f>IFERROR(IF(A141&lt;=INDEX(Perioade!$D$6:$D$40,MATCH(A141,Perioade!$C$6:$C$40,1)),MATCH(A141,Perioade!$C$6:$C$40,1),""),"")</f>
        <v>7</v>
      </c>
    </row>
    <row r="142" spans="1:11" x14ac:dyDescent="0.2">
      <c r="A142" s="61">
        <f t="shared" si="4"/>
        <v>46457</v>
      </c>
      <c r="B142" s="71" t="str">
        <f t="shared" si="5"/>
        <v>Jo</v>
      </c>
      <c r="C142" t="str">
        <f>IF(K142="","⚠ fără perioadă",INDEX(Perioade!$A$6:$A$40,K142))</f>
        <v>primavara-2027</v>
      </c>
      <c r="D142" s="71">
        <f>IF(K142="","",INDEX(Calcule!$C$6:$C$40,K142))</f>
        <v>2</v>
      </c>
      <c r="E142" s="71" t="str">
        <f>IF(K142="","",INDEX(Calcule!$B$6:$B$40,K142))</f>
        <v>Standard</v>
      </c>
      <c r="F142" s="12">
        <f>IF(K142="","",INDEX(Calcule!$R$6:$R$40,K142))</f>
        <v>900</v>
      </c>
      <c r="G142" s="12">
        <f>IF(K142="","",INDEX(Calcule!$Y$6:$Y$40,K142))</f>
        <v>1160</v>
      </c>
      <c r="H142" s="12">
        <f>IF(K142="","",INDEX(Calcule!$AE$6:$AE$40,K142))</f>
        <v>1040</v>
      </c>
      <c r="I142" s="12">
        <f>IF(K142="","",INDEX(Calcule!$AI$6:$AI$40,K142))</f>
        <v>1000</v>
      </c>
      <c r="J142" s="12">
        <f>IF(K142="","",INDEX(Calcule!$U$6:$U$40,K142))</f>
        <v>653.79665379665369</v>
      </c>
      <c r="K142" s="72">
        <f>IFERROR(IF(A142&lt;=INDEX(Perioade!$D$6:$D$40,MATCH(A142,Perioade!$C$6:$C$40,1)),MATCH(A142,Perioade!$C$6:$C$40,1),""),"")</f>
        <v>7</v>
      </c>
    </row>
    <row r="143" spans="1:11" x14ac:dyDescent="0.2">
      <c r="A143" s="61">
        <f t="shared" si="4"/>
        <v>46458</v>
      </c>
      <c r="B143" s="71" t="str">
        <f t="shared" si="5"/>
        <v>Vi</v>
      </c>
      <c r="C143" t="str">
        <f>IF(K143="","⚠ fără perioadă",INDEX(Perioade!$A$6:$A$40,K143))</f>
        <v>primavara-2027</v>
      </c>
      <c r="D143" s="71">
        <f>IF(K143="","",INDEX(Calcule!$C$6:$C$40,K143))</f>
        <v>2</v>
      </c>
      <c r="E143" s="71" t="str">
        <f>IF(K143="","",INDEX(Calcule!$B$6:$B$40,K143))</f>
        <v>Standard</v>
      </c>
      <c r="F143" s="12">
        <f>IF(K143="","",INDEX(Calcule!$R$6:$R$40,K143))</f>
        <v>900</v>
      </c>
      <c r="G143" s="12">
        <f>IF(K143="","",INDEX(Calcule!$Y$6:$Y$40,K143))</f>
        <v>1160</v>
      </c>
      <c r="H143" s="12">
        <f>IF(K143="","",INDEX(Calcule!$AE$6:$AE$40,K143))</f>
        <v>1040</v>
      </c>
      <c r="I143" s="12">
        <f>IF(K143="","",INDEX(Calcule!$AI$6:$AI$40,K143))</f>
        <v>1000</v>
      </c>
      <c r="J143" s="12">
        <f>IF(K143="","",INDEX(Calcule!$U$6:$U$40,K143))</f>
        <v>653.79665379665369</v>
      </c>
      <c r="K143" s="72">
        <f>IFERROR(IF(A143&lt;=INDEX(Perioade!$D$6:$D$40,MATCH(A143,Perioade!$C$6:$C$40,1)),MATCH(A143,Perioade!$C$6:$C$40,1),""),"")</f>
        <v>7</v>
      </c>
    </row>
    <row r="144" spans="1:11" x14ac:dyDescent="0.2">
      <c r="A144" s="61">
        <f t="shared" si="4"/>
        <v>46459</v>
      </c>
      <c r="B144" s="71" t="str">
        <f t="shared" si="5"/>
        <v>Sâ</v>
      </c>
      <c r="C144" t="str">
        <f>IF(K144="","⚠ fără perioadă",INDEX(Perioade!$A$6:$A$40,K144))</f>
        <v>primavara-2027</v>
      </c>
      <c r="D144" s="71">
        <f>IF(K144="","",INDEX(Calcule!$C$6:$C$40,K144))</f>
        <v>2</v>
      </c>
      <c r="E144" s="71" t="str">
        <f>IF(K144="","",INDEX(Calcule!$B$6:$B$40,K144))</f>
        <v>Standard</v>
      </c>
      <c r="F144" s="12">
        <f>IF(K144="","",INDEX(Calcule!$R$6:$R$40,K144))</f>
        <v>900</v>
      </c>
      <c r="G144" s="12">
        <f>IF(K144="","",INDEX(Calcule!$Y$6:$Y$40,K144))</f>
        <v>1160</v>
      </c>
      <c r="H144" s="12">
        <f>IF(K144="","",INDEX(Calcule!$AE$6:$AE$40,K144))</f>
        <v>1040</v>
      </c>
      <c r="I144" s="12">
        <f>IF(K144="","",INDEX(Calcule!$AI$6:$AI$40,K144))</f>
        <v>1000</v>
      </c>
      <c r="J144" s="12">
        <f>IF(K144="","",INDEX(Calcule!$U$6:$U$40,K144))</f>
        <v>653.79665379665369</v>
      </c>
      <c r="K144" s="72">
        <f>IFERROR(IF(A144&lt;=INDEX(Perioade!$D$6:$D$40,MATCH(A144,Perioade!$C$6:$C$40,1)),MATCH(A144,Perioade!$C$6:$C$40,1),""),"")</f>
        <v>7</v>
      </c>
    </row>
    <row r="145" spans="1:11" x14ac:dyDescent="0.2">
      <c r="A145" s="61">
        <f t="shared" si="4"/>
        <v>46460</v>
      </c>
      <c r="B145" s="71" t="str">
        <f t="shared" si="5"/>
        <v>Du</v>
      </c>
      <c r="C145" t="str">
        <f>IF(K145="","⚠ fără perioadă",INDEX(Perioade!$A$6:$A$40,K145))</f>
        <v>primavara-2027</v>
      </c>
      <c r="D145" s="71">
        <f>IF(K145="","",INDEX(Calcule!$C$6:$C$40,K145))</f>
        <v>2</v>
      </c>
      <c r="E145" s="71" t="str">
        <f>IF(K145="","",INDEX(Calcule!$B$6:$B$40,K145))</f>
        <v>Standard</v>
      </c>
      <c r="F145" s="12">
        <f>IF(K145="","",INDEX(Calcule!$R$6:$R$40,K145))</f>
        <v>900</v>
      </c>
      <c r="G145" s="12">
        <f>IF(K145="","",INDEX(Calcule!$Y$6:$Y$40,K145))</f>
        <v>1160</v>
      </c>
      <c r="H145" s="12">
        <f>IF(K145="","",INDEX(Calcule!$AE$6:$AE$40,K145))</f>
        <v>1040</v>
      </c>
      <c r="I145" s="12">
        <f>IF(K145="","",INDEX(Calcule!$AI$6:$AI$40,K145))</f>
        <v>1000</v>
      </c>
      <c r="J145" s="12">
        <f>IF(K145="","",INDEX(Calcule!$U$6:$U$40,K145))</f>
        <v>653.79665379665369</v>
      </c>
      <c r="K145" s="72">
        <f>IFERROR(IF(A145&lt;=INDEX(Perioade!$D$6:$D$40,MATCH(A145,Perioade!$C$6:$C$40,1)),MATCH(A145,Perioade!$C$6:$C$40,1),""),"")</f>
        <v>7</v>
      </c>
    </row>
    <row r="146" spans="1:11" x14ac:dyDescent="0.2">
      <c r="A146" s="61">
        <f t="shared" si="4"/>
        <v>46461</v>
      </c>
      <c r="B146" s="71" t="str">
        <f t="shared" si="5"/>
        <v>Lu</v>
      </c>
      <c r="C146" t="str">
        <f>IF(K146="","⚠ fără perioadă",INDEX(Perioade!$A$6:$A$40,K146))</f>
        <v>primavara-2027</v>
      </c>
      <c r="D146" s="71">
        <f>IF(K146="","",INDEX(Calcule!$C$6:$C$40,K146))</f>
        <v>2</v>
      </c>
      <c r="E146" s="71" t="str">
        <f>IF(K146="","",INDEX(Calcule!$B$6:$B$40,K146))</f>
        <v>Standard</v>
      </c>
      <c r="F146" s="12">
        <f>IF(K146="","",INDEX(Calcule!$R$6:$R$40,K146))</f>
        <v>900</v>
      </c>
      <c r="G146" s="12">
        <f>IF(K146="","",INDEX(Calcule!$Y$6:$Y$40,K146))</f>
        <v>1160</v>
      </c>
      <c r="H146" s="12">
        <f>IF(K146="","",INDEX(Calcule!$AE$6:$AE$40,K146))</f>
        <v>1040</v>
      </c>
      <c r="I146" s="12">
        <f>IF(K146="","",INDEX(Calcule!$AI$6:$AI$40,K146))</f>
        <v>1000</v>
      </c>
      <c r="J146" s="12">
        <f>IF(K146="","",INDEX(Calcule!$U$6:$U$40,K146))</f>
        <v>653.79665379665369</v>
      </c>
      <c r="K146" s="72">
        <f>IFERROR(IF(A146&lt;=INDEX(Perioade!$D$6:$D$40,MATCH(A146,Perioade!$C$6:$C$40,1)),MATCH(A146,Perioade!$C$6:$C$40,1),""),"")</f>
        <v>7</v>
      </c>
    </row>
    <row r="147" spans="1:11" x14ac:dyDescent="0.2">
      <c r="A147" s="61">
        <f t="shared" si="4"/>
        <v>46462</v>
      </c>
      <c r="B147" s="71" t="str">
        <f t="shared" si="5"/>
        <v>Ma</v>
      </c>
      <c r="C147" t="str">
        <f>IF(K147="","⚠ fără perioadă",INDEX(Perioade!$A$6:$A$40,K147))</f>
        <v>primavara-2027</v>
      </c>
      <c r="D147" s="71">
        <f>IF(K147="","",INDEX(Calcule!$C$6:$C$40,K147))</f>
        <v>2</v>
      </c>
      <c r="E147" s="71" t="str">
        <f>IF(K147="","",INDEX(Calcule!$B$6:$B$40,K147))</f>
        <v>Standard</v>
      </c>
      <c r="F147" s="12">
        <f>IF(K147="","",INDEX(Calcule!$R$6:$R$40,K147))</f>
        <v>900</v>
      </c>
      <c r="G147" s="12">
        <f>IF(K147="","",INDEX(Calcule!$Y$6:$Y$40,K147))</f>
        <v>1160</v>
      </c>
      <c r="H147" s="12">
        <f>IF(K147="","",INDEX(Calcule!$AE$6:$AE$40,K147))</f>
        <v>1040</v>
      </c>
      <c r="I147" s="12">
        <f>IF(K147="","",INDEX(Calcule!$AI$6:$AI$40,K147))</f>
        <v>1000</v>
      </c>
      <c r="J147" s="12">
        <f>IF(K147="","",INDEX(Calcule!$U$6:$U$40,K147))</f>
        <v>653.79665379665369</v>
      </c>
      <c r="K147" s="72">
        <f>IFERROR(IF(A147&lt;=INDEX(Perioade!$D$6:$D$40,MATCH(A147,Perioade!$C$6:$C$40,1)),MATCH(A147,Perioade!$C$6:$C$40,1),""),"")</f>
        <v>7</v>
      </c>
    </row>
    <row r="148" spans="1:11" x14ac:dyDescent="0.2">
      <c r="A148" s="61">
        <f t="shared" si="4"/>
        <v>46463</v>
      </c>
      <c r="B148" s="71" t="str">
        <f t="shared" si="5"/>
        <v>Mi</v>
      </c>
      <c r="C148" t="str">
        <f>IF(K148="","⚠ fără perioadă",INDEX(Perioade!$A$6:$A$40,K148))</f>
        <v>primavara-2027</v>
      </c>
      <c r="D148" s="71">
        <f>IF(K148="","",INDEX(Calcule!$C$6:$C$40,K148))</f>
        <v>2</v>
      </c>
      <c r="E148" s="71" t="str">
        <f>IF(K148="","",INDEX(Calcule!$B$6:$B$40,K148))</f>
        <v>Standard</v>
      </c>
      <c r="F148" s="12">
        <f>IF(K148="","",INDEX(Calcule!$R$6:$R$40,K148))</f>
        <v>900</v>
      </c>
      <c r="G148" s="12">
        <f>IF(K148="","",INDEX(Calcule!$Y$6:$Y$40,K148))</f>
        <v>1160</v>
      </c>
      <c r="H148" s="12">
        <f>IF(K148="","",INDEX(Calcule!$AE$6:$AE$40,K148))</f>
        <v>1040</v>
      </c>
      <c r="I148" s="12">
        <f>IF(K148="","",INDEX(Calcule!$AI$6:$AI$40,K148))</f>
        <v>1000</v>
      </c>
      <c r="J148" s="12">
        <f>IF(K148="","",INDEX(Calcule!$U$6:$U$40,K148))</f>
        <v>653.79665379665369</v>
      </c>
      <c r="K148" s="72">
        <f>IFERROR(IF(A148&lt;=INDEX(Perioade!$D$6:$D$40,MATCH(A148,Perioade!$C$6:$C$40,1)),MATCH(A148,Perioade!$C$6:$C$40,1),""),"")</f>
        <v>7</v>
      </c>
    </row>
    <row r="149" spans="1:11" x14ac:dyDescent="0.2">
      <c r="A149" s="61">
        <f t="shared" si="4"/>
        <v>46464</v>
      </c>
      <c r="B149" s="71" t="str">
        <f t="shared" si="5"/>
        <v>Jo</v>
      </c>
      <c r="C149" t="str">
        <f>IF(K149="","⚠ fără perioadă",INDEX(Perioade!$A$6:$A$40,K149))</f>
        <v>primavara-2027</v>
      </c>
      <c r="D149" s="71">
        <f>IF(K149="","",INDEX(Calcule!$C$6:$C$40,K149))</f>
        <v>2</v>
      </c>
      <c r="E149" s="71" t="str">
        <f>IF(K149="","",INDEX(Calcule!$B$6:$B$40,K149))</f>
        <v>Standard</v>
      </c>
      <c r="F149" s="12">
        <f>IF(K149="","",INDEX(Calcule!$R$6:$R$40,K149))</f>
        <v>900</v>
      </c>
      <c r="G149" s="12">
        <f>IF(K149="","",INDEX(Calcule!$Y$6:$Y$40,K149))</f>
        <v>1160</v>
      </c>
      <c r="H149" s="12">
        <f>IF(K149="","",INDEX(Calcule!$AE$6:$AE$40,K149))</f>
        <v>1040</v>
      </c>
      <c r="I149" s="12">
        <f>IF(K149="","",INDEX(Calcule!$AI$6:$AI$40,K149))</f>
        <v>1000</v>
      </c>
      <c r="J149" s="12">
        <f>IF(K149="","",INDEX(Calcule!$U$6:$U$40,K149))</f>
        <v>653.79665379665369</v>
      </c>
      <c r="K149" s="72">
        <f>IFERROR(IF(A149&lt;=INDEX(Perioade!$D$6:$D$40,MATCH(A149,Perioade!$C$6:$C$40,1)),MATCH(A149,Perioade!$C$6:$C$40,1),""),"")</f>
        <v>7</v>
      </c>
    </row>
    <row r="150" spans="1:11" x14ac:dyDescent="0.2">
      <c r="A150" s="61">
        <f t="shared" si="4"/>
        <v>46465</v>
      </c>
      <c r="B150" s="71" t="str">
        <f t="shared" si="5"/>
        <v>Vi</v>
      </c>
      <c r="C150" t="str">
        <f>IF(K150="","⚠ fără perioadă",INDEX(Perioade!$A$6:$A$40,K150))</f>
        <v>primavara-2027</v>
      </c>
      <c r="D150" s="71">
        <f>IF(K150="","",INDEX(Calcule!$C$6:$C$40,K150))</f>
        <v>2</v>
      </c>
      <c r="E150" s="71" t="str">
        <f>IF(K150="","",INDEX(Calcule!$B$6:$B$40,K150))</f>
        <v>Standard</v>
      </c>
      <c r="F150" s="12">
        <f>IF(K150="","",INDEX(Calcule!$R$6:$R$40,K150))</f>
        <v>900</v>
      </c>
      <c r="G150" s="12">
        <f>IF(K150="","",INDEX(Calcule!$Y$6:$Y$40,K150))</f>
        <v>1160</v>
      </c>
      <c r="H150" s="12">
        <f>IF(K150="","",INDEX(Calcule!$AE$6:$AE$40,K150))</f>
        <v>1040</v>
      </c>
      <c r="I150" s="12">
        <f>IF(K150="","",INDEX(Calcule!$AI$6:$AI$40,K150))</f>
        <v>1000</v>
      </c>
      <c r="J150" s="12">
        <f>IF(K150="","",INDEX(Calcule!$U$6:$U$40,K150))</f>
        <v>653.79665379665369</v>
      </c>
      <c r="K150" s="72">
        <f>IFERROR(IF(A150&lt;=INDEX(Perioade!$D$6:$D$40,MATCH(A150,Perioade!$C$6:$C$40,1)),MATCH(A150,Perioade!$C$6:$C$40,1),""),"")</f>
        <v>7</v>
      </c>
    </row>
    <row r="151" spans="1:11" x14ac:dyDescent="0.2">
      <c r="A151" s="61">
        <f t="shared" si="4"/>
        <v>46466</v>
      </c>
      <c r="B151" s="71" t="str">
        <f t="shared" si="5"/>
        <v>Sâ</v>
      </c>
      <c r="C151" t="str">
        <f>IF(K151="","⚠ fără perioadă",INDEX(Perioade!$A$6:$A$40,K151))</f>
        <v>primavara-2027</v>
      </c>
      <c r="D151" s="71">
        <f>IF(K151="","",INDEX(Calcule!$C$6:$C$40,K151))</f>
        <v>2</v>
      </c>
      <c r="E151" s="71" t="str">
        <f>IF(K151="","",INDEX(Calcule!$B$6:$B$40,K151))</f>
        <v>Standard</v>
      </c>
      <c r="F151" s="12">
        <f>IF(K151="","",INDEX(Calcule!$R$6:$R$40,K151))</f>
        <v>900</v>
      </c>
      <c r="G151" s="12">
        <f>IF(K151="","",INDEX(Calcule!$Y$6:$Y$40,K151))</f>
        <v>1160</v>
      </c>
      <c r="H151" s="12">
        <f>IF(K151="","",INDEX(Calcule!$AE$6:$AE$40,K151))</f>
        <v>1040</v>
      </c>
      <c r="I151" s="12">
        <f>IF(K151="","",INDEX(Calcule!$AI$6:$AI$40,K151))</f>
        <v>1000</v>
      </c>
      <c r="J151" s="12">
        <f>IF(K151="","",INDEX(Calcule!$U$6:$U$40,K151))</f>
        <v>653.79665379665369</v>
      </c>
      <c r="K151" s="72">
        <f>IFERROR(IF(A151&lt;=INDEX(Perioade!$D$6:$D$40,MATCH(A151,Perioade!$C$6:$C$40,1)),MATCH(A151,Perioade!$C$6:$C$40,1),""),"")</f>
        <v>7</v>
      </c>
    </row>
    <row r="152" spans="1:11" x14ac:dyDescent="0.2">
      <c r="A152" s="61">
        <f t="shared" si="4"/>
        <v>46467</v>
      </c>
      <c r="B152" s="71" t="str">
        <f t="shared" si="5"/>
        <v>Du</v>
      </c>
      <c r="C152" t="str">
        <f>IF(K152="","⚠ fără perioadă",INDEX(Perioade!$A$6:$A$40,K152))</f>
        <v>primavara-2027</v>
      </c>
      <c r="D152" s="71">
        <f>IF(K152="","",INDEX(Calcule!$C$6:$C$40,K152))</f>
        <v>2</v>
      </c>
      <c r="E152" s="71" t="str">
        <f>IF(K152="","",INDEX(Calcule!$B$6:$B$40,K152))</f>
        <v>Standard</v>
      </c>
      <c r="F152" s="12">
        <f>IF(K152="","",INDEX(Calcule!$R$6:$R$40,K152))</f>
        <v>900</v>
      </c>
      <c r="G152" s="12">
        <f>IF(K152="","",INDEX(Calcule!$Y$6:$Y$40,K152))</f>
        <v>1160</v>
      </c>
      <c r="H152" s="12">
        <f>IF(K152="","",INDEX(Calcule!$AE$6:$AE$40,K152))</f>
        <v>1040</v>
      </c>
      <c r="I152" s="12">
        <f>IF(K152="","",INDEX(Calcule!$AI$6:$AI$40,K152))</f>
        <v>1000</v>
      </c>
      <c r="J152" s="12">
        <f>IF(K152="","",INDEX(Calcule!$U$6:$U$40,K152))</f>
        <v>653.79665379665369</v>
      </c>
      <c r="K152" s="72">
        <f>IFERROR(IF(A152&lt;=INDEX(Perioade!$D$6:$D$40,MATCH(A152,Perioade!$C$6:$C$40,1)),MATCH(A152,Perioade!$C$6:$C$40,1),""),"")</f>
        <v>7</v>
      </c>
    </row>
    <row r="153" spans="1:11" x14ac:dyDescent="0.2">
      <c r="A153" s="61">
        <f t="shared" si="4"/>
        <v>46468</v>
      </c>
      <c r="B153" s="71" t="str">
        <f t="shared" si="5"/>
        <v>Lu</v>
      </c>
      <c r="C153" t="str">
        <f>IF(K153="","⚠ fără perioadă",INDEX(Perioade!$A$6:$A$40,K153))</f>
        <v>primavara-2027</v>
      </c>
      <c r="D153" s="71">
        <f>IF(K153="","",INDEX(Calcule!$C$6:$C$40,K153))</f>
        <v>2</v>
      </c>
      <c r="E153" s="71" t="str">
        <f>IF(K153="","",INDEX(Calcule!$B$6:$B$40,K153))</f>
        <v>Standard</v>
      </c>
      <c r="F153" s="12">
        <f>IF(K153="","",INDEX(Calcule!$R$6:$R$40,K153))</f>
        <v>900</v>
      </c>
      <c r="G153" s="12">
        <f>IF(K153="","",INDEX(Calcule!$Y$6:$Y$40,K153))</f>
        <v>1160</v>
      </c>
      <c r="H153" s="12">
        <f>IF(K153="","",INDEX(Calcule!$AE$6:$AE$40,K153))</f>
        <v>1040</v>
      </c>
      <c r="I153" s="12">
        <f>IF(K153="","",INDEX(Calcule!$AI$6:$AI$40,K153))</f>
        <v>1000</v>
      </c>
      <c r="J153" s="12">
        <f>IF(K153="","",INDEX(Calcule!$U$6:$U$40,K153))</f>
        <v>653.79665379665369</v>
      </c>
      <c r="K153" s="72">
        <f>IFERROR(IF(A153&lt;=INDEX(Perioade!$D$6:$D$40,MATCH(A153,Perioade!$C$6:$C$40,1)),MATCH(A153,Perioade!$C$6:$C$40,1),""),"")</f>
        <v>7</v>
      </c>
    </row>
    <row r="154" spans="1:11" x14ac:dyDescent="0.2">
      <c r="A154" s="61">
        <f t="shared" si="4"/>
        <v>46469</v>
      </c>
      <c r="B154" s="71" t="str">
        <f t="shared" si="5"/>
        <v>Ma</v>
      </c>
      <c r="C154" t="str">
        <f>IF(K154="","⚠ fără perioadă",INDEX(Perioade!$A$6:$A$40,K154))</f>
        <v>primavara-2027</v>
      </c>
      <c r="D154" s="71">
        <f>IF(K154="","",INDEX(Calcule!$C$6:$C$40,K154))</f>
        <v>2</v>
      </c>
      <c r="E154" s="71" t="str">
        <f>IF(K154="","",INDEX(Calcule!$B$6:$B$40,K154))</f>
        <v>Standard</v>
      </c>
      <c r="F154" s="12">
        <f>IF(K154="","",INDEX(Calcule!$R$6:$R$40,K154))</f>
        <v>900</v>
      </c>
      <c r="G154" s="12">
        <f>IF(K154="","",INDEX(Calcule!$Y$6:$Y$40,K154))</f>
        <v>1160</v>
      </c>
      <c r="H154" s="12">
        <f>IF(K154="","",INDEX(Calcule!$AE$6:$AE$40,K154))</f>
        <v>1040</v>
      </c>
      <c r="I154" s="12">
        <f>IF(K154="","",INDEX(Calcule!$AI$6:$AI$40,K154))</f>
        <v>1000</v>
      </c>
      <c r="J154" s="12">
        <f>IF(K154="","",INDEX(Calcule!$U$6:$U$40,K154))</f>
        <v>653.79665379665369</v>
      </c>
      <c r="K154" s="72">
        <f>IFERROR(IF(A154&lt;=INDEX(Perioade!$D$6:$D$40,MATCH(A154,Perioade!$C$6:$C$40,1)),MATCH(A154,Perioade!$C$6:$C$40,1),""),"")</f>
        <v>7</v>
      </c>
    </row>
    <row r="155" spans="1:11" x14ac:dyDescent="0.2">
      <c r="A155" s="61">
        <f t="shared" si="4"/>
        <v>46470</v>
      </c>
      <c r="B155" s="71" t="str">
        <f t="shared" si="5"/>
        <v>Mi</v>
      </c>
      <c r="C155" t="str">
        <f>IF(K155="","⚠ fără perioadă",INDEX(Perioade!$A$6:$A$40,K155))</f>
        <v>primavara-2027</v>
      </c>
      <c r="D155" s="71">
        <f>IF(K155="","",INDEX(Calcule!$C$6:$C$40,K155))</f>
        <v>2</v>
      </c>
      <c r="E155" s="71" t="str">
        <f>IF(K155="","",INDEX(Calcule!$B$6:$B$40,K155))</f>
        <v>Standard</v>
      </c>
      <c r="F155" s="12">
        <f>IF(K155="","",INDEX(Calcule!$R$6:$R$40,K155))</f>
        <v>900</v>
      </c>
      <c r="G155" s="12">
        <f>IF(K155="","",INDEX(Calcule!$Y$6:$Y$40,K155))</f>
        <v>1160</v>
      </c>
      <c r="H155" s="12">
        <f>IF(K155="","",INDEX(Calcule!$AE$6:$AE$40,K155))</f>
        <v>1040</v>
      </c>
      <c r="I155" s="12">
        <f>IF(K155="","",INDEX(Calcule!$AI$6:$AI$40,K155))</f>
        <v>1000</v>
      </c>
      <c r="J155" s="12">
        <f>IF(K155="","",INDEX(Calcule!$U$6:$U$40,K155))</f>
        <v>653.79665379665369</v>
      </c>
      <c r="K155" s="72">
        <f>IFERROR(IF(A155&lt;=INDEX(Perioade!$D$6:$D$40,MATCH(A155,Perioade!$C$6:$C$40,1)),MATCH(A155,Perioade!$C$6:$C$40,1),""),"")</f>
        <v>7</v>
      </c>
    </row>
    <row r="156" spans="1:11" x14ac:dyDescent="0.2">
      <c r="A156" s="61">
        <f t="shared" si="4"/>
        <v>46471</v>
      </c>
      <c r="B156" s="71" t="str">
        <f t="shared" si="5"/>
        <v>Jo</v>
      </c>
      <c r="C156" t="str">
        <f>IF(K156="","⚠ fără perioadă",INDEX(Perioade!$A$6:$A$40,K156))</f>
        <v>primavara-2027</v>
      </c>
      <c r="D156" s="71">
        <f>IF(K156="","",INDEX(Calcule!$C$6:$C$40,K156))</f>
        <v>2</v>
      </c>
      <c r="E156" s="71" t="str">
        <f>IF(K156="","",INDEX(Calcule!$B$6:$B$40,K156))</f>
        <v>Standard</v>
      </c>
      <c r="F156" s="12">
        <f>IF(K156="","",INDEX(Calcule!$R$6:$R$40,K156))</f>
        <v>900</v>
      </c>
      <c r="G156" s="12">
        <f>IF(K156="","",INDEX(Calcule!$Y$6:$Y$40,K156))</f>
        <v>1160</v>
      </c>
      <c r="H156" s="12">
        <f>IF(K156="","",INDEX(Calcule!$AE$6:$AE$40,K156))</f>
        <v>1040</v>
      </c>
      <c r="I156" s="12">
        <f>IF(K156="","",INDEX(Calcule!$AI$6:$AI$40,K156))</f>
        <v>1000</v>
      </c>
      <c r="J156" s="12">
        <f>IF(K156="","",INDEX(Calcule!$U$6:$U$40,K156))</f>
        <v>653.79665379665369</v>
      </c>
      <c r="K156" s="72">
        <f>IFERROR(IF(A156&lt;=INDEX(Perioade!$D$6:$D$40,MATCH(A156,Perioade!$C$6:$C$40,1)),MATCH(A156,Perioade!$C$6:$C$40,1),""),"")</f>
        <v>7</v>
      </c>
    </row>
    <row r="157" spans="1:11" x14ac:dyDescent="0.2">
      <c r="A157" s="61">
        <f t="shared" si="4"/>
        <v>46472</v>
      </c>
      <c r="B157" s="71" t="str">
        <f t="shared" si="5"/>
        <v>Vi</v>
      </c>
      <c r="C157" t="str">
        <f>IF(K157="","⚠ fără perioadă",INDEX(Perioade!$A$6:$A$40,K157))</f>
        <v>primavara-2027</v>
      </c>
      <c r="D157" s="71">
        <f>IF(K157="","",INDEX(Calcule!$C$6:$C$40,K157))</f>
        <v>2</v>
      </c>
      <c r="E157" s="71" t="str">
        <f>IF(K157="","",INDEX(Calcule!$B$6:$B$40,K157))</f>
        <v>Standard</v>
      </c>
      <c r="F157" s="12">
        <f>IF(K157="","",INDEX(Calcule!$R$6:$R$40,K157))</f>
        <v>900</v>
      </c>
      <c r="G157" s="12">
        <f>IF(K157="","",INDEX(Calcule!$Y$6:$Y$40,K157))</f>
        <v>1160</v>
      </c>
      <c r="H157" s="12">
        <f>IF(K157="","",INDEX(Calcule!$AE$6:$AE$40,K157))</f>
        <v>1040</v>
      </c>
      <c r="I157" s="12">
        <f>IF(K157="","",INDEX(Calcule!$AI$6:$AI$40,K157))</f>
        <v>1000</v>
      </c>
      <c r="J157" s="12">
        <f>IF(K157="","",INDEX(Calcule!$U$6:$U$40,K157))</f>
        <v>653.79665379665369</v>
      </c>
      <c r="K157" s="72">
        <f>IFERROR(IF(A157&lt;=INDEX(Perioade!$D$6:$D$40,MATCH(A157,Perioade!$C$6:$C$40,1)),MATCH(A157,Perioade!$C$6:$C$40,1),""),"")</f>
        <v>7</v>
      </c>
    </row>
    <row r="158" spans="1:11" x14ac:dyDescent="0.2">
      <c r="A158" s="61">
        <f t="shared" si="4"/>
        <v>46473</v>
      </c>
      <c r="B158" s="71" t="str">
        <f t="shared" si="5"/>
        <v>Sâ</v>
      </c>
      <c r="C158" t="str">
        <f>IF(K158="","⚠ fără perioadă",INDEX(Perioade!$A$6:$A$40,K158))</f>
        <v>primavara-2027</v>
      </c>
      <c r="D158" s="71">
        <f>IF(K158="","",INDEX(Calcule!$C$6:$C$40,K158))</f>
        <v>2</v>
      </c>
      <c r="E158" s="71" t="str">
        <f>IF(K158="","",INDEX(Calcule!$B$6:$B$40,K158))</f>
        <v>Standard</v>
      </c>
      <c r="F158" s="12">
        <f>IF(K158="","",INDEX(Calcule!$R$6:$R$40,K158))</f>
        <v>900</v>
      </c>
      <c r="G158" s="12">
        <f>IF(K158="","",INDEX(Calcule!$Y$6:$Y$40,K158))</f>
        <v>1160</v>
      </c>
      <c r="H158" s="12">
        <f>IF(K158="","",INDEX(Calcule!$AE$6:$AE$40,K158))</f>
        <v>1040</v>
      </c>
      <c r="I158" s="12">
        <f>IF(K158="","",INDEX(Calcule!$AI$6:$AI$40,K158))</f>
        <v>1000</v>
      </c>
      <c r="J158" s="12">
        <f>IF(K158="","",INDEX(Calcule!$U$6:$U$40,K158))</f>
        <v>653.79665379665369</v>
      </c>
      <c r="K158" s="72">
        <f>IFERROR(IF(A158&lt;=INDEX(Perioade!$D$6:$D$40,MATCH(A158,Perioade!$C$6:$C$40,1)),MATCH(A158,Perioade!$C$6:$C$40,1),""),"")</f>
        <v>7</v>
      </c>
    </row>
    <row r="159" spans="1:11" x14ac:dyDescent="0.2">
      <c r="A159" s="61">
        <f t="shared" si="4"/>
        <v>46474</v>
      </c>
      <c r="B159" s="71" t="str">
        <f t="shared" si="5"/>
        <v>Du</v>
      </c>
      <c r="C159" t="str">
        <f>IF(K159="","⚠ fără perioadă",INDEX(Perioade!$A$6:$A$40,K159))</f>
        <v>primavara-2027</v>
      </c>
      <c r="D159" s="71">
        <f>IF(K159="","",INDEX(Calcule!$C$6:$C$40,K159))</f>
        <v>2</v>
      </c>
      <c r="E159" s="71" t="str">
        <f>IF(K159="","",INDEX(Calcule!$B$6:$B$40,K159))</f>
        <v>Standard</v>
      </c>
      <c r="F159" s="12">
        <f>IF(K159="","",INDEX(Calcule!$R$6:$R$40,K159))</f>
        <v>900</v>
      </c>
      <c r="G159" s="12">
        <f>IF(K159="","",INDEX(Calcule!$Y$6:$Y$40,K159))</f>
        <v>1160</v>
      </c>
      <c r="H159" s="12">
        <f>IF(K159="","",INDEX(Calcule!$AE$6:$AE$40,K159))</f>
        <v>1040</v>
      </c>
      <c r="I159" s="12">
        <f>IF(K159="","",INDEX(Calcule!$AI$6:$AI$40,K159))</f>
        <v>1000</v>
      </c>
      <c r="J159" s="12">
        <f>IF(K159="","",INDEX(Calcule!$U$6:$U$40,K159))</f>
        <v>653.79665379665369</v>
      </c>
      <c r="K159" s="72">
        <f>IFERROR(IF(A159&lt;=INDEX(Perioade!$D$6:$D$40,MATCH(A159,Perioade!$C$6:$C$40,1)),MATCH(A159,Perioade!$C$6:$C$40,1),""),"")</f>
        <v>7</v>
      </c>
    </row>
    <row r="160" spans="1:11" x14ac:dyDescent="0.2">
      <c r="A160" s="61">
        <f t="shared" si="4"/>
        <v>46475</v>
      </c>
      <c r="B160" s="71" t="str">
        <f t="shared" si="5"/>
        <v>Lu</v>
      </c>
      <c r="C160" t="str">
        <f>IF(K160="","⚠ fără perioadă",INDEX(Perioade!$A$6:$A$40,K160))</f>
        <v>primavara-2027</v>
      </c>
      <c r="D160" s="71">
        <f>IF(K160="","",INDEX(Calcule!$C$6:$C$40,K160))</f>
        <v>2</v>
      </c>
      <c r="E160" s="71" t="str">
        <f>IF(K160="","",INDEX(Calcule!$B$6:$B$40,K160))</f>
        <v>Standard</v>
      </c>
      <c r="F160" s="12">
        <f>IF(K160="","",INDEX(Calcule!$R$6:$R$40,K160))</f>
        <v>900</v>
      </c>
      <c r="G160" s="12">
        <f>IF(K160="","",INDEX(Calcule!$Y$6:$Y$40,K160))</f>
        <v>1160</v>
      </c>
      <c r="H160" s="12">
        <f>IF(K160="","",INDEX(Calcule!$AE$6:$AE$40,K160))</f>
        <v>1040</v>
      </c>
      <c r="I160" s="12">
        <f>IF(K160="","",INDEX(Calcule!$AI$6:$AI$40,K160))</f>
        <v>1000</v>
      </c>
      <c r="J160" s="12">
        <f>IF(K160="","",INDEX(Calcule!$U$6:$U$40,K160))</f>
        <v>653.79665379665369</v>
      </c>
      <c r="K160" s="72">
        <f>IFERROR(IF(A160&lt;=INDEX(Perioade!$D$6:$D$40,MATCH(A160,Perioade!$C$6:$C$40,1)),MATCH(A160,Perioade!$C$6:$C$40,1),""),"")</f>
        <v>7</v>
      </c>
    </row>
    <row r="161" spans="1:11" x14ac:dyDescent="0.2">
      <c r="A161" s="61">
        <f t="shared" si="4"/>
        <v>46476</v>
      </c>
      <c r="B161" s="71" t="str">
        <f t="shared" si="5"/>
        <v>Ma</v>
      </c>
      <c r="C161" t="str">
        <f>IF(K161="","⚠ fără perioadă",INDEX(Perioade!$A$6:$A$40,K161))</f>
        <v>primavara-2027</v>
      </c>
      <c r="D161" s="71">
        <f>IF(K161="","",INDEX(Calcule!$C$6:$C$40,K161))</f>
        <v>2</v>
      </c>
      <c r="E161" s="71" t="str">
        <f>IF(K161="","",INDEX(Calcule!$B$6:$B$40,K161))</f>
        <v>Standard</v>
      </c>
      <c r="F161" s="12">
        <f>IF(K161="","",INDEX(Calcule!$R$6:$R$40,K161))</f>
        <v>900</v>
      </c>
      <c r="G161" s="12">
        <f>IF(K161="","",INDEX(Calcule!$Y$6:$Y$40,K161))</f>
        <v>1160</v>
      </c>
      <c r="H161" s="12">
        <f>IF(K161="","",INDEX(Calcule!$AE$6:$AE$40,K161))</f>
        <v>1040</v>
      </c>
      <c r="I161" s="12">
        <f>IF(K161="","",INDEX(Calcule!$AI$6:$AI$40,K161))</f>
        <v>1000</v>
      </c>
      <c r="J161" s="12">
        <f>IF(K161="","",INDEX(Calcule!$U$6:$U$40,K161))</f>
        <v>653.79665379665369</v>
      </c>
      <c r="K161" s="72">
        <f>IFERROR(IF(A161&lt;=INDEX(Perioade!$D$6:$D$40,MATCH(A161,Perioade!$C$6:$C$40,1)),MATCH(A161,Perioade!$C$6:$C$40,1),""),"")</f>
        <v>7</v>
      </c>
    </row>
    <row r="162" spans="1:11" x14ac:dyDescent="0.2">
      <c r="A162" s="61">
        <f t="shared" si="4"/>
        <v>46477</v>
      </c>
      <c r="B162" s="71" t="str">
        <f t="shared" si="5"/>
        <v>Mi</v>
      </c>
      <c r="C162" t="str">
        <f>IF(K162="","⚠ fără perioadă",INDEX(Perioade!$A$6:$A$40,K162))</f>
        <v>primavara-2027</v>
      </c>
      <c r="D162" s="71">
        <f>IF(K162="","",INDEX(Calcule!$C$6:$C$40,K162))</f>
        <v>2</v>
      </c>
      <c r="E162" s="71" t="str">
        <f>IF(K162="","",INDEX(Calcule!$B$6:$B$40,K162))</f>
        <v>Standard</v>
      </c>
      <c r="F162" s="12">
        <f>IF(K162="","",INDEX(Calcule!$R$6:$R$40,K162))</f>
        <v>900</v>
      </c>
      <c r="G162" s="12">
        <f>IF(K162="","",INDEX(Calcule!$Y$6:$Y$40,K162))</f>
        <v>1160</v>
      </c>
      <c r="H162" s="12">
        <f>IF(K162="","",INDEX(Calcule!$AE$6:$AE$40,K162))</f>
        <v>1040</v>
      </c>
      <c r="I162" s="12">
        <f>IF(K162="","",INDEX(Calcule!$AI$6:$AI$40,K162))</f>
        <v>1000</v>
      </c>
      <c r="J162" s="12">
        <f>IF(K162="","",INDEX(Calcule!$U$6:$U$40,K162))</f>
        <v>653.79665379665369</v>
      </c>
      <c r="K162" s="72">
        <f>IFERROR(IF(A162&lt;=INDEX(Perioade!$D$6:$D$40,MATCH(A162,Perioade!$C$6:$C$40,1)),MATCH(A162,Perioade!$C$6:$C$40,1),""),"")</f>
        <v>7</v>
      </c>
    </row>
    <row r="163" spans="1:11" x14ac:dyDescent="0.2">
      <c r="A163" s="61">
        <f t="shared" si="4"/>
        <v>46478</v>
      </c>
      <c r="B163" s="71" t="str">
        <f t="shared" si="5"/>
        <v>Jo</v>
      </c>
      <c r="C163" t="str">
        <f>IF(K163="","⚠ fără perioadă",INDEX(Perioade!$A$6:$A$40,K163))</f>
        <v>primavara-2027</v>
      </c>
      <c r="D163" s="71">
        <f>IF(K163="","",INDEX(Calcule!$C$6:$C$40,K163))</f>
        <v>2</v>
      </c>
      <c r="E163" s="71" t="str">
        <f>IF(K163="","",INDEX(Calcule!$B$6:$B$40,K163))</f>
        <v>Standard</v>
      </c>
      <c r="F163" s="12">
        <f>IF(K163="","",INDEX(Calcule!$R$6:$R$40,K163))</f>
        <v>900</v>
      </c>
      <c r="G163" s="12">
        <f>IF(K163="","",INDEX(Calcule!$Y$6:$Y$40,K163))</f>
        <v>1160</v>
      </c>
      <c r="H163" s="12">
        <f>IF(K163="","",INDEX(Calcule!$AE$6:$AE$40,K163))</f>
        <v>1040</v>
      </c>
      <c r="I163" s="12">
        <f>IF(K163="","",INDEX(Calcule!$AI$6:$AI$40,K163))</f>
        <v>1000</v>
      </c>
      <c r="J163" s="12">
        <f>IF(K163="","",INDEX(Calcule!$U$6:$U$40,K163))</f>
        <v>653.79665379665369</v>
      </c>
      <c r="K163" s="72">
        <f>IFERROR(IF(A163&lt;=INDEX(Perioade!$D$6:$D$40,MATCH(A163,Perioade!$C$6:$C$40,1)),MATCH(A163,Perioade!$C$6:$C$40,1),""),"")</f>
        <v>7</v>
      </c>
    </row>
    <row r="164" spans="1:11" x14ac:dyDescent="0.2">
      <c r="A164" s="61">
        <f t="shared" si="4"/>
        <v>46479</v>
      </c>
      <c r="B164" s="71" t="str">
        <f t="shared" si="5"/>
        <v>Vi</v>
      </c>
      <c r="C164" t="str">
        <f>IF(K164="","⚠ fără perioadă",INDEX(Perioade!$A$6:$A$40,K164))</f>
        <v>primavara-2027</v>
      </c>
      <c r="D164" s="71">
        <f>IF(K164="","",INDEX(Calcule!$C$6:$C$40,K164))</f>
        <v>2</v>
      </c>
      <c r="E164" s="71" t="str">
        <f>IF(K164="","",INDEX(Calcule!$B$6:$B$40,K164))</f>
        <v>Standard</v>
      </c>
      <c r="F164" s="12">
        <f>IF(K164="","",INDEX(Calcule!$R$6:$R$40,K164))</f>
        <v>900</v>
      </c>
      <c r="G164" s="12">
        <f>IF(K164="","",INDEX(Calcule!$Y$6:$Y$40,K164))</f>
        <v>1160</v>
      </c>
      <c r="H164" s="12">
        <f>IF(K164="","",INDEX(Calcule!$AE$6:$AE$40,K164))</f>
        <v>1040</v>
      </c>
      <c r="I164" s="12">
        <f>IF(K164="","",INDEX(Calcule!$AI$6:$AI$40,K164))</f>
        <v>1000</v>
      </c>
      <c r="J164" s="12">
        <f>IF(K164="","",INDEX(Calcule!$U$6:$U$40,K164))</f>
        <v>653.79665379665369</v>
      </c>
      <c r="K164" s="72">
        <f>IFERROR(IF(A164&lt;=INDEX(Perioade!$D$6:$D$40,MATCH(A164,Perioade!$C$6:$C$40,1)),MATCH(A164,Perioade!$C$6:$C$40,1),""),"")</f>
        <v>7</v>
      </c>
    </row>
    <row r="165" spans="1:11" x14ac:dyDescent="0.2">
      <c r="A165" s="61">
        <f t="shared" si="4"/>
        <v>46480</v>
      </c>
      <c r="B165" s="71" t="str">
        <f t="shared" si="5"/>
        <v>Sâ</v>
      </c>
      <c r="C165" t="str">
        <f>IF(K165="","⚠ fără perioadă",INDEX(Perioade!$A$6:$A$40,K165))</f>
        <v>primavara-2027</v>
      </c>
      <c r="D165" s="71">
        <f>IF(K165="","",INDEX(Calcule!$C$6:$C$40,K165))</f>
        <v>2</v>
      </c>
      <c r="E165" s="71" t="str">
        <f>IF(K165="","",INDEX(Calcule!$B$6:$B$40,K165))</f>
        <v>Standard</v>
      </c>
      <c r="F165" s="12">
        <f>IF(K165="","",INDEX(Calcule!$R$6:$R$40,K165))</f>
        <v>900</v>
      </c>
      <c r="G165" s="12">
        <f>IF(K165="","",INDEX(Calcule!$Y$6:$Y$40,K165))</f>
        <v>1160</v>
      </c>
      <c r="H165" s="12">
        <f>IF(K165="","",INDEX(Calcule!$AE$6:$AE$40,K165))</f>
        <v>1040</v>
      </c>
      <c r="I165" s="12">
        <f>IF(K165="","",INDEX(Calcule!$AI$6:$AI$40,K165))</f>
        <v>1000</v>
      </c>
      <c r="J165" s="12">
        <f>IF(K165="","",INDEX(Calcule!$U$6:$U$40,K165))</f>
        <v>653.79665379665369</v>
      </c>
      <c r="K165" s="72">
        <f>IFERROR(IF(A165&lt;=INDEX(Perioade!$D$6:$D$40,MATCH(A165,Perioade!$C$6:$C$40,1)),MATCH(A165,Perioade!$C$6:$C$40,1),""),"")</f>
        <v>7</v>
      </c>
    </row>
    <row r="166" spans="1:11" x14ac:dyDescent="0.2">
      <c r="A166" s="61">
        <f t="shared" si="4"/>
        <v>46481</v>
      </c>
      <c r="B166" s="71" t="str">
        <f t="shared" si="5"/>
        <v>Du</v>
      </c>
      <c r="C166" t="str">
        <f>IF(K166="","⚠ fără perioadă",INDEX(Perioade!$A$6:$A$40,K166))</f>
        <v>primavara-2027</v>
      </c>
      <c r="D166" s="71">
        <f>IF(K166="","",INDEX(Calcule!$C$6:$C$40,K166))</f>
        <v>2</v>
      </c>
      <c r="E166" s="71" t="str">
        <f>IF(K166="","",INDEX(Calcule!$B$6:$B$40,K166))</f>
        <v>Standard</v>
      </c>
      <c r="F166" s="12">
        <f>IF(K166="","",INDEX(Calcule!$R$6:$R$40,K166))</f>
        <v>900</v>
      </c>
      <c r="G166" s="12">
        <f>IF(K166="","",INDEX(Calcule!$Y$6:$Y$40,K166))</f>
        <v>1160</v>
      </c>
      <c r="H166" s="12">
        <f>IF(K166="","",INDEX(Calcule!$AE$6:$AE$40,K166))</f>
        <v>1040</v>
      </c>
      <c r="I166" s="12">
        <f>IF(K166="","",INDEX(Calcule!$AI$6:$AI$40,K166))</f>
        <v>1000</v>
      </c>
      <c r="J166" s="12">
        <f>IF(K166="","",INDEX(Calcule!$U$6:$U$40,K166))</f>
        <v>653.79665379665369</v>
      </c>
      <c r="K166" s="72">
        <f>IFERROR(IF(A166&lt;=INDEX(Perioade!$D$6:$D$40,MATCH(A166,Perioade!$C$6:$C$40,1)),MATCH(A166,Perioade!$C$6:$C$40,1),""),"")</f>
        <v>7</v>
      </c>
    </row>
    <row r="167" spans="1:11" x14ac:dyDescent="0.2">
      <c r="A167" s="61">
        <f t="shared" si="4"/>
        <v>46482</v>
      </c>
      <c r="B167" s="71" t="str">
        <f t="shared" si="5"/>
        <v>Lu</v>
      </c>
      <c r="C167" t="str">
        <f>IF(K167="","⚠ fără perioadă",INDEX(Perioade!$A$6:$A$40,K167))</f>
        <v>primavara-2027</v>
      </c>
      <c r="D167" s="71">
        <f>IF(K167="","",INDEX(Calcule!$C$6:$C$40,K167))</f>
        <v>2</v>
      </c>
      <c r="E167" s="71" t="str">
        <f>IF(K167="","",INDEX(Calcule!$B$6:$B$40,K167))</f>
        <v>Standard</v>
      </c>
      <c r="F167" s="12">
        <f>IF(K167="","",INDEX(Calcule!$R$6:$R$40,K167))</f>
        <v>900</v>
      </c>
      <c r="G167" s="12">
        <f>IF(K167="","",INDEX(Calcule!$Y$6:$Y$40,K167))</f>
        <v>1160</v>
      </c>
      <c r="H167" s="12">
        <f>IF(K167="","",INDEX(Calcule!$AE$6:$AE$40,K167))</f>
        <v>1040</v>
      </c>
      <c r="I167" s="12">
        <f>IF(K167="","",INDEX(Calcule!$AI$6:$AI$40,K167))</f>
        <v>1000</v>
      </c>
      <c r="J167" s="12">
        <f>IF(K167="","",INDEX(Calcule!$U$6:$U$40,K167))</f>
        <v>653.79665379665369</v>
      </c>
      <c r="K167" s="72">
        <f>IFERROR(IF(A167&lt;=INDEX(Perioade!$D$6:$D$40,MATCH(A167,Perioade!$C$6:$C$40,1)),MATCH(A167,Perioade!$C$6:$C$40,1),""),"")</f>
        <v>7</v>
      </c>
    </row>
    <row r="168" spans="1:11" x14ac:dyDescent="0.2">
      <c r="A168" s="61">
        <f t="shared" si="4"/>
        <v>46483</v>
      </c>
      <c r="B168" s="71" t="str">
        <f t="shared" si="5"/>
        <v>Ma</v>
      </c>
      <c r="C168" t="str">
        <f>IF(K168="","⚠ fără perioadă",INDEX(Perioade!$A$6:$A$40,K168))</f>
        <v>primavara-2027</v>
      </c>
      <c r="D168" s="71">
        <f>IF(K168="","",INDEX(Calcule!$C$6:$C$40,K168))</f>
        <v>2</v>
      </c>
      <c r="E168" s="71" t="str">
        <f>IF(K168="","",INDEX(Calcule!$B$6:$B$40,K168))</f>
        <v>Standard</v>
      </c>
      <c r="F168" s="12">
        <f>IF(K168="","",INDEX(Calcule!$R$6:$R$40,K168))</f>
        <v>900</v>
      </c>
      <c r="G168" s="12">
        <f>IF(K168="","",INDEX(Calcule!$Y$6:$Y$40,K168))</f>
        <v>1160</v>
      </c>
      <c r="H168" s="12">
        <f>IF(K168="","",INDEX(Calcule!$AE$6:$AE$40,K168))</f>
        <v>1040</v>
      </c>
      <c r="I168" s="12">
        <f>IF(K168="","",INDEX(Calcule!$AI$6:$AI$40,K168))</f>
        <v>1000</v>
      </c>
      <c r="J168" s="12">
        <f>IF(K168="","",INDEX(Calcule!$U$6:$U$40,K168))</f>
        <v>653.79665379665369</v>
      </c>
      <c r="K168" s="72">
        <f>IFERROR(IF(A168&lt;=INDEX(Perioade!$D$6:$D$40,MATCH(A168,Perioade!$C$6:$C$40,1)),MATCH(A168,Perioade!$C$6:$C$40,1),""),"")</f>
        <v>7</v>
      </c>
    </row>
    <row r="169" spans="1:11" x14ac:dyDescent="0.2">
      <c r="A169" s="61">
        <f t="shared" si="4"/>
        <v>46484</v>
      </c>
      <c r="B169" s="71" t="str">
        <f t="shared" si="5"/>
        <v>Mi</v>
      </c>
      <c r="C169" t="str">
        <f>IF(K169="","⚠ fără perioadă",INDEX(Perioade!$A$6:$A$40,K169))</f>
        <v>primavara-2027</v>
      </c>
      <c r="D169" s="71">
        <f>IF(K169="","",INDEX(Calcule!$C$6:$C$40,K169))</f>
        <v>2</v>
      </c>
      <c r="E169" s="71" t="str">
        <f>IF(K169="","",INDEX(Calcule!$B$6:$B$40,K169))</f>
        <v>Standard</v>
      </c>
      <c r="F169" s="12">
        <f>IF(K169="","",INDEX(Calcule!$R$6:$R$40,K169))</f>
        <v>900</v>
      </c>
      <c r="G169" s="12">
        <f>IF(K169="","",INDEX(Calcule!$Y$6:$Y$40,K169))</f>
        <v>1160</v>
      </c>
      <c r="H169" s="12">
        <f>IF(K169="","",INDEX(Calcule!$AE$6:$AE$40,K169))</f>
        <v>1040</v>
      </c>
      <c r="I169" s="12">
        <f>IF(K169="","",INDEX(Calcule!$AI$6:$AI$40,K169))</f>
        <v>1000</v>
      </c>
      <c r="J169" s="12">
        <f>IF(K169="","",INDEX(Calcule!$U$6:$U$40,K169))</f>
        <v>653.79665379665369</v>
      </c>
      <c r="K169" s="72">
        <f>IFERROR(IF(A169&lt;=INDEX(Perioade!$D$6:$D$40,MATCH(A169,Perioade!$C$6:$C$40,1)),MATCH(A169,Perioade!$C$6:$C$40,1),""),"")</f>
        <v>7</v>
      </c>
    </row>
    <row r="170" spans="1:11" x14ac:dyDescent="0.2">
      <c r="A170" s="61">
        <f t="shared" si="4"/>
        <v>46485</v>
      </c>
      <c r="B170" s="71" t="str">
        <f t="shared" si="5"/>
        <v>Jo</v>
      </c>
      <c r="C170" t="str">
        <f>IF(K170="","⚠ fără perioadă",INDEX(Perioade!$A$6:$A$40,K170))</f>
        <v>primavara-2027</v>
      </c>
      <c r="D170" s="71">
        <f>IF(K170="","",INDEX(Calcule!$C$6:$C$40,K170))</f>
        <v>2</v>
      </c>
      <c r="E170" s="71" t="str">
        <f>IF(K170="","",INDEX(Calcule!$B$6:$B$40,K170))</f>
        <v>Standard</v>
      </c>
      <c r="F170" s="12">
        <f>IF(K170="","",INDEX(Calcule!$R$6:$R$40,K170))</f>
        <v>900</v>
      </c>
      <c r="G170" s="12">
        <f>IF(K170="","",INDEX(Calcule!$Y$6:$Y$40,K170))</f>
        <v>1160</v>
      </c>
      <c r="H170" s="12">
        <f>IF(K170="","",INDEX(Calcule!$AE$6:$AE$40,K170))</f>
        <v>1040</v>
      </c>
      <c r="I170" s="12">
        <f>IF(K170="","",INDEX(Calcule!$AI$6:$AI$40,K170))</f>
        <v>1000</v>
      </c>
      <c r="J170" s="12">
        <f>IF(K170="","",INDEX(Calcule!$U$6:$U$40,K170))</f>
        <v>653.79665379665369</v>
      </c>
      <c r="K170" s="72">
        <f>IFERROR(IF(A170&lt;=INDEX(Perioade!$D$6:$D$40,MATCH(A170,Perioade!$C$6:$C$40,1)),MATCH(A170,Perioade!$C$6:$C$40,1),""),"")</f>
        <v>7</v>
      </c>
    </row>
    <row r="171" spans="1:11" x14ac:dyDescent="0.2">
      <c r="A171" s="61">
        <f t="shared" si="4"/>
        <v>46486</v>
      </c>
      <c r="B171" s="71" t="str">
        <f t="shared" si="5"/>
        <v>Vi</v>
      </c>
      <c r="C171" t="str">
        <f>IF(K171="","⚠ fără perioadă",INDEX(Perioade!$A$6:$A$40,K171))</f>
        <v>primavara-2027</v>
      </c>
      <c r="D171" s="71">
        <f>IF(K171="","",INDEX(Calcule!$C$6:$C$40,K171))</f>
        <v>2</v>
      </c>
      <c r="E171" s="71" t="str">
        <f>IF(K171="","",INDEX(Calcule!$B$6:$B$40,K171))</f>
        <v>Standard</v>
      </c>
      <c r="F171" s="12">
        <f>IF(K171="","",INDEX(Calcule!$R$6:$R$40,K171))</f>
        <v>900</v>
      </c>
      <c r="G171" s="12">
        <f>IF(K171="","",INDEX(Calcule!$Y$6:$Y$40,K171))</f>
        <v>1160</v>
      </c>
      <c r="H171" s="12">
        <f>IF(K171="","",INDEX(Calcule!$AE$6:$AE$40,K171))</f>
        <v>1040</v>
      </c>
      <c r="I171" s="12">
        <f>IF(K171="","",INDEX(Calcule!$AI$6:$AI$40,K171))</f>
        <v>1000</v>
      </c>
      <c r="J171" s="12">
        <f>IF(K171="","",INDEX(Calcule!$U$6:$U$40,K171))</f>
        <v>653.79665379665369</v>
      </c>
      <c r="K171" s="72">
        <f>IFERROR(IF(A171&lt;=INDEX(Perioade!$D$6:$D$40,MATCH(A171,Perioade!$C$6:$C$40,1)),MATCH(A171,Perioade!$C$6:$C$40,1),""),"")</f>
        <v>7</v>
      </c>
    </row>
    <row r="172" spans="1:11" x14ac:dyDescent="0.2">
      <c r="A172" s="61">
        <f t="shared" si="4"/>
        <v>46487</v>
      </c>
      <c r="B172" s="71" t="str">
        <f t="shared" si="5"/>
        <v>Sâ</v>
      </c>
      <c r="C172" t="str">
        <f>IF(K172="","⚠ fără perioadă",INDEX(Perioade!$A$6:$A$40,K172))</f>
        <v>primavara-2027</v>
      </c>
      <c r="D172" s="71">
        <f>IF(K172="","",INDEX(Calcule!$C$6:$C$40,K172))</f>
        <v>2</v>
      </c>
      <c r="E172" s="71" t="str">
        <f>IF(K172="","",INDEX(Calcule!$B$6:$B$40,K172))</f>
        <v>Standard</v>
      </c>
      <c r="F172" s="12">
        <f>IF(K172="","",INDEX(Calcule!$R$6:$R$40,K172))</f>
        <v>900</v>
      </c>
      <c r="G172" s="12">
        <f>IF(K172="","",INDEX(Calcule!$Y$6:$Y$40,K172))</f>
        <v>1160</v>
      </c>
      <c r="H172" s="12">
        <f>IF(K172="","",INDEX(Calcule!$AE$6:$AE$40,K172))</f>
        <v>1040</v>
      </c>
      <c r="I172" s="12">
        <f>IF(K172="","",INDEX(Calcule!$AI$6:$AI$40,K172))</f>
        <v>1000</v>
      </c>
      <c r="J172" s="12">
        <f>IF(K172="","",INDEX(Calcule!$U$6:$U$40,K172))</f>
        <v>653.79665379665369</v>
      </c>
      <c r="K172" s="72">
        <f>IFERROR(IF(A172&lt;=INDEX(Perioade!$D$6:$D$40,MATCH(A172,Perioade!$C$6:$C$40,1)),MATCH(A172,Perioade!$C$6:$C$40,1),""),"")</f>
        <v>7</v>
      </c>
    </row>
    <row r="173" spans="1:11" x14ac:dyDescent="0.2">
      <c r="A173" s="61">
        <f t="shared" si="4"/>
        <v>46488</v>
      </c>
      <c r="B173" s="71" t="str">
        <f t="shared" si="5"/>
        <v>Du</v>
      </c>
      <c r="C173" t="str">
        <f>IF(K173="","⚠ fără perioadă",INDEX(Perioade!$A$6:$A$40,K173))</f>
        <v>primavara-2027</v>
      </c>
      <c r="D173" s="71">
        <f>IF(K173="","",INDEX(Calcule!$C$6:$C$40,K173))</f>
        <v>2</v>
      </c>
      <c r="E173" s="71" t="str">
        <f>IF(K173="","",INDEX(Calcule!$B$6:$B$40,K173))</f>
        <v>Standard</v>
      </c>
      <c r="F173" s="12">
        <f>IF(K173="","",INDEX(Calcule!$R$6:$R$40,K173))</f>
        <v>900</v>
      </c>
      <c r="G173" s="12">
        <f>IF(K173="","",INDEX(Calcule!$Y$6:$Y$40,K173))</f>
        <v>1160</v>
      </c>
      <c r="H173" s="12">
        <f>IF(K173="","",INDEX(Calcule!$AE$6:$AE$40,K173))</f>
        <v>1040</v>
      </c>
      <c r="I173" s="12">
        <f>IF(K173="","",INDEX(Calcule!$AI$6:$AI$40,K173))</f>
        <v>1000</v>
      </c>
      <c r="J173" s="12">
        <f>IF(K173="","",INDEX(Calcule!$U$6:$U$40,K173))</f>
        <v>653.79665379665369</v>
      </c>
      <c r="K173" s="72">
        <f>IFERROR(IF(A173&lt;=INDEX(Perioade!$D$6:$D$40,MATCH(A173,Perioade!$C$6:$C$40,1)),MATCH(A173,Perioade!$C$6:$C$40,1),""),"")</f>
        <v>7</v>
      </c>
    </row>
    <row r="174" spans="1:11" x14ac:dyDescent="0.2">
      <c r="A174" s="61">
        <f t="shared" si="4"/>
        <v>46489</v>
      </c>
      <c r="B174" s="71" t="str">
        <f t="shared" si="5"/>
        <v>Lu</v>
      </c>
      <c r="C174" t="str">
        <f>IF(K174="","⚠ fără perioadă",INDEX(Perioade!$A$6:$A$40,K174))</f>
        <v>primavara-2027</v>
      </c>
      <c r="D174" s="71">
        <f>IF(K174="","",INDEX(Calcule!$C$6:$C$40,K174))</f>
        <v>2</v>
      </c>
      <c r="E174" s="71" t="str">
        <f>IF(K174="","",INDEX(Calcule!$B$6:$B$40,K174))</f>
        <v>Standard</v>
      </c>
      <c r="F174" s="12">
        <f>IF(K174="","",INDEX(Calcule!$R$6:$R$40,K174))</f>
        <v>900</v>
      </c>
      <c r="G174" s="12">
        <f>IF(K174="","",INDEX(Calcule!$Y$6:$Y$40,K174))</f>
        <v>1160</v>
      </c>
      <c r="H174" s="12">
        <f>IF(K174="","",INDEX(Calcule!$AE$6:$AE$40,K174))</f>
        <v>1040</v>
      </c>
      <c r="I174" s="12">
        <f>IF(K174="","",INDEX(Calcule!$AI$6:$AI$40,K174))</f>
        <v>1000</v>
      </c>
      <c r="J174" s="12">
        <f>IF(K174="","",INDEX(Calcule!$U$6:$U$40,K174))</f>
        <v>653.79665379665369</v>
      </c>
      <c r="K174" s="72">
        <f>IFERROR(IF(A174&lt;=INDEX(Perioade!$D$6:$D$40,MATCH(A174,Perioade!$C$6:$C$40,1)),MATCH(A174,Perioade!$C$6:$C$40,1),""),"")</f>
        <v>7</v>
      </c>
    </row>
    <row r="175" spans="1:11" x14ac:dyDescent="0.2">
      <c r="A175" s="61">
        <f t="shared" si="4"/>
        <v>46490</v>
      </c>
      <c r="B175" s="71" t="str">
        <f t="shared" si="5"/>
        <v>Ma</v>
      </c>
      <c r="C175" t="str">
        <f>IF(K175="","⚠ fără perioadă",INDEX(Perioade!$A$6:$A$40,K175))</f>
        <v>primavara-2027</v>
      </c>
      <c r="D175" s="71">
        <f>IF(K175="","",INDEX(Calcule!$C$6:$C$40,K175))</f>
        <v>2</v>
      </c>
      <c r="E175" s="71" t="str">
        <f>IF(K175="","",INDEX(Calcule!$B$6:$B$40,K175))</f>
        <v>Standard</v>
      </c>
      <c r="F175" s="12">
        <f>IF(K175="","",INDEX(Calcule!$R$6:$R$40,K175))</f>
        <v>900</v>
      </c>
      <c r="G175" s="12">
        <f>IF(K175="","",INDEX(Calcule!$Y$6:$Y$40,K175))</f>
        <v>1160</v>
      </c>
      <c r="H175" s="12">
        <f>IF(K175="","",INDEX(Calcule!$AE$6:$AE$40,K175))</f>
        <v>1040</v>
      </c>
      <c r="I175" s="12">
        <f>IF(K175="","",INDEX(Calcule!$AI$6:$AI$40,K175))</f>
        <v>1000</v>
      </c>
      <c r="J175" s="12">
        <f>IF(K175="","",INDEX(Calcule!$U$6:$U$40,K175))</f>
        <v>653.79665379665369</v>
      </c>
      <c r="K175" s="72">
        <f>IFERROR(IF(A175&lt;=INDEX(Perioade!$D$6:$D$40,MATCH(A175,Perioade!$C$6:$C$40,1)),MATCH(A175,Perioade!$C$6:$C$40,1),""),"")</f>
        <v>7</v>
      </c>
    </row>
    <row r="176" spans="1:11" x14ac:dyDescent="0.2">
      <c r="A176" s="61">
        <f t="shared" si="4"/>
        <v>46491</v>
      </c>
      <c r="B176" s="71" t="str">
        <f t="shared" si="5"/>
        <v>Mi</v>
      </c>
      <c r="C176" t="str">
        <f>IF(K176="","⚠ fără perioadă",INDEX(Perioade!$A$6:$A$40,K176))</f>
        <v>primavara-2027</v>
      </c>
      <c r="D176" s="71">
        <f>IF(K176="","",INDEX(Calcule!$C$6:$C$40,K176))</f>
        <v>2</v>
      </c>
      <c r="E176" s="71" t="str">
        <f>IF(K176="","",INDEX(Calcule!$B$6:$B$40,K176))</f>
        <v>Standard</v>
      </c>
      <c r="F176" s="12">
        <f>IF(K176="","",INDEX(Calcule!$R$6:$R$40,K176))</f>
        <v>900</v>
      </c>
      <c r="G176" s="12">
        <f>IF(K176="","",INDEX(Calcule!$Y$6:$Y$40,K176))</f>
        <v>1160</v>
      </c>
      <c r="H176" s="12">
        <f>IF(K176="","",INDEX(Calcule!$AE$6:$AE$40,K176))</f>
        <v>1040</v>
      </c>
      <c r="I176" s="12">
        <f>IF(K176="","",INDEX(Calcule!$AI$6:$AI$40,K176))</f>
        <v>1000</v>
      </c>
      <c r="J176" s="12">
        <f>IF(K176="","",INDEX(Calcule!$U$6:$U$40,K176))</f>
        <v>653.79665379665369</v>
      </c>
      <c r="K176" s="72">
        <f>IFERROR(IF(A176&lt;=INDEX(Perioade!$D$6:$D$40,MATCH(A176,Perioade!$C$6:$C$40,1)),MATCH(A176,Perioade!$C$6:$C$40,1),""),"")</f>
        <v>7</v>
      </c>
    </row>
    <row r="177" spans="1:11" x14ac:dyDescent="0.2">
      <c r="A177" s="61">
        <f t="shared" si="4"/>
        <v>46492</v>
      </c>
      <c r="B177" s="71" t="str">
        <f t="shared" si="5"/>
        <v>Jo</v>
      </c>
      <c r="C177" t="str">
        <f>IF(K177="","⚠ fără perioadă",INDEX(Perioade!$A$6:$A$40,K177))</f>
        <v>primavara-2027</v>
      </c>
      <c r="D177" s="71">
        <f>IF(K177="","",INDEX(Calcule!$C$6:$C$40,K177))</f>
        <v>2</v>
      </c>
      <c r="E177" s="71" t="str">
        <f>IF(K177="","",INDEX(Calcule!$B$6:$B$40,K177))</f>
        <v>Standard</v>
      </c>
      <c r="F177" s="12">
        <f>IF(K177="","",INDEX(Calcule!$R$6:$R$40,K177))</f>
        <v>900</v>
      </c>
      <c r="G177" s="12">
        <f>IF(K177="","",INDEX(Calcule!$Y$6:$Y$40,K177))</f>
        <v>1160</v>
      </c>
      <c r="H177" s="12">
        <f>IF(K177="","",INDEX(Calcule!$AE$6:$AE$40,K177))</f>
        <v>1040</v>
      </c>
      <c r="I177" s="12">
        <f>IF(K177="","",INDEX(Calcule!$AI$6:$AI$40,K177))</f>
        <v>1000</v>
      </c>
      <c r="J177" s="12">
        <f>IF(K177="","",INDEX(Calcule!$U$6:$U$40,K177))</f>
        <v>653.79665379665369</v>
      </c>
      <c r="K177" s="72">
        <f>IFERROR(IF(A177&lt;=INDEX(Perioade!$D$6:$D$40,MATCH(A177,Perioade!$C$6:$C$40,1)),MATCH(A177,Perioade!$C$6:$C$40,1),""),"")</f>
        <v>7</v>
      </c>
    </row>
    <row r="178" spans="1:11" x14ac:dyDescent="0.2">
      <c r="A178" s="61">
        <f t="shared" si="4"/>
        <v>46493</v>
      </c>
      <c r="B178" s="71" t="str">
        <f t="shared" si="5"/>
        <v>Vi</v>
      </c>
      <c r="C178" t="str">
        <f>IF(K178="","⚠ fără perioadă",INDEX(Perioade!$A$6:$A$40,K178))</f>
        <v>primavara-2027</v>
      </c>
      <c r="D178" s="71">
        <f>IF(K178="","",INDEX(Calcule!$C$6:$C$40,K178))</f>
        <v>2</v>
      </c>
      <c r="E178" s="71" t="str">
        <f>IF(K178="","",INDEX(Calcule!$B$6:$B$40,K178))</f>
        <v>Standard</v>
      </c>
      <c r="F178" s="12">
        <f>IF(K178="","",INDEX(Calcule!$R$6:$R$40,K178))</f>
        <v>900</v>
      </c>
      <c r="G178" s="12">
        <f>IF(K178="","",INDEX(Calcule!$Y$6:$Y$40,K178))</f>
        <v>1160</v>
      </c>
      <c r="H178" s="12">
        <f>IF(K178="","",INDEX(Calcule!$AE$6:$AE$40,K178))</f>
        <v>1040</v>
      </c>
      <c r="I178" s="12">
        <f>IF(K178="","",INDEX(Calcule!$AI$6:$AI$40,K178))</f>
        <v>1000</v>
      </c>
      <c r="J178" s="12">
        <f>IF(K178="","",INDEX(Calcule!$U$6:$U$40,K178))</f>
        <v>653.79665379665369</v>
      </c>
      <c r="K178" s="72">
        <f>IFERROR(IF(A178&lt;=INDEX(Perioade!$D$6:$D$40,MATCH(A178,Perioade!$C$6:$C$40,1)),MATCH(A178,Perioade!$C$6:$C$40,1),""),"")</f>
        <v>7</v>
      </c>
    </row>
    <row r="179" spans="1:11" x14ac:dyDescent="0.2">
      <c r="A179" s="61">
        <f t="shared" si="4"/>
        <v>46494</v>
      </c>
      <c r="B179" s="71" t="str">
        <f t="shared" si="5"/>
        <v>Sâ</v>
      </c>
      <c r="C179" t="str">
        <f>IF(K179="","⚠ fără perioadă",INDEX(Perioade!$A$6:$A$40,K179))</f>
        <v>primavara-2027</v>
      </c>
      <c r="D179" s="71">
        <f>IF(K179="","",INDEX(Calcule!$C$6:$C$40,K179))</f>
        <v>2</v>
      </c>
      <c r="E179" s="71" t="str">
        <f>IF(K179="","",INDEX(Calcule!$B$6:$B$40,K179))</f>
        <v>Standard</v>
      </c>
      <c r="F179" s="12">
        <f>IF(K179="","",INDEX(Calcule!$R$6:$R$40,K179))</f>
        <v>900</v>
      </c>
      <c r="G179" s="12">
        <f>IF(K179="","",INDEX(Calcule!$Y$6:$Y$40,K179))</f>
        <v>1160</v>
      </c>
      <c r="H179" s="12">
        <f>IF(K179="","",INDEX(Calcule!$AE$6:$AE$40,K179))</f>
        <v>1040</v>
      </c>
      <c r="I179" s="12">
        <f>IF(K179="","",INDEX(Calcule!$AI$6:$AI$40,K179))</f>
        <v>1000</v>
      </c>
      <c r="J179" s="12">
        <f>IF(K179="","",INDEX(Calcule!$U$6:$U$40,K179))</f>
        <v>653.79665379665369</v>
      </c>
      <c r="K179" s="72">
        <f>IFERROR(IF(A179&lt;=INDEX(Perioade!$D$6:$D$40,MATCH(A179,Perioade!$C$6:$C$40,1)),MATCH(A179,Perioade!$C$6:$C$40,1),""),"")</f>
        <v>7</v>
      </c>
    </row>
    <row r="180" spans="1:11" x14ac:dyDescent="0.2">
      <c r="A180" s="61">
        <f t="shared" si="4"/>
        <v>46495</v>
      </c>
      <c r="B180" s="71" t="str">
        <f t="shared" si="5"/>
        <v>Du</v>
      </c>
      <c r="C180" t="str">
        <f>IF(K180="","⚠ fără perioadă",INDEX(Perioade!$A$6:$A$40,K180))</f>
        <v>primavara-2027</v>
      </c>
      <c r="D180" s="71">
        <f>IF(K180="","",INDEX(Calcule!$C$6:$C$40,K180))</f>
        <v>2</v>
      </c>
      <c r="E180" s="71" t="str">
        <f>IF(K180="","",INDEX(Calcule!$B$6:$B$40,K180))</f>
        <v>Standard</v>
      </c>
      <c r="F180" s="12">
        <f>IF(K180="","",INDEX(Calcule!$R$6:$R$40,K180))</f>
        <v>900</v>
      </c>
      <c r="G180" s="12">
        <f>IF(K180="","",INDEX(Calcule!$Y$6:$Y$40,K180))</f>
        <v>1160</v>
      </c>
      <c r="H180" s="12">
        <f>IF(K180="","",INDEX(Calcule!$AE$6:$AE$40,K180))</f>
        <v>1040</v>
      </c>
      <c r="I180" s="12">
        <f>IF(K180="","",INDEX(Calcule!$AI$6:$AI$40,K180))</f>
        <v>1000</v>
      </c>
      <c r="J180" s="12">
        <f>IF(K180="","",INDEX(Calcule!$U$6:$U$40,K180))</f>
        <v>653.79665379665369</v>
      </c>
      <c r="K180" s="72">
        <f>IFERROR(IF(A180&lt;=INDEX(Perioade!$D$6:$D$40,MATCH(A180,Perioade!$C$6:$C$40,1)),MATCH(A180,Perioade!$C$6:$C$40,1),""),"")</f>
        <v>7</v>
      </c>
    </row>
    <row r="181" spans="1:11" x14ac:dyDescent="0.2">
      <c r="A181" s="61">
        <f t="shared" si="4"/>
        <v>46496</v>
      </c>
      <c r="B181" s="71" t="str">
        <f t="shared" si="5"/>
        <v>Lu</v>
      </c>
      <c r="C181" t="str">
        <f>IF(K181="","⚠ fără perioadă",INDEX(Perioade!$A$6:$A$40,K181))</f>
        <v>primavara-2027</v>
      </c>
      <c r="D181" s="71">
        <f>IF(K181="","",INDEX(Calcule!$C$6:$C$40,K181))</f>
        <v>2</v>
      </c>
      <c r="E181" s="71" t="str">
        <f>IF(K181="","",INDEX(Calcule!$B$6:$B$40,K181))</f>
        <v>Standard</v>
      </c>
      <c r="F181" s="12">
        <f>IF(K181="","",INDEX(Calcule!$R$6:$R$40,K181))</f>
        <v>900</v>
      </c>
      <c r="G181" s="12">
        <f>IF(K181="","",INDEX(Calcule!$Y$6:$Y$40,K181))</f>
        <v>1160</v>
      </c>
      <c r="H181" s="12">
        <f>IF(K181="","",INDEX(Calcule!$AE$6:$AE$40,K181))</f>
        <v>1040</v>
      </c>
      <c r="I181" s="12">
        <f>IF(K181="","",INDEX(Calcule!$AI$6:$AI$40,K181))</f>
        <v>1000</v>
      </c>
      <c r="J181" s="12">
        <f>IF(K181="","",INDEX(Calcule!$U$6:$U$40,K181))</f>
        <v>653.79665379665369</v>
      </c>
      <c r="K181" s="72">
        <f>IFERROR(IF(A181&lt;=INDEX(Perioade!$D$6:$D$40,MATCH(A181,Perioade!$C$6:$C$40,1)),MATCH(A181,Perioade!$C$6:$C$40,1),""),"")</f>
        <v>7</v>
      </c>
    </row>
    <row r="182" spans="1:11" x14ac:dyDescent="0.2">
      <c r="A182" s="61">
        <f t="shared" si="4"/>
        <v>46497</v>
      </c>
      <c r="B182" s="71" t="str">
        <f t="shared" si="5"/>
        <v>Ma</v>
      </c>
      <c r="C182" t="str">
        <f>IF(K182="","⚠ fără perioadă",INDEX(Perioade!$A$6:$A$40,K182))</f>
        <v>primavara-2027</v>
      </c>
      <c r="D182" s="71">
        <f>IF(K182="","",INDEX(Calcule!$C$6:$C$40,K182))</f>
        <v>2</v>
      </c>
      <c r="E182" s="71" t="str">
        <f>IF(K182="","",INDEX(Calcule!$B$6:$B$40,K182))</f>
        <v>Standard</v>
      </c>
      <c r="F182" s="12">
        <f>IF(K182="","",INDEX(Calcule!$R$6:$R$40,K182))</f>
        <v>900</v>
      </c>
      <c r="G182" s="12">
        <f>IF(K182="","",INDEX(Calcule!$Y$6:$Y$40,K182))</f>
        <v>1160</v>
      </c>
      <c r="H182" s="12">
        <f>IF(K182="","",INDEX(Calcule!$AE$6:$AE$40,K182))</f>
        <v>1040</v>
      </c>
      <c r="I182" s="12">
        <f>IF(K182="","",INDEX(Calcule!$AI$6:$AI$40,K182))</f>
        <v>1000</v>
      </c>
      <c r="J182" s="12">
        <f>IF(K182="","",INDEX(Calcule!$U$6:$U$40,K182))</f>
        <v>653.79665379665369</v>
      </c>
      <c r="K182" s="72">
        <f>IFERROR(IF(A182&lt;=INDEX(Perioade!$D$6:$D$40,MATCH(A182,Perioade!$C$6:$C$40,1)),MATCH(A182,Perioade!$C$6:$C$40,1),""),"")</f>
        <v>7</v>
      </c>
    </row>
    <row r="183" spans="1:11" x14ac:dyDescent="0.2">
      <c r="A183" s="61">
        <f t="shared" si="4"/>
        <v>46498</v>
      </c>
      <c r="B183" s="71" t="str">
        <f t="shared" si="5"/>
        <v>Mi</v>
      </c>
      <c r="C183" t="str">
        <f>IF(K183="","⚠ fără perioadă",INDEX(Perioade!$A$6:$A$40,K183))</f>
        <v>primavara-2027</v>
      </c>
      <c r="D183" s="71">
        <f>IF(K183="","",INDEX(Calcule!$C$6:$C$40,K183))</f>
        <v>2</v>
      </c>
      <c r="E183" s="71" t="str">
        <f>IF(K183="","",INDEX(Calcule!$B$6:$B$40,K183))</f>
        <v>Standard</v>
      </c>
      <c r="F183" s="12">
        <f>IF(K183="","",INDEX(Calcule!$R$6:$R$40,K183))</f>
        <v>900</v>
      </c>
      <c r="G183" s="12">
        <f>IF(K183="","",INDEX(Calcule!$Y$6:$Y$40,K183))</f>
        <v>1160</v>
      </c>
      <c r="H183" s="12">
        <f>IF(K183="","",INDEX(Calcule!$AE$6:$AE$40,K183))</f>
        <v>1040</v>
      </c>
      <c r="I183" s="12">
        <f>IF(K183="","",INDEX(Calcule!$AI$6:$AI$40,K183))</f>
        <v>1000</v>
      </c>
      <c r="J183" s="12">
        <f>IF(K183="","",INDEX(Calcule!$U$6:$U$40,K183))</f>
        <v>653.79665379665369</v>
      </c>
      <c r="K183" s="72">
        <f>IFERROR(IF(A183&lt;=INDEX(Perioade!$D$6:$D$40,MATCH(A183,Perioade!$C$6:$C$40,1)),MATCH(A183,Perioade!$C$6:$C$40,1),""),"")</f>
        <v>7</v>
      </c>
    </row>
    <row r="184" spans="1:11" x14ac:dyDescent="0.2">
      <c r="A184" s="61">
        <f t="shared" si="4"/>
        <v>46499</v>
      </c>
      <c r="B184" s="71" t="str">
        <f t="shared" si="5"/>
        <v>Jo</v>
      </c>
      <c r="C184" t="str">
        <f>IF(K184="","⚠ fără perioadă",INDEX(Perioade!$A$6:$A$40,K184))</f>
        <v>primavara-2027</v>
      </c>
      <c r="D184" s="71">
        <f>IF(K184="","",INDEX(Calcule!$C$6:$C$40,K184))</f>
        <v>2</v>
      </c>
      <c r="E184" s="71" t="str">
        <f>IF(K184="","",INDEX(Calcule!$B$6:$B$40,K184))</f>
        <v>Standard</v>
      </c>
      <c r="F184" s="12">
        <f>IF(K184="","",INDEX(Calcule!$R$6:$R$40,K184))</f>
        <v>900</v>
      </c>
      <c r="G184" s="12">
        <f>IF(K184="","",INDEX(Calcule!$Y$6:$Y$40,K184))</f>
        <v>1160</v>
      </c>
      <c r="H184" s="12">
        <f>IF(K184="","",INDEX(Calcule!$AE$6:$AE$40,K184))</f>
        <v>1040</v>
      </c>
      <c r="I184" s="12">
        <f>IF(K184="","",INDEX(Calcule!$AI$6:$AI$40,K184))</f>
        <v>1000</v>
      </c>
      <c r="J184" s="12">
        <f>IF(K184="","",INDEX(Calcule!$U$6:$U$40,K184))</f>
        <v>653.79665379665369</v>
      </c>
      <c r="K184" s="72">
        <f>IFERROR(IF(A184&lt;=INDEX(Perioade!$D$6:$D$40,MATCH(A184,Perioade!$C$6:$C$40,1)),MATCH(A184,Perioade!$C$6:$C$40,1),""),"")</f>
        <v>7</v>
      </c>
    </row>
    <row r="185" spans="1:11" x14ac:dyDescent="0.2">
      <c r="A185" s="61">
        <f t="shared" si="4"/>
        <v>46500</v>
      </c>
      <c r="B185" s="71" t="str">
        <f t="shared" si="5"/>
        <v>Vi</v>
      </c>
      <c r="C185" t="str">
        <f>IF(K185="","⚠ fără perioadă",INDEX(Perioade!$A$6:$A$40,K185))</f>
        <v>primavara-2027</v>
      </c>
      <c r="D185" s="71">
        <f>IF(K185="","",INDEX(Calcule!$C$6:$C$40,K185))</f>
        <v>2</v>
      </c>
      <c r="E185" s="71" t="str">
        <f>IF(K185="","",INDEX(Calcule!$B$6:$B$40,K185))</f>
        <v>Standard</v>
      </c>
      <c r="F185" s="12">
        <f>IF(K185="","",INDEX(Calcule!$R$6:$R$40,K185))</f>
        <v>900</v>
      </c>
      <c r="G185" s="12">
        <f>IF(K185="","",INDEX(Calcule!$Y$6:$Y$40,K185))</f>
        <v>1160</v>
      </c>
      <c r="H185" s="12">
        <f>IF(K185="","",INDEX(Calcule!$AE$6:$AE$40,K185))</f>
        <v>1040</v>
      </c>
      <c r="I185" s="12">
        <f>IF(K185="","",INDEX(Calcule!$AI$6:$AI$40,K185))</f>
        <v>1000</v>
      </c>
      <c r="J185" s="12">
        <f>IF(K185="","",INDEX(Calcule!$U$6:$U$40,K185))</f>
        <v>653.79665379665369</v>
      </c>
      <c r="K185" s="72">
        <f>IFERROR(IF(A185&lt;=INDEX(Perioade!$D$6:$D$40,MATCH(A185,Perioade!$C$6:$C$40,1)),MATCH(A185,Perioade!$C$6:$C$40,1),""),"")</f>
        <v>7</v>
      </c>
    </row>
    <row r="186" spans="1:11" x14ac:dyDescent="0.2">
      <c r="A186" s="61">
        <f t="shared" si="4"/>
        <v>46501</v>
      </c>
      <c r="B186" s="71" t="str">
        <f t="shared" si="5"/>
        <v>Sâ</v>
      </c>
      <c r="C186" t="str">
        <f>IF(K186="","⚠ fără perioadă",INDEX(Perioade!$A$6:$A$40,K186))</f>
        <v>primavara-2027</v>
      </c>
      <c r="D186" s="71">
        <f>IF(K186="","",INDEX(Calcule!$C$6:$C$40,K186))</f>
        <v>2</v>
      </c>
      <c r="E186" s="71" t="str">
        <f>IF(K186="","",INDEX(Calcule!$B$6:$B$40,K186))</f>
        <v>Standard</v>
      </c>
      <c r="F186" s="12">
        <f>IF(K186="","",INDEX(Calcule!$R$6:$R$40,K186))</f>
        <v>900</v>
      </c>
      <c r="G186" s="12">
        <f>IF(K186="","",INDEX(Calcule!$Y$6:$Y$40,K186))</f>
        <v>1160</v>
      </c>
      <c r="H186" s="12">
        <f>IF(K186="","",INDEX(Calcule!$AE$6:$AE$40,K186))</f>
        <v>1040</v>
      </c>
      <c r="I186" s="12">
        <f>IF(K186="","",INDEX(Calcule!$AI$6:$AI$40,K186))</f>
        <v>1000</v>
      </c>
      <c r="J186" s="12">
        <f>IF(K186="","",INDEX(Calcule!$U$6:$U$40,K186))</f>
        <v>653.79665379665369</v>
      </c>
      <c r="K186" s="72">
        <f>IFERROR(IF(A186&lt;=INDEX(Perioade!$D$6:$D$40,MATCH(A186,Perioade!$C$6:$C$40,1)),MATCH(A186,Perioade!$C$6:$C$40,1),""),"")</f>
        <v>7</v>
      </c>
    </row>
    <row r="187" spans="1:11" x14ac:dyDescent="0.2">
      <c r="A187" s="61">
        <f t="shared" si="4"/>
        <v>46502</v>
      </c>
      <c r="B187" s="71" t="str">
        <f t="shared" si="5"/>
        <v>Du</v>
      </c>
      <c r="C187" t="str">
        <f>IF(K187="","⚠ fără perioadă",INDEX(Perioade!$A$6:$A$40,K187))</f>
        <v>primavara-2027</v>
      </c>
      <c r="D187" s="71">
        <f>IF(K187="","",INDEX(Calcule!$C$6:$C$40,K187))</f>
        <v>2</v>
      </c>
      <c r="E187" s="71" t="str">
        <f>IF(K187="","",INDEX(Calcule!$B$6:$B$40,K187))</f>
        <v>Standard</v>
      </c>
      <c r="F187" s="12">
        <f>IF(K187="","",INDEX(Calcule!$R$6:$R$40,K187))</f>
        <v>900</v>
      </c>
      <c r="G187" s="12">
        <f>IF(K187="","",INDEX(Calcule!$Y$6:$Y$40,K187))</f>
        <v>1160</v>
      </c>
      <c r="H187" s="12">
        <f>IF(K187="","",INDEX(Calcule!$AE$6:$AE$40,K187))</f>
        <v>1040</v>
      </c>
      <c r="I187" s="12">
        <f>IF(K187="","",INDEX(Calcule!$AI$6:$AI$40,K187))</f>
        <v>1000</v>
      </c>
      <c r="J187" s="12">
        <f>IF(K187="","",INDEX(Calcule!$U$6:$U$40,K187))</f>
        <v>653.79665379665369</v>
      </c>
      <c r="K187" s="72">
        <f>IFERROR(IF(A187&lt;=INDEX(Perioade!$D$6:$D$40,MATCH(A187,Perioade!$C$6:$C$40,1)),MATCH(A187,Perioade!$C$6:$C$40,1),""),"")</f>
        <v>7</v>
      </c>
    </row>
    <row r="188" spans="1:11" x14ac:dyDescent="0.2">
      <c r="A188" s="61">
        <f t="shared" si="4"/>
        <v>46503</v>
      </c>
      <c r="B188" s="71" t="str">
        <f t="shared" si="5"/>
        <v>Lu</v>
      </c>
      <c r="C188" t="str">
        <f>IF(K188="","⚠ fără perioadă",INDEX(Perioade!$A$6:$A$40,K188))</f>
        <v>primavara-2027</v>
      </c>
      <c r="D188" s="71">
        <f>IF(K188="","",INDEX(Calcule!$C$6:$C$40,K188))</f>
        <v>2</v>
      </c>
      <c r="E188" s="71" t="str">
        <f>IF(K188="","",INDEX(Calcule!$B$6:$B$40,K188))</f>
        <v>Standard</v>
      </c>
      <c r="F188" s="12">
        <f>IF(K188="","",INDEX(Calcule!$R$6:$R$40,K188))</f>
        <v>900</v>
      </c>
      <c r="G188" s="12">
        <f>IF(K188="","",INDEX(Calcule!$Y$6:$Y$40,K188))</f>
        <v>1160</v>
      </c>
      <c r="H188" s="12">
        <f>IF(K188="","",INDEX(Calcule!$AE$6:$AE$40,K188))</f>
        <v>1040</v>
      </c>
      <c r="I188" s="12">
        <f>IF(K188="","",INDEX(Calcule!$AI$6:$AI$40,K188))</f>
        <v>1000</v>
      </c>
      <c r="J188" s="12">
        <f>IF(K188="","",INDEX(Calcule!$U$6:$U$40,K188))</f>
        <v>653.79665379665369</v>
      </c>
      <c r="K188" s="72">
        <f>IFERROR(IF(A188&lt;=INDEX(Perioade!$D$6:$D$40,MATCH(A188,Perioade!$C$6:$C$40,1)),MATCH(A188,Perioade!$C$6:$C$40,1),""),"")</f>
        <v>7</v>
      </c>
    </row>
    <row r="189" spans="1:11" x14ac:dyDescent="0.2">
      <c r="A189" s="61">
        <f t="shared" si="4"/>
        <v>46504</v>
      </c>
      <c r="B189" s="71" t="str">
        <f t="shared" si="5"/>
        <v>Ma</v>
      </c>
      <c r="C189" t="str">
        <f>IF(K189="","⚠ fără perioadă",INDEX(Perioade!$A$6:$A$40,K189))</f>
        <v>primavara-2027</v>
      </c>
      <c r="D189" s="71">
        <f>IF(K189="","",INDEX(Calcule!$C$6:$C$40,K189))</f>
        <v>2</v>
      </c>
      <c r="E189" s="71" t="str">
        <f>IF(K189="","",INDEX(Calcule!$B$6:$B$40,K189))</f>
        <v>Standard</v>
      </c>
      <c r="F189" s="12">
        <f>IF(K189="","",INDEX(Calcule!$R$6:$R$40,K189))</f>
        <v>900</v>
      </c>
      <c r="G189" s="12">
        <f>IF(K189="","",INDEX(Calcule!$Y$6:$Y$40,K189))</f>
        <v>1160</v>
      </c>
      <c r="H189" s="12">
        <f>IF(K189="","",INDEX(Calcule!$AE$6:$AE$40,K189))</f>
        <v>1040</v>
      </c>
      <c r="I189" s="12">
        <f>IF(K189="","",INDEX(Calcule!$AI$6:$AI$40,K189))</f>
        <v>1000</v>
      </c>
      <c r="J189" s="12">
        <f>IF(K189="","",INDEX(Calcule!$U$6:$U$40,K189))</f>
        <v>653.79665379665369</v>
      </c>
      <c r="K189" s="72">
        <f>IFERROR(IF(A189&lt;=INDEX(Perioade!$D$6:$D$40,MATCH(A189,Perioade!$C$6:$C$40,1)),MATCH(A189,Perioade!$C$6:$C$40,1),""),"")</f>
        <v>7</v>
      </c>
    </row>
    <row r="190" spans="1:11" x14ac:dyDescent="0.2">
      <c r="A190" s="61">
        <f t="shared" si="4"/>
        <v>46505</v>
      </c>
      <c r="B190" s="71" t="str">
        <f t="shared" si="5"/>
        <v>Mi</v>
      </c>
      <c r="C190" t="str">
        <f>IF(K190="","⚠ fără perioadă",INDEX(Perioade!$A$6:$A$40,K190))</f>
        <v>primavara-2027</v>
      </c>
      <c r="D190" s="71">
        <f>IF(K190="","",INDEX(Calcule!$C$6:$C$40,K190))</f>
        <v>2</v>
      </c>
      <c r="E190" s="71" t="str">
        <f>IF(K190="","",INDEX(Calcule!$B$6:$B$40,K190))</f>
        <v>Standard</v>
      </c>
      <c r="F190" s="12">
        <f>IF(K190="","",INDEX(Calcule!$R$6:$R$40,K190))</f>
        <v>900</v>
      </c>
      <c r="G190" s="12">
        <f>IF(K190="","",INDEX(Calcule!$Y$6:$Y$40,K190))</f>
        <v>1160</v>
      </c>
      <c r="H190" s="12">
        <f>IF(K190="","",INDEX(Calcule!$AE$6:$AE$40,K190))</f>
        <v>1040</v>
      </c>
      <c r="I190" s="12">
        <f>IF(K190="","",INDEX(Calcule!$AI$6:$AI$40,K190))</f>
        <v>1000</v>
      </c>
      <c r="J190" s="12">
        <f>IF(K190="","",INDEX(Calcule!$U$6:$U$40,K190))</f>
        <v>653.79665379665369</v>
      </c>
      <c r="K190" s="72">
        <f>IFERROR(IF(A190&lt;=INDEX(Perioade!$D$6:$D$40,MATCH(A190,Perioade!$C$6:$C$40,1)),MATCH(A190,Perioade!$C$6:$C$40,1),""),"")</f>
        <v>7</v>
      </c>
    </row>
    <row r="191" spans="1:11" x14ac:dyDescent="0.2">
      <c r="A191" s="61">
        <f t="shared" si="4"/>
        <v>46506</v>
      </c>
      <c r="B191" s="71" t="str">
        <f t="shared" si="5"/>
        <v>Jo</v>
      </c>
      <c r="C191" t="str">
        <f>IF(K191="","⚠ fără perioadă",INDEX(Perioade!$A$6:$A$40,K191))</f>
        <v>primavara-2027</v>
      </c>
      <c r="D191" s="71">
        <f>IF(K191="","",INDEX(Calcule!$C$6:$C$40,K191))</f>
        <v>2</v>
      </c>
      <c r="E191" s="71" t="str">
        <f>IF(K191="","",INDEX(Calcule!$B$6:$B$40,K191))</f>
        <v>Standard</v>
      </c>
      <c r="F191" s="12">
        <f>IF(K191="","",INDEX(Calcule!$R$6:$R$40,K191))</f>
        <v>900</v>
      </c>
      <c r="G191" s="12">
        <f>IF(K191="","",INDEX(Calcule!$Y$6:$Y$40,K191))</f>
        <v>1160</v>
      </c>
      <c r="H191" s="12">
        <f>IF(K191="","",INDEX(Calcule!$AE$6:$AE$40,K191))</f>
        <v>1040</v>
      </c>
      <c r="I191" s="12">
        <f>IF(K191="","",INDEX(Calcule!$AI$6:$AI$40,K191))</f>
        <v>1000</v>
      </c>
      <c r="J191" s="12">
        <f>IF(K191="","",INDEX(Calcule!$U$6:$U$40,K191))</f>
        <v>653.79665379665369</v>
      </c>
      <c r="K191" s="72">
        <f>IFERROR(IF(A191&lt;=INDEX(Perioade!$D$6:$D$40,MATCH(A191,Perioade!$C$6:$C$40,1)),MATCH(A191,Perioade!$C$6:$C$40,1),""),"")</f>
        <v>7</v>
      </c>
    </row>
    <row r="192" spans="1:11" x14ac:dyDescent="0.2">
      <c r="A192" s="61">
        <f t="shared" si="4"/>
        <v>46507</v>
      </c>
      <c r="B192" s="71" t="str">
        <f t="shared" si="5"/>
        <v>Vi</v>
      </c>
      <c r="C192" t="str">
        <f>IF(K192="","⚠ fără perioadă",INDEX(Perioade!$A$6:$A$40,K192))</f>
        <v>primavara-2027</v>
      </c>
      <c r="D192" s="71">
        <f>IF(K192="","",INDEX(Calcule!$C$6:$C$40,K192))</f>
        <v>2</v>
      </c>
      <c r="E192" s="71" t="str">
        <f>IF(K192="","",INDEX(Calcule!$B$6:$B$40,K192))</f>
        <v>Standard</v>
      </c>
      <c r="F192" s="12">
        <f>IF(K192="","",INDEX(Calcule!$R$6:$R$40,K192))</f>
        <v>900</v>
      </c>
      <c r="G192" s="12">
        <f>IF(K192="","",INDEX(Calcule!$Y$6:$Y$40,K192))</f>
        <v>1160</v>
      </c>
      <c r="H192" s="12">
        <f>IF(K192="","",INDEX(Calcule!$AE$6:$AE$40,K192))</f>
        <v>1040</v>
      </c>
      <c r="I192" s="12">
        <f>IF(K192="","",INDEX(Calcule!$AI$6:$AI$40,K192))</f>
        <v>1000</v>
      </c>
      <c r="J192" s="12">
        <f>IF(K192="","",INDEX(Calcule!$U$6:$U$40,K192))</f>
        <v>653.79665379665369</v>
      </c>
      <c r="K192" s="72">
        <f>IFERROR(IF(A192&lt;=INDEX(Perioade!$D$6:$D$40,MATCH(A192,Perioade!$C$6:$C$40,1)),MATCH(A192,Perioade!$C$6:$C$40,1),""),"")</f>
        <v>7</v>
      </c>
    </row>
    <row r="193" spans="1:11" x14ac:dyDescent="0.2">
      <c r="A193" s="61">
        <f t="shared" si="4"/>
        <v>46508</v>
      </c>
      <c r="B193" s="71" t="str">
        <f t="shared" si="5"/>
        <v>Sâ</v>
      </c>
      <c r="C193" t="str">
        <f>IF(K193="","⚠ fără perioadă",INDEX(Perioade!$A$6:$A$40,K193))</f>
        <v>primavara-2027</v>
      </c>
      <c r="D193" s="71">
        <f>IF(K193="","",INDEX(Calcule!$C$6:$C$40,K193))</f>
        <v>2</v>
      </c>
      <c r="E193" s="71" t="str">
        <f>IF(K193="","",INDEX(Calcule!$B$6:$B$40,K193))</f>
        <v>Standard</v>
      </c>
      <c r="F193" s="12">
        <f>IF(K193="","",INDEX(Calcule!$R$6:$R$40,K193))</f>
        <v>900</v>
      </c>
      <c r="G193" s="12">
        <f>IF(K193="","",INDEX(Calcule!$Y$6:$Y$40,K193))</f>
        <v>1160</v>
      </c>
      <c r="H193" s="12">
        <f>IF(K193="","",INDEX(Calcule!$AE$6:$AE$40,K193))</f>
        <v>1040</v>
      </c>
      <c r="I193" s="12">
        <f>IF(K193="","",INDEX(Calcule!$AI$6:$AI$40,K193))</f>
        <v>1000</v>
      </c>
      <c r="J193" s="12">
        <f>IF(K193="","",INDEX(Calcule!$U$6:$U$40,K193))</f>
        <v>653.79665379665369</v>
      </c>
      <c r="K193" s="72">
        <f>IFERROR(IF(A193&lt;=INDEX(Perioade!$D$6:$D$40,MATCH(A193,Perioade!$C$6:$C$40,1)),MATCH(A193,Perioade!$C$6:$C$40,1),""),"")</f>
        <v>7</v>
      </c>
    </row>
    <row r="194" spans="1:11" x14ac:dyDescent="0.2">
      <c r="A194" s="61">
        <f t="shared" si="4"/>
        <v>46509</v>
      </c>
      <c r="B194" s="71" t="str">
        <f t="shared" si="5"/>
        <v>Du</v>
      </c>
      <c r="C194" t="str">
        <f>IF(K194="","⚠ fără perioadă",INDEX(Perioade!$A$6:$A$40,K194))</f>
        <v>primavara-2027</v>
      </c>
      <c r="D194" s="71">
        <f>IF(K194="","",INDEX(Calcule!$C$6:$C$40,K194))</f>
        <v>2</v>
      </c>
      <c r="E194" s="71" t="str">
        <f>IF(K194="","",INDEX(Calcule!$B$6:$B$40,K194))</f>
        <v>Standard</v>
      </c>
      <c r="F194" s="12">
        <f>IF(K194="","",INDEX(Calcule!$R$6:$R$40,K194))</f>
        <v>900</v>
      </c>
      <c r="G194" s="12">
        <f>IF(K194="","",INDEX(Calcule!$Y$6:$Y$40,K194))</f>
        <v>1160</v>
      </c>
      <c r="H194" s="12">
        <f>IF(K194="","",INDEX(Calcule!$AE$6:$AE$40,K194))</f>
        <v>1040</v>
      </c>
      <c r="I194" s="12">
        <f>IF(K194="","",INDEX(Calcule!$AI$6:$AI$40,K194))</f>
        <v>1000</v>
      </c>
      <c r="J194" s="12">
        <f>IF(K194="","",INDEX(Calcule!$U$6:$U$40,K194))</f>
        <v>653.79665379665369</v>
      </c>
      <c r="K194" s="72">
        <f>IFERROR(IF(A194&lt;=INDEX(Perioade!$D$6:$D$40,MATCH(A194,Perioade!$C$6:$C$40,1)),MATCH(A194,Perioade!$C$6:$C$40,1),""),"")</f>
        <v>7</v>
      </c>
    </row>
    <row r="195" spans="1:11" x14ac:dyDescent="0.2">
      <c r="A195" s="61">
        <f t="shared" si="4"/>
        <v>46510</v>
      </c>
      <c r="B195" s="71" t="str">
        <f t="shared" si="5"/>
        <v>Lu</v>
      </c>
      <c r="C195" t="str">
        <f>IF(K195="","⚠ fără perioadă",INDEX(Perioade!$A$6:$A$40,K195))</f>
        <v>primavara-2027</v>
      </c>
      <c r="D195" s="71">
        <f>IF(K195="","",INDEX(Calcule!$C$6:$C$40,K195))</f>
        <v>2</v>
      </c>
      <c r="E195" s="71" t="str">
        <f>IF(K195="","",INDEX(Calcule!$B$6:$B$40,K195))</f>
        <v>Standard</v>
      </c>
      <c r="F195" s="12">
        <f>IF(K195="","",INDEX(Calcule!$R$6:$R$40,K195))</f>
        <v>900</v>
      </c>
      <c r="G195" s="12">
        <f>IF(K195="","",INDEX(Calcule!$Y$6:$Y$40,K195))</f>
        <v>1160</v>
      </c>
      <c r="H195" s="12">
        <f>IF(K195="","",INDEX(Calcule!$AE$6:$AE$40,K195))</f>
        <v>1040</v>
      </c>
      <c r="I195" s="12">
        <f>IF(K195="","",INDEX(Calcule!$AI$6:$AI$40,K195))</f>
        <v>1000</v>
      </c>
      <c r="J195" s="12">
        <f>IF(K195="","",INDEX(Calcule!$U$6:$U$40,K195))</f>
        <v>653.79665379665369</v>
      </c>
      <c r="K195" s="72">
        <f>IFERROR(IF(A195&lt;=INDEX(Perioade!$D$6:$D$40,MATCH(A195,Perioade!$C$6:$C$40,1)),MATCH(A195,Perioade!$C$6:$C$40,1),""),"")</f>
        <v>7</v>
      </c>
    </row>
    <row r="196" spans="1:11" x14ac:dyDescent="0.2">
      <c r="A196" s="61">
        <f t="shared" si="4"/>
        <v>46511</v>
      </c>
      <c r="B196" s="71" t="str">
        <f t="shared" si="5"/>
        <v>Ma</v>
      </c>
      <c r="C196" t="str">
        <f>IF(K196="","⚠ fără perioadă",INDEX(Perioade!$A$6:$A$40,K196))</f>
        <v>primavara-2027</v>
      </c>
      <c r="D196" s="71">
        <f>IF(K196="","",INDEX(Calcule!$C$6:$C$40,K196))</f>
        <v>2</v>
      </c>
      <c r="E196" s="71" t="str">
        <f>IF(K196="","",INDEX(Calcule!$B$6:$B$40,K196))</f>
        <v>Standard</v>
      </c>
      <c r="F196" s="12">
        <f>IF(K196="","",INDEX(Calcule!$R$6:$R$40,K196))</f>
        <v>900</v>
      </c>
      <c r="G196" s="12">
        <f>IF(K196="","",INDEX(Calcule!$Y$6:$Y$40,K196))</f>
        <v>1160</v>
      </c>
      <c r="H196" s="12">
        <f>IF(K196="","",INDEX(Calcule!$AE$6:$AE$40,K196))</f>
        <v>1040</v>
      </c>
      <c r="I196" s="12">
        <f>IF(K196="","",INDEX(Calcule!$AI$6:$AI$40,K196))</f>
        <v>1000</v>
      </c>
      <c r="J196" s="12">
        <f>IF(K196="","",INDEX(Calcule!$U$6:$U$40,K196))</f>
        <v>653.79665379665369</v>
      </c>
      <c r="K196" s="72">
        <f>IFERROR(IF(A196&lt;=INDEX(Perioade!$D$6:$D$40,MATCH(A196,Perioade!$C$6:$C$40,1)),MATCH(A196,Perioade!$C$6:$C$40,1),""),"")</f>
        <v>7</v>
      </c>
    </row>
    <row r="197" spans="1:11" x14ac:dyDescent="0.2">
      <c r="A197" s="61">
        <f t="shared" ref="A197:A260" si="6">$B$2+ROW()-5</f>
        <v>46512</v>
      </c>
      <c r="B197" s="71" t="str">
        <f t="shared" ref="B197:B260" si="7">CHOOSE(WEEKDAY(A197,2),"Lu","Ma","Mi","Jo","Vi","Sâ","Du")</f>
        <v>Mi</v>
      </c>
      <c r="C197" t="str">
        <f>IF(K197="","⚠ fără perioadă",INDEX(Perioade!$A$6:$A$40,K197))</f>
        <v>primavara-2027</v>
      </c>
      <c r="D197" s="71">
        <f>IF(K197="","",INDEX(Calcule!$C$6:$C$40,K197))</f>
        <v>2</v>
      </c>
      <c r="E197" s="71" t="str">
        <f>IF(K197="","",INDEX(Calcule!$B$6:$B$40,K197))</f>
        <v>Standard</v>
      </c>
      <c r="F197" s="12">
        <f>IF(K197="","",INDEX(Calcule!$R$6:$R$40,K197))</f>
        <v>900</v>
      </c>
      <c r="G197" s="12">
        <f>IF(K197="","",INDEX(Calcule!$Y$6:$Y$40,K197))</f>
        <v>1160</v>
      </c>
      <c r="H197" s="12">
        <f>IF(K197="","",INDEX(Calcule!$AE$6:$AE$40,K197))</f>
        <v>1040</v>
      </c>
      <c r="I197" s="12">
        <f>IF(K197="","",INDEX(Calcule!$AI$6:$AI$40,K197))</f>
        <v>1000</v>
      </c>
      <c r="J197" s="12">
        <f>IF(K197="","",INDEX(Calcule!$U$6:$U$40,K197))</f>
        <v>653.79665379665369</v>
      </c>
      <c r="K197" s="72">
        <f>IFERROR(IF(A197&lt;=INDEX(Perioade!$D$6:$D$40,MATCH(A197,Perioade!$C$6:$C$40,1)),MATCH(A197,Perioade!$C$6:$C$40,1),""),"")</f>
        <v>7</v>
      </c>
    </row>
    <row r="198" spans="1:11" x14ac:dyDescent="0.2">
      <c r="A198" s="61">
        <f t="shared" si="6"/>
        <v>46513</v>
      </c>
      <c r="B198" s="71" t="str">
        <f t="shared" si="7"/>
        <v>Jo</v>
      </c>
      <c r="C198" t="str">
        <f>IF(K198="","⚠ fără perioadă",INDEX(Perioade!$A$6:$A$40,K198))</f>
        <v>primavara-2027</v>
      </c>
      <c r="D198" s="71">
        <f>IF(K198="","",INDEX(Calcule!$C$6:$C$40,K198))</f>
        <v>2</v>
      </c>
      <c r="E198" s="71" t="str">
        <f>IF(K198="","",INDEX(Calcule!$B$6:$B$40,K198))</f>
        <v>Standard</v>
      </c>
      <c r="F198" s="12">
        <f>IF(K198="","",INDEX(Calcule!$R$6:$R$40,K198))</f>
        <v>900</v>
      </c>
      <c r="G198" s="12">
        <f>IF(K198="","",INDEX(Calcule!$Y$6:$Y$40,K198))</f>
        <v>1160</v>
      </c>
      <c r="H198" s="12">
        <f>IF(K198="","",INDEX(Calcule!$AE$6:$AE$40,K198))</f>
        <v>1040</v>
      </c>
      <c r="I198" s="12">
        <f>IF(K198="","",INDEX(Calcule!$AI$6:$AI$40,K198))</f>
        <v>1000</v>
      </c>
      <c r="J198" s="12">
        <f>IF(K198="","",INDEX(Calcule!$U$6:$U$40,K198))</f>
        <v>653.79665379665369</v>
      </c>
      <c r="K198" s="72">
        <f>IFERROR(IF(A198&lt;=INDEX(Perioade!$D$6:$D$40,MATCH(A198,Perioade!$C$6:$C$40,1)),MATCH(A198,Perioade!$C$6:$C$40,1),""),"")</f>
        <v>7</v>
      </c>
    </row>
    <row r="199" spans="1:11" x14ac:dyDescent="0.2">
      <c r="A199" s="61">
        <f t="shared" si="6"/>
        <v>46514</v>
      </c>
      <c r="B199" s="71" t="str">
        <f t="shared" si="7"/>
        <v>Vi</v>
      </c>
      <c r="C199" t="str">
        <f>IF(K199="","⚠ fără perioadă",INDEX(Perioade!$A$6:$A$40,K199))</f>
        <v>primavara-2027</v>
      </c>
      <c r="D199" s="71">
        <f>IF(K199="","",INDEX(Calcule!$C$6:$C$40,K199))</f>
        <v>2</v>
      </c>
      <c r="E199" s="71" t="str">
        <f>IF(K199="","",INDEX(Calcule!$B$6:$B$40,K199))</f>
        <v>Standard</v>
      </c>
      <c r="F199" s="12">
        <f>IF(K199="","",INDEX(Calcule!$R$6:$R$40,K199))</f>
        <v>900</v>
      </c>
      <c r="G199" s="12">
        <f>IF(K199="","",INDEX(Calcule!$Y$6:$Y$40,K199))</f>
        <v>1160</v>
      </c>
      <c r="H199" s="12">
        <f>IF(K199="","",INDEX(Calcule!$AE$6:$AE$40,K199))</f>
        <v>1040</v>
      </c>
      <c r="I199" s="12">
        <f>IF(K199="","",INDEX(Calcule!$AI$6:$AI$40,K199))</f>
        <v>1000</v>
      </c>
      <c r="J199" s="12">
        <f>IF(K199="","",INDEX(Calcule!$U$6:$U$40,K199))</f>
        <v>653.79665379665369</v>
      </c>
      <c r="K199" s="72">
        <f>IFERROR(IF(A199&lt;=INDEX(Perioade!$D$6:$D$40,MATCH(A199,Perioade!$C$6:$C$40,1)),MATCH(A199,Perioade!$C$6:$C$40,1),""),"")</f>
        <v>7</v>
      </c>
    </row>
    <row r="200" spans="1:11" x14ac:dyDescent="0.2">
      <c r="A200" s="61">
        <f t="shared" si="6"/>
        <v>46515</v>
      </c>
      <c r="B200" s="71" t="str">
        <f t="shared" si="7"/>
        <v>Sâ</v>
      </c>
      <c r="C200" t="str">
        <f>IF(K200="","⚠ fără perioadă",INDEX(Perioade!$A$6:$A$40,K200))</f>
        <v>primavara-2027</v>
      </c>
      <c r="D200" s="71">
        <f>IF(K200="","",INDEX(Calcule!$C$6:$C$40,K200))</f>
        <v>2</v>
      </c>
      <c r="E200" s="71" t="str">
        <f>IF(K200="","",INDEX(Calcule!$B$6:$B$40,K200))</f>
        <v>Standard</v>
      </c>
      <c r="F200" s="12">
        <f>IF(K200="","",INDEX(Calcule!$R$6:$R$40,K200))</f>
        <v>900</v>
      </c>
      <c r="G200" s="12">
        <f>IF(K200="","",INDEX(Calcule!$Y$6:$Y$40,K200))</f>
        <v>1160</v>
      </c>
      <c r="H200" s="12">
        <f>IF(K200="","",INDEX(Calcule!$AE$6:$AE$40,K200))</f>
        <v>1040</v>
      </c>
      <c r="I200" s="12">
        <f>IF(K200="","",INDEX(Calcule!$AI$6:$AI$40,K200))</f>
        <v>1000</v>
      </c>
      <c r="J200" s="12">
        <f>IF(K200="","",INDEX(Calcule!$U$6:$U$40,K200))</f>
        <v>653.79665379665369</v>
      </c>
      <c r="K200" s="72">
        <f>IFERROR(IF(A200&lt;=INDEX(Perioade!$D$6:$D$40,MATCH(A200,Perioade!$C$6:$C$40,1)),MATCH(A200,Perioade!$C$6:$C$40,1),""),"")</f>
        <v>7</v>
      </c>
    </row>
    <row r="201" spans="1:11" x14ac:dyDescent="0.2">
      <c r="A201" s="61">
        <f t="shared" si="6"/>
        <v>46516</v>
      </c>
      <c r="B201" s="71" t="str">
        <f t="shared" si="7"/>
        <v>Du</v>
      </c>
      <c r="C201" t="str">
        <f>IF(K201="","⚠ fără perioadă",INDEX(Perioade!$A$6:$A$40,K201))</f>
        <v>primavara-2027</v>
      </c>
      <c r="D201" s="71">
        <f>IF(K201="","",INDEX(Calcule!$C$6:$C$40,K201))</f>
        <v>2</v>
      </c>
      <c r="E201" s="71" t="str">
        <f>IF(K201="","",INDEX(Calcule!$B$6:$B$40,K201))</f>
        <v>Standard</v>
      </c>
      <c r="F201" s="12">
        <f>IF(K201="","",INDEX(Calcule!$R$6:$R$40,K201))</f>
        <v>900</v>
      </c>
      <c r="G201" s="12">
        <f>IF(K201="","",INDEX(Calcule!$Y$6:$Y$40,K201))</f>
        <v>1160</v>
      </c>
      <c r="H201" s="12">
        <f>IF(K201="","",INDEX(Calcule!$AE$6:$AE$40,K201))</f>
        <v>1040</v>
      </c>
      <c r="I201" s="12">
        <f>IF(K201="","",INDEX(Calcule!$AI$6:$AI$40,K201))</f>
        <v>1000</v>
      </c>
      <c r="J201" s="12">
        <f>IF(K201="","",INDEX(Calcule!$U$6:$U$40,K201))</f>
        <v>653.79665379665369</v>
      </c>
      <c r="K201" s="72">
        <f>IFERROR(IF(A201&lt;=INDEX(Perioade!$D$6:$D$40,MATCH(A201,Perioade!$C$6:$C$40,1)),MATCH(A201,Perioade!$C$6:$C$40,1),""),"")</f>
        <v>7</v>
      </c>
    </row>
    <row r="202" spans="1:11" x14ac:dyDescent="0.2">
      <c r="A202" s="61">
        <f t="shared" si="6"/>
        <v>46517</v>
      </c>
      <c r="B202" s="71" t="str">
        <f t="shared" si="7"/>
        <v>Lu</v>
      </c>
      <c r="C202" t="str">
        <f>IF(K202="","⚠ fără perioadă",INDEX(Perioade!$A$6:$A$40,K202))</f>
        <v>primavara-2027</v>
      </c>
      <c r="D202" s="71">
        <f>IF(K202="","",INDEX(Calcule!$C$6:$C$40,K202))</f>
        <v>2</v>
      </c>
      <c r="E202" s="71" t="str">
        <f>IF(K202="","",INDEX(Calcule!$B$6:$B$40,K202))</f>
        <v>Standard</v>
      </c>
      <c r="F202" s="12">
        <f>IF(K202="","",INDEX(Calcule!$R$6:$R$40,K202))</f>
        <v>900</v>
      </c>
      <c r="G202" s="12">
        <f>IF(K202="","",INDEX(Calcule!$Y$6:$Y$40,K202))</f>
        <v>1160</v>
      </c>
      <c r="H202" s="12">
        <f>IF(K202="","",INDEX(Calcule!$AE$6:$AE$40,K202))</f>
        <v>1040</v>
      </c>
      <c r="I202" s="12">
        <f>IF(K202="","",INDEX(Calcule!$AI$6:$AI$40,K202))</f>
        <v>1000</v>
      </c>
      <c r="J202" s="12">
        <f>IF(K202="","",INDEX(Calcule!$U$6:$U$40,K202))</f>
        <v>653.79665379665369</v>
      </c>
      <c r="K202" s="72">
        <f>IFERROR(IF(A202&lt;=INDEX(Perioade!$D$6:$D$40,MATCH(A202,Perioade!$C$6:$C$40,1)),MATCH(A202,Perioade!$C$6:$C$40,1),""),"")</f>
        <v>7</v>
      </c>
    </row>
    <row r="203" spans="1:11" x14ac:dyDescent="0.2">
      <c r="A203" s="61">
        <f t="shared" si="6"/>
        <v>46518</v>
      </c>
      <c r="B203" s="71" t="str">
        <f t="shared" si="7"/>
        <v>Ma</v>
      </c>
      <c r="C203" t="str">
        <f>IF(K203="","⚠ fără perioadă",INDEX(Perioade!$A$6:$A$40,K203))</f>
        <v>primavara-2027</v>
      </c>
      <c r="D203" s="71">
        <f>IF(K203="","",INDEX(Calcule!$C$6:$C$40,K203))</f>
        <v>2</v>
      </c>
      <c r="E203" s="71" t="str">
        <f>IF(K203="","",INDEX(Calcule!$B$6:$B$40,K203))</f>
        <v>Standard</v>
      </c>
      <c r="F203" s="12">
        <f>IF(K203="","",INDEX(Calcule!$R$6:$R$40,K203))</f>
        <v>900</v>
      </c>
      <c r="G203" s="12">
        <f>IF(K203="","",INDEX(Calcule!$Y$6:$Y$40,K203))</f>
        <v>1160</v>
      </c>
      <c r="H203" s="12">
        <f>IF(K203="","",INDEX(Calcule!$AE$6:$AE$40,K203))</f>
        <v>1040</v>
      </c>
      <c r="I203" s="12">
        <f>IF(K203="","",INDEX(Calcule!$AI$6:$AI$40,K203))</f>
        <v>1000</v>
      </c>
      <c r="J203" s="12">
        <f>IF(K203="","",INDEX(Calcule!$U$6:$U$40,K203))</f>
        <v>653.79665379665369</v>
      </c>
      <c r="K203" s="72">
        <f>IFERROR(IF(A203&lt;=INDEX(Perioade!$D$6:$D$40,MATCH(A203,Perioade!$C$6:$C$40,1)),MATCH(A203,Perioade!$C$6:$C$40,1),""),"")</f>
        <v>7</v>
      </c>
    </row>
    <row r="204" spans="1:11" x14ac:dyDescent="0.2">
      <c r="A204" s="61">
        <f t="shared" si="6"/>
        <v>46519</v>
      </c>
      <c r="B204" s="71" t="str">
        <f t="shared" si="7"/>
        <v>Mi</v>
      </c>
      <c r="C204" t="str">
        <f>IF(K204="","⚠ fără perioadă",INDEX(Perioade!$A$6:$A$40,K204))</f>
        <v>primavara-2027</v>
      </c>
      <c r="D204" s="71">
        <f>IF(K204="","",INDEX(Calcule!$C$6:$C$40,K204))</f>
        <v>2</v>
      </c>
      <c r="E204" s="71" t="str">
        <f>IF(K204="","",INDEX(Calcule!$B$6:$B$40,K204))</f>
        <v>Standard</v>
      </c>
      <c r="F204" s="12">
        <f>IF(K204="","",INDEX(Calcule!$R$6:$R$40,K204))</f>
        <v>900</v>
      </c>
      <c r="G204" s="12">
        <f>IF(K204="","",INDEX(Calcule!$Y$6:$Y$40,K204))</f>
        <v>1160</v>
      </c>
      <c r="H204" s="12">
        <f>IF(K204="","",INDEX(Calcule!$AE$6:$AE$40,K204))</f>
        <v>1040</v>
      </c>
      <c r="I204" s="12">
        <f>IF(K204="","",INDEX(Calcule!$AI$6:$AI$40,K204))</f>
        <v>1000</v>
      </c>
      <c r="J204" s="12">
        <f>IF(K204="","",INDEX(Calcule!$U$6:$U$40,K204))</f>
        <v>653.79665379665369</v>
      </c>
      <c r="K204" s="72">
        <f>IFERROR(IF(A204&lt;=INDEX(Perioade!$D$6:$D$40,MATCH(A204,Perioade!$C$6:$C$40,1)),MATCH(A204,Perioade!$C$6:$C$40,1),""),"")</f>
        <v>7</v>
      </c>
    </row>
    <row r="205" spans="1:11" x14ac:dyDescent="0.2">
      <c r="A205" s="61">
        <f t="shared" si="6"/>
        <v>46520</v>
      </c>
      <c r="B205" s="71" t="str">
        <f t="shared" si="7"/>
        <v>Jo</v>
      </c>
      <c r="C205" t="str">
        <f>IF(K205="","⚠ fără perioadă",INDEX(Perioade!$A$6:$A$40,K205))</f>
        <v>primavara-2027</v>
      </c>
      <c r="D205" s="71">
        <f>IF(K205="","",INDEX(Calcule!$C$6:$C$40,K205))</f>
        <v>2</v>
      </c>
      <c r="E205" s="71" t="str">
        <f>IF(K205="","",INDEX(Calcule!$B$6:$B$40,K205))</f>
        <v>Standard</v>
      </c>
      <c r="F205" s="12">
        <f>IF(K205="","",INDEX(Calcule!$R$6:$R$40,K205))</f>
        <v>900</v>
      </c>
      <c r="G205" s="12">
        <f>IF(K205="","",INDEX(Calcule!$Y$6:$Y$40,K205))</f>
        <v>1160</v>
      </c>
      <c r="H205" s="12">
        <f>IF(K205="","",INDEX(Calcule!$AE$6:$AE$40,K205))</f>
        <v>1040</v>
      </c>
      <c r="I205" s="12">
        <f>IF(K205="","",INDEX(Calcule!$AI$6:$AI$40,K205))</f>
        <v>1000</v>
      </c>
      <c r="J205" s="12">
        <f>IF(K205="","",INDEX(Calcule!$U$6:$U$40,K205))</f>
        <v>653.79665379665369</v>
      </c>
      <c r="K205" s="72">
        <f>IFERROR(IF(A205&lt;=INDEX(Perioade!$D$6:$D$40,MATCH(A205,Perioade!$C$6:$C$40,1)),MATCH(A205,Perioade!$C$6:$C$40,1),""),"")</f>
        <v>7</v>
      </c>
    </row>
    <row r="206" spans="1:11" x14ac:dyDescent="0.2">
      <c r="A206" s="61">
        <f t="shared" si="6"/>
        <v>46521</v>
      </c>
      <c r="B206" s="71" t="str">
        <f t="shared" si="7"/>
        <v>Vi</v>
      </c>
      <c r="C206" t="str">
        <f>IF(K206="","⚠ fără perioadă",INDEX(Perioade!$A$6:$A$40,K206))</f>
        <v>primavara-2027</v>
      </c>
      <c r="D206" s="71">
        <f>IF(K206="","",INDEX(Calcule!$C$6:$C$40,K206))</f>
        <v>2</v>
      </c>
      <c r="E206" s="71" t="str">
        <f>IF(K206="","",INDEX(Calcule!$B$6:$B$40,K206))</f>
        <v>Standard</v>
      </c>
      <c r="F206" s="12">
        <f>IF(K206="","",INDEX(Calcule!$R$6:$R$40,K206))</f>
        <v>900</v>
      </c>
      <c r="G206" s="12">
        <f>IF(K206="","",INDEX(Calcule!$Y$6:$Y$40,K206))</f>
        <v>1160</v>
      </c>
      <c r="H206" s="12">
        <f>IF(K206="","",INDEX(Calcule!$AE$6:$AE$40,K206))</f>
        <v>1040</v>
      </c>
      <c r="I206" s="12">
        <f>IF(K206="","",INDEX(Calcule!$AI$6:$AI$40,K206))</f>
        <v>1000</v>
      </c>
      <c r="J206" s="12">
        <f>IF(K206="","",INDEX(Calcule!$U$6:$U$40,K206))</f>
        <v>653.79665379665369</v>
      </c>
      <c r="K206" s="72">
        <f>IFERROR(IF(A206&lt;=INDEX(Perioade!$D$6:$D$40,MATCH(A206,Perioade!$C$6:$C$40,1)),MATCH(A206,Perioade!$C$6:$C$40,1),""),"")</f>
        <v>7</v>
      </c>
    </row>
    <row r="207" spans="1:11" x14ac:dyDescent="0.2">
      <c r="A207" s="61">
        <f t="shared" si="6"/>
        <v>46522</v>
      </c>
      <c r="B207" s="71" t="str">
        <f t="shared" si="7"/>
        <v>Sâ</v>
      </c>
      <c r="C207" t="str">
        <f>IF(K207="","⚠ fără perioadă",INDEX(Perioade!$A$6:$A$40,K207))</f>
        <v>primavara-2027</v>
      </c>
      <c r="D207" s="71">
        <f>IF(K207="","",INDEX(Calcule!$C$6:$C$40,K207))</f>
        <v>2</v>
      </c>
      <c r="E207" s="71" t="str">
        <f>IF(K207="","",INDEX(Calcule!$B$6:$B$40,K207))</f>
        <v>Standard</v>
      </c>
      <c r="F207" s="12">
        <f>IF(K207="","",INDEX(Calcule!$R$6:$R$40,K207))</f>
        <v>900</v>
      </c>
      <c r="G207" s="12">
        <f>IF(K207="","",INDEX(Calcule!$Y$6:$Y$40,K207))</f>
        <v>1160</v>
      </c>
      <c r="H207" s="12">
        <f>IF(K207="","",INDEX(Calcule!$AE$6:$AE$40,K207))</f>
        <v>1040</v>
      </c>
      <c r="I207" s="12">
        <f>IF(K207="","",INDEX(Calcule!$AI$6:$AI$40,K207))</f>
        <v>1000</v>
      </c>
      <c r="J207" s="12">
        <f>IF(K207="","",INDEX(Calcule!$U$6:$U$40,K207))</f>
        <v>653.79665379665369</v>
      </c>
      <c r="K207" s="72">
        <f>IFERROR(IF(A207&lt;=INDEX(Perioade!$D$6:$D$40,MATCH(A207,Perioade!$C$6:$C$40,1)),MATCH(A207,Perioade!$C$6:$C$40,1),""),"")</f>
        <v>7</v>
      </c>
    </row>
    <row r="208" spans="1:11" x14ac:dyDescent="0.2">
      <c r="A208" s="61">
        <f t="shared" si="6"/>
        <v>46523</v>
      </c>
      <c r="B208" s="71" t="str">
        <f t="shared" si="7"/>
        <v>Du</v>
      </c>
      <c r="C208" t="str">
        <f>IF(K208="","⚠ fără perioadă",INDEX(Perioade!$A$6:$A$40,K208))</f>
        <v>primavara-2027</v>
      </c>
      <c r="D208" s="71">
        <f>IF(K208="","",INDEX(Calcule!$C$6:$C$40,K208))</f>
        <v>2</v>
      </c>
      <c r="E208" s="71" t="str">
        <f>IF(K208="","",INDEX(Calcule!$B$6:$B$40,K208))</f>
        <v>Standard</v>
      </c>
      <c r="F208" s="12">
        <f>IF(K208="","",INDEX(Calcule!$R$6:$R$40,K208))</f>
        <v>900</v>
      </c>
      <c r="G208" s="12">
        <f>IF(K208="","",INDEX(Calcule!$Y$6:$Y$40,K208))</f>
        <v>1160</v>
      </c>
      <c r="H208" s="12">
        <f>IF(K208="","",INDEX(Calcule!$AE$6:$AE$40,K208))</f>
        <v>1040</v>
      </c>
      <c r="I208" s="12">
        <f>IF(K208="","",INDEX(Calcule!$AI$6:$AI$40,K208))</f>
        <v>1000</v>
      </c>
      <c r="J208" s="12">
        <f>IF(K208="","",INDEX(Calcule!$U$6:$U$40,K208))</f>
        <v>653.79665379665369</v>
      </c>
      <c r="K208" s="72">
        <f>IFERROR(IF(A208&lt;=INDEX(Perioade!$D$6:$D$40,MATCH(A208,Perioade!$C$6:$C$40,1)),MATCH(A208,Perioade!$C$6:$C$40,1),""),"")</f>
        <v>7</v>
      </c>
    </row>
    <row r="209" spans="1:11" x14ac:dyDescent="0.2">
      <c r="A209" s="61">
        <f t="shared" si="6"/>
        <v>46524</v>
      </c>
      <c r="B209" s="71" t="str">
        <f t="shared" si="7"/>
        <v>Lu</v>
      </c>
      <c r="C209" t="str">
        <f>IF(K209="","⚠ fără perioadă",INDEX(Perioade!$A$6:$A$40,K209))</f>
        <v>primavara-2027</v>
      </c>
      <c r="D209" s="71">
        <f>IF(K209="","",INDEX(Calcule!$C$6:$C$40,K209))</f>
        <v>2</v>
      </c>
      <c r="E209" s="71" t="str">
        <f>IF(K209="","",INDEX(Calcule!$B$6:$B$40,K209))</f>
        <v>Standard</v>
      </c>
      <c r="F209" s="12">
        <f>IF(K209="","",INDEX(Calcule!$R$6:$R$40,K209))</f>
        <v>900</v>
      </c>
      <c r="G209" s="12">
        <f>IF(K209="","",INDEX(Calcule!$Y$6:$Y$40,K209))</f>
        <v>1160</v>
      </c>
      <c r="H209" s="12">
        <f>IF(K209="","",INDEX(Calcule!$AE$6:$AE$40,K209))</f>
        <v>1040</v>
      </c>
      <c r="I209" s="12">
        <f>IF(K209="","",INDEX(Calcule!$AI$6:$AI$40,K209))</f>
        <v>1000</v>
      </c>
      <c r="J209" s="12">
        <f>IF(K209="","",INDEX(Calcule!$U$6:$U$40,K209))</f>
        <v>653.79665379665369</v>
      </c>
      <c r="K209" s="72">
        <f>IFERROR(IF(A209&lt;=INDEX(Perioade!$D$6:$D$40,MATCH(A209,Perioade!$C$6:$C$40,1)),MATCH(A209,Perioade!$C$6:$C$40,1),""),"")</f>
        <v>7</v>
      </c>
    </row>
    <row r="210" spans="1:11" x14ac:dyDescent="0.2">
      <c r="A210" s="61">
        <f t="shared" si="6"/>
        <v>46525</v>
      </c>
      <c r="B210" s="71" t="str">
        <f t="shared" si="7"/>
        <v>Ma</v>
      </c>
      <c r="C210" t="str">
        <f>IF(K210="","⚠ fără perioadă",INDEX(Perioade!$A$6:$A$40,K210))</f>
        <v>primavara-2027</v>
      </c>
      <c r="D210" s="71">
        <f>IF(K210="","",INDEX(Calcule!$C$6:$C$40,K210))</f>
        <v>2</v>
      </c>
      <c r="E210" s="71" t="str">
        <f>IF(K210="","",INDEX(Calcule!$B$6:$B$40,K210))</f>
        <v>Standard</v>
      </c>
      <c r="F210" s="12">
        <f>IF(K210="","",INDEX(Calcule!$R$6:$R$40,K210))</f>
        <v>900</v>
      </c>
      <c r="G210" s="12">
        <f>IF(K210="","",INDEX(Calcule!$Y$6:$Y$40,K210))</f>
        <v>1160</v>
      </c>
      <c r="H210" s="12">
        <f>IF(K210="","",INDEX(Calcule!$AE$6:$AE$40,K210))</f>
        <v>1040</v>
      </c>
      <c r="I210" s="12">
        <f>IF(K210="","",INDEX(Calcule!$AI$6:$AI$40,K210))</f>
        <v>1000</v>
      </c>
      <c r="J210" s="12">
        <f>IF(K210="","",INDEX(Calcule!$U$6:$U$40,K210))</f>
        <v>653.79665379665369</v>
      </c>
      <c r="K210" s="72">
        <f>IFERROR(IF(A210&lt;=INDEX(Perioade!$D$6:$D$40,MATCH(A210,Perioade!$C$6:$C$40,1)),MATCH(A210,Perioade!$C$6:$C$40,1),""),"")</f>
        <v>7</v>
      </c>
    </row>
    <row r="211" spans="1:11" x14ac:dyDescent="0.2">
      <c r="A211" s="61">
        <f t="shared" si="6"/>
        <v>46526</v>
      </c>
      <c r="B211" s="71" t="str">
        <f t="shared" si="7"/>
        <v>Mi</v>
      </c>
      <c r="C211" t="str">
        <f>IF(K211="","⚠ fără perioadă",INDEX(Perioade!$A$6:$A$40,K211))</f>
        <v>primavara-2027</v>
      </c>
      <c r="D211" s="71">
        <f>IF(K211="","",INDEX(Calcule!$C$6:$C$40,K211))</f>
        <v>2</v>
      </c>
      <c r="E211" s="71" t="str">
        <f>IF(K211="","",INDEX(Calcule!$B$6:$B$40,K211))</f>
        <v>Standard</v>
      </c>
      <c r="F211" s="12">
        <f>IF(K211="","",INDEX(Calcule!$R$6:$R$40,K211))</f>
        <v>900</v>
      </c>
      <c r="G211" s="12">
        <f>IF(K211="","",INDEX(Calcule!$Y$6:$Y$40,K211))</f>
        <v>1160</v>
      </c>
      <c r="H211" s="12">
        <f>IF(K211="","",INDEX(Calcule!$AE$6:$AE$40,K211))</f>
        <v>1040</v>
      </c>
      <c r="I211" s="12">
        <f>IF(K211="","",INDEX(Calcule!$AI$6:$AI$40,K211))</f>
        <v>1000</v>
      </c>
      <c r="J211" s="12">
        <f>IF(K211="","",INDEX(Calcule!$U$6:$U$40,K211))</f>
        <v>653.79665379665369</v>
      </c>
      <c r="K211" s="72">
        <f>IFERROR(IF(A211&lt;=INDEX(Perioade!$D$6:$D$40,MATCH(A211,Perioade!$C$6:$C$40,1)),MATCH(A211,Perioade!$C$6:$C$40,1),""),"")</f>
        <v>7</v>
      </c>
    </row>
    <row r="212" spans="1:11" x14ac:dyDescent="0.2">
      <c r="A212" s="61">
        <f t="shared" si="6"/>
        <v>46527</v>
      </c>
      <c r="B212" s="71" t="str">
        <f t="shared" si="7"/>
        <v>Jo</v>
      </c>
      <c r="C212" t="str">
        <f>IF(K212="","⚠ fără perioadă",INDEX(Perioade!$A$6:$A$40,K212))</f>
        <v>primavara-2027</v>
      </c>
      <c r="D212" s="71">
        <f>IF(K212="","",INDEX(Calcule!$C$6:$C$40,K212))</f>
        <v>2</v>
      </c>
      <c r="E212" s="71" t="str">
        <f>IF(K212="","",INDEX(Calcule!$B$6:$B$40,K212))</f>
        <v>Standard</v>
      </c>
      <c r="F212" s="12">
        <f>IF(K212="","",INDEX(Calcule!$R$6:$R$40,K212))</f>
        <v>900</v>
      </c>
      <c r="G212" s="12">
        <f>IF(K212="","",INDEX(Calcule!$Y$6:$Y$40,K212))</f>
        <v>1160</v>
      </c>
      <c r="H212" s="12">
        <f>IF(K212="","",INDEX(Calcule!$AE$6:$AE$40,K212))</f>
        <v>1040</v>
      </c>
      <c r="I212" s="12">
        <f>IF(K212="","",INDEX(Calcule!$AI$6:$AI$40,K212))</f>
        <v>1000</v>
      </c>
      <c r="J212" s="12">
        <f>IF(K212="","",INDEX(Calcule!$U$6:$U$40,K212))</f>
        <v>653.79665379665369</v>
      </c>
      <c r="K212" s="72">
        <f>IFERROR(IF(A212&lt;=INDEX(Perioade!$D$6:$D$40,MATCH(A212,Perioade!$C$6:$C$40,1)),MATCH(A212,Perioade!$C$6:$C$40,1),""),"")</f>
        <v>7</v>
      </c>
    </row>
    <row r="213" spans="1:11" x14ac:dyDescent="0.2">
      <c r="A213" s="61">
        <f t="shared" si="6"/>
        <v>46528</v>
      </c>
      <c r="B213" s="71" t="str">
        <f t="shared" si="7"/>
        <v>Vi</v>
      </c>
      <c r="C213" t="str">
        <f>IF(K213="","⚠ fără perioadă",INDEX(Perioade!$A$6:$A$40,K213))</f>
        <v>primavara-2027</v>
      </c>
      <c r="D213" s="71">
        <f>IF(K213="","",INDEX(Calcule!$C$6:$C$40,K213))</f>
        <v>2</v>
      </c>
      <c r="E213" s="71" t="str">
        <f>IF(K213="","",INDEX(Calcule!$B$6:$B$40,K213))</f>
        <v>Standard</v>
      </c>
      <c r="F213" s="12">
        <f>IF(K213="","",INDEX(Calcule!$R$6:$R$40,K213))</f>
        <v>900</v>
      </c>
      <c r="G213" s="12">
        <f>IF(K213="","",INDEX(Calcule!$Y$6:$Y$40,K213))</f>
        <v>1160</v>
      </c>
      <c r="H213" s="12">
        <f>IF(K213="","",INDEX(Calcule!$AE$6:$AE$40,K213))</f>
        <v>1040</v>
      </c>
      <c r="I213" s="12">
        <f>IF(K213="","",INDEX(Calcule!$AI$6:$AI$40,K213))</f>
        <v>1000</v>
      </c>
      <c r="J213" s="12">
        <f>IF(K213="","",INDEX(Calcule!$U$6:$U$40,K213))</f>
        <v>653.79665379665369</v>
      </c>
      <c r="K213" s="72">
        <f>IFERROR(IF(A213&lt;=INDEX(Perioade!$D$6:$D$40,MATCH(A213,Perioade!$C$6:$C$40,1)),MATCH(A213,Perioade!$C$6:$C$40,1),""),"")</f>
        <v>7</v>
      </c>
    </row>
    <row r="214" spans="1:11" x14ac:dyDescent="0.2">
      <c r="A214" s="61">
        <f t="shared" si="6"/>
        <v>46529</v>
      </c>
      <c r="B214" s="71" t="str">
        <f t="shared" si="7"/>
        <v>Sâ</v>
      </c>
      <c r="C214" t="str">
        <f>IF(K214="","⚠ fără perioadă",INDEX(Perioade!$A$6:$A$40,K214))</f>
        <v>primavara-2027</v>
      </c>
      <c r="D214" s="71">
        <f>IF(K214="","",INDEX(Calcule!$C$6:$C$40,K214))</f>
        <v>2</v>
      </c>
      <c r="E214" s="71" t="str">
        <f>IF(K214="","",INDEX(Calcule!$B$6:$B$40,K214))</f>
        <v>Standard</v>
      </c>
      <c r="F214" s="12">
        <f>IF(K214="","",INDEX(Calcule!$R$6:$R$40,K214))</f>
        <v>900</v>
      </c>
      <c r="G214" s="12">
        <f>IF(K214="","",INDEX(Calcule!$Y$6:$Y$40,K214))</f>
        <v>1160</v>
      </c>
      <c r="H214" s="12">
        <f>IF(K214="","",INDEX(Calcule!$AE$6:$AE$40,K214))</f>
        <v>1040</v>
      </c>
      <c r="I214" s="12">
        <f>IF(K214="","",INDEX(Calcule!$AI$6:$AI$40,K214))</f>
        <v>1000</v>
      </c>
      <c r="J214" s="12">
        <f>IF(K214="","",INDEX(Calcule!$U$6:$U$40,K214))</f>
        <v>653.79665379665369</v>
      </c>
      <c r="K214" s="72">
        <f>IFERROR(IF(A214&lt;=INDEX(Perioade!$D$6:$D$40,MATCH(A214,Perioade!$C$6:$C$40,1)),MATCH(A214,Perioade!$C$6:$C$40,1),""),"")</f>
        <v>7</v>
      </c>
    </row>
    <row r="215" spans="1:11" x14ac:dyDescent="0.2">
      <c r="A215" s="61">
        <f t="shared" si="6"/>
        <v>46530</v>
      </c>
      <c r="B215" s="71" t="str">
        <f t="shared" si="7"/>
        <v>Du</v>
      </c>
      <c r="C215" t="str">
        <f>IF(K215="","⚠ fără perioadă",INDEX(Perioade!$A$6:$A$40,K215))</f>
        <v>primavara-2027</v>
      </c>
      <c r="D215" s="71">
        <f>IF(K215="","",INDEX(Calcule!$C$6:$C$40,K215))</f>
        <v>2</v>
      </c>
      <c r="E215" s="71" t="str">
        <f>IF(K215="","",INDEX(Calcule!$B$6:$B$40,K215))</f>
        <v>Standard</v>
      </c>
      <c r="F215" s="12">
        <f>IF(K215="","",INDEX(Calcule!$R$6:$R$40,K215))</f>
        <v>900</v>
      </c>
      <c r="G215" s="12">
        <f>IF(K215="","",INDEX(Calcule!$Y$6:$Y$40,K215))</f>
        <v>1160</v>
      </c>
      <c r="H215" s="12">
        <f>IF(K215="","",INDEX(Calcule!$AE$6:$AE$40,K215))</f>
        <v>1040</v>
      </c>
      <c r="I215" s="12">
        <f>IF(K215="","",INDEX(Calcule!$AI$6:$AI$40,K215))</f>
        <v>1000</v>
      </c>
      <c r="J215" s="12">
        <f>IF(K215="","",INDEX(Calcule!$U$6:$U$40,K215))</f>
        <v>653.79665379665369</v>
      </c>
      <c r="K215" s="72">
        <f>IFERROR(IF(A215&lt;=INDEX(Perioade!$D$6:$D$40,MATCH(A215,Perioade!$C$6:$C$40,1)),MATCH(A215,Perioade!$C$6:$C$40,1),""),"")</f>
        <v>7</v>
      </c>
    </row>
    <row r="216" spans="1:11" x14ac:dyDescent="0.2">
      <c r="A216" s="61">
        <f t="shared" si="6"/>
        <v>46531</v>
      </c>
      <c r="B216" s="71" t="str">
        <f t="shared" si="7"/>
        <v>Lu</v>
      </c>
      <c r="C216" t="str">
        <f>IF(K216="","⚠ fără perioadă",INDEX(Perioade!$A$6:$A$40,K216))</f>
        <v>primavara-2027</v>
      </c>
      <c r="D216" s="71">
        <f>IF(K216="","",INDEX(Calcule!$C$6:$C$40,K216))</f>
        <v>2</v>
      </c>
      <c r="E216" s="71" t="str">
        <f>IF(K216="","",INDEX(Calcule!$B$6:$B$40,K216))</f>
        <v>Standard</v>
      </c>
      <c r="F216" s="12">
        <f>IF(K216="","",INDEX(Calcule!$R$6:$R$40,K216))</f>
        <v>900</v>
      </c>
      <c r="G216" s="12">
        <f>IF(K216="","",INDEX(Calcule!$Y$6:$Y$40,K216))</f>
        <v>1160</v>
      </c>
      <c r="H216" s="12">
        <f>IF(K216="","",INDEX(Calcule!$AE$6:$AE$40,K216))</f>
        <v>1040</v>
      </c>
      <c r="I216" s="12">
        <f>IF(K216="","",INDEX(Calcule!$AI$6:$AI$40,K216))</f>
        <v>1000</v>
      </c>
      <c r="J216" s="12">
        <f>IF(K216="","",INDEX(Calcule!$U$6:$U$40,K216))</f>
        <v>653.79665379665369</v>
      </c>
      <c r="K216" s="72">
        <f>IFERROR(IF(A216&lt;=INDEX(Perioade!$D$6:$D$40,MATCH(A216,Perioade!$C$6:$C$40,1)),MATCH(A216,Perioade!$C$6:$C$40,1),""),"")</f>
        <v>7</v>
      </c>
    </row>
    <row r="217" spans="1:11" x14ac:dyDescent="0.2">
      <c r="A217" s="61">
        <f t="shared" si="6"/>
        <v>46532</v>
      </c>
      <c r="B217" s="71" t="str">
        <f t="shared" si="7"/>
        <v>Ma</v>
      </c>
      <c r="C217" t="str">
        <f>IF(K217="","⚠ fără perioadă",INDEX(Perioade!$A$6:$A$40,K217))</f>
        <v>primavara-2027</v>
      </c>
      <c r="D217" s="71">
        <f>IF(K217="","",INDEX(Calcule!$C$6:$C$40,K217))</f>
        <v>2</v>
      </c>
      <c r="E217" s="71" t="str">
        <f>IF(K217="","",INDEX(Calcule!$B$6:$B$40,K217))</f>
        <v>Standard</v>
      </c>
      <c r="F217" s="12">
        <f>IF(K217="","",INDEX(Calcule!$R$6:$R$40,K217))</f>
        <v>900</v>
      </c>
      <c r="G217" s="12">
        <f>IF(K217="","",INDEX(Calcule!$Y$6:$Y$40,K217))</f>
        <v>1160</v>
      </c>
      <c r="H217" s="12">
        <f>IF(K217="","",INDEX(Calcule!$AE$6:$AE$40,K217))</f>
        <v>1040</v>
      </c>
      <c r="I217" s="12">
        <f>IF(K217="","",INDEX(Calcule!$AI$6:$AI$40,K217))</f>
        <v>1000</v>
      </c>
      <c r="J217" s="12">
        <f>IF(K217="","",INDEX(Calcule!$U$6:$U$40,K217))</f>
        <v>653.79665379665369</v>
      </c>
      <c r="K217" s="72">
        <f>IFERROR(IF(A217&lt;=INDEX(Perioade!$D$6:$D$40,MATCH(A217,Perioade!$C$6:$C$40,1)),MATCH(A217,Perioade!$C$6:$C$40,1),""),"")</f>
        <v>7</v>
      </c>
    </row>
    <row r="218" spans="1:11" x14ac:dyDescent="0.2">
      <c r="A218" s="61">
        <f t="shared" si="6"/>
        <v>46533</v>
      </c>
      <c r="B218" s="71" t="str">
        <f t="shared" si="7"/>
        <v>Mi</v>
      </c>
      <c r="C218" t="str">
        <f>IF(K218="","⚠ fără perioadă",INDEX(Perioade!$A$6:$A$40,K218))</f>
        <v>primavara-2027</v>
      </c>
      <c r="D218" s="71">
        <f>IF(K218="","",INDEX(Calcule!$C$6:$C$40,K218))</f>
        <v>2</v>
      </c>
      <c r="E218" s="71" t="str">
        <f>IF(K218="","",INDEX(Calcule!$B$6:$B$40,K218))</f>
        <v>Standard</v>
      </c>
      <c r="F218" s="12">
        <f>IF(K218="","",INDEX(Calcule!$R$6:$R$40,K218))</f>
        <v>900</v>
      </c>
      <c r="G218" s="12">
        <f>IF(K218="","",INDEX(Calcule!$Y$6:$Y$40,K218))</f>
        <v>1160</v>
      </c>
      <c r="H218" s="12">
        <f>IF(K218="","",INDEX(Calcule!$AE$6:$AE$40,K218))</f>
        <v>1040</v>
      </c>
      <c r="I218" s="12">
        <f>IF(K218="","",INDEX(Calcule!$AI$6:$AI$40,K218))</f>
        <v>1000</v>
      </c>
      <c r="J218" s="12">
        <f>IF(K218="","",INDEX(Calcule!$U$6:$U$40,K218))</f>
        <v>653.79665379665369</v>
      </c>
      <c r="K218" s="72">
        <f>IFERROR(IF(A218&lt;=INDEX(Perioade!$D$6:$D$40,MATCH(A218,Perioade!$C$6:$C$40,1)),MATCH(A218,Perioade!$C$6:$C$40,1),""),"")</f>
        <v>7</v>
      </c>
    </row>
    <row r="219" spans="1:11" x14ac:dyDescent="0.2">
      <c r="A219" s="61">
        <f t="shared" si="6"/>
        <v>46534</v>
      </c>
      <c r="B219" s="71" t="str">
        <f t="shared" si="7"/>
        <v>Jo</v>
      </c>
      <c r="C219" t="str">
        <f>IF(K219="","⚠ fără perioadă",INDEX(Perioade!$A$6:$A$40,K219))</f>
        <v>primavara-2027</v>
      </c>
      <c r="D219" s="71">
        <f>IF(K219="","",INDEX(Calcule!$C$6:$C$40,K219))</f>
        <v>2</v>
      </c>
      <c r="E219" s="71" t="str">
        <f>IF(K219="","",INDEX(Calcule!$B$6:$B$40,K219))</f>
        <v>Standard</v>
      </c>
      <c r="F219" s="12">
        <f>IF(K219="","",INDEX(Calcule!$R$6:$R$40,K219))</f>
        <v>900</v>
      </c>
      <c r="G219" s="12">
        <f>IF(K219="","",INDEX(Calcule!$Y$6:$Y$40,K219))</f>
        <v>1160</v>
      </c>
      <c r="H219" s="12">
        <f>IF(K219="","",INDEX(Calcule!$AE$6:$AE$40,K219))</f>
        <v>1040</v>
      </c>
      <c r="I219" s="12">
        <f>IF(K219="","",INDEX(Calcule!$AI$6:$AI$40,K219))</f>
        <v>1000</v>
      </c>
      <c r="J219" s="12">
        <f>IF(K219="","",INDEX(Calcule!$U$6:$U$40,K219))</f>
        <v>653.79665379665369</v>
      </c>
      <c r="K219" s="72">
        <f>IFERROR(IF(A219&lt;=INDEX(Perioade!$D$6:$D$40,MATCH(A219,Perioade!$C$6:$C$40,1)),MATCH(A219,Perioade!$C$6:$C$40,1),""),"")</f>
        <v>7</v>
      </c>
    </row>
    <row r="220" spans="1:11" x14ac:dyDescent="0.2">
      <c r="A220" s="61">
        <f t="shared" si="6"/>
        <v>46535</v>
      </c>
      <c r="B220" s="71" t="str">
        <f t="shared" si="7"/>
        <v>Vi</v>
      </c>
      <c r="C220" t="str">
        <f>IF(K220="","⚠ fără perioadă",INDEX(Perioade!$A$6:$A$40,K220))</f>
        <v>primavara-2027</v>
      </c>
      <c r="D220" s="71">
        <f>IF(K220="","",INDEX(Calcule!$C$6:$C$40,K220))</f>
        <v>2</v>
      </c>
      <c r="E220" s="71" t="str">
        <f>IF(K220="","",INDEX(Calcule!$B$6:$B$40,K220))</f>
        <v>Standard</v>
      </c>
      <c r="F220" s="12">
        <f>IF(K220="","",INDEX(Calcule!$R$6:$R$40,K220))</f>
        <v>900</v>
      </c>
      <c r="G220" s="12">
        <f>IF(K220="","",INDEX(Calcule!$Y$6:$Y$40,K220))</f>
        <v>1160</v>
      </c>
      <c r="H220" s="12">
        <f>IF(K220="","",INDEX(Calcule!$AE$6:$AE$40,K220))</f>
        <v>1040</v>
      </c>
      <c r="I220" s="12">
        <f>IF(K220="","",INDEX(Calcule!$AI$6:$AI$40,K220))</f>
        <v>1000</v>
      </c>
      <c r="J220" s="12">
        <f>IF(K220="","",INDEX(Calcule!$U$6:$U$40,K220))</f>
        <v>653.79665379665369</v>
      </c>
      <c r="K220" s="72">
        <f>IFERROR(IF(A220&lt;=INDEX(Perioade!$D$6:$D$40,MATCH(A220,Perioade!$C$6:$C$40,1)),MATCH(A220,Perioade!$C$6:$C$40,1),""),"")</f>
        <v>7</v>
      </c>
    </row>
    <row r="221" spans="1:11" x14ac:dyDescent="0.2">
      <c r="A221" s="61">
        <f t="shared" si="6"/>
        <v>46536</v>
      </c>
      <c r="B221" s="71" t="str">
        <f t="shared" si="7"/>
        <v>Sâ</v>
      </c>
      <c r="C221" t="str">
        <f>IF(K221="","⚠ fără perioadă",INDEX(Perioade!$A$6:$A$40,K221))</f>
        <v>primavara-2027</v>
      </c>
      <c r="D221" s="71">
        <f>IF(K221="","",INDEX(Calcule!$C$6:$C$40,K221))</f>
        <v>2</v>
      </c>
      <c r="E221" s="71" t="str">
        <f>IF(K221="","",INDEX(Calcule!$B$6:$B$40,K221))</f>
        <v>Standard</v>
      </c>
      <c r="F221" s="12">
        <f>IF(K221="","",INDEX(Calcule!$R$6:$R$40,K221))</f>
        <v>900</v>
      </c>
      <c r="G221" s="12">
        <f>IF(K221="","",INDEX(Calcule!$Y$6:$Y$40,K221))</f>
        <v>1160</v>
      </c>
      <c r="H221" s="12">
        <f>IF(K221="","",INDEX(Calcule!$AE$6:$AE$40,K221))</f>
        <v>1040</v>
      </c>
      <c r="I221" s="12">
        <f>IF(K221="","",INDEX(Calcule!$AI$6:$AI$40,K221))</f>
        <v>1000</v>
      </c>
      <c r="J221" s="12">
        <f>IF(K221="","",INDEX(Calcule!$U$6:$U$40,K221))</f>
        <v>653.79665379665369</v>
      </c>
      <c r="K221" s="72">
        <f>IFERROR(IF(A221&lt;=INDEX(Perioade!$D$6:$D$40,MATCH(A221,Perioade!$C$6:$C$40,1)),MATCH(A221,Perioade!$C$6:$C$40,1),""),"")</f>
        <v>7</v>
      </c>
    </row>
    <row r="222" spans="1:11" x14ac:dyDescent="0.2">
      <c r="A222" s="61">
        <f t="shared" si="6"/>
        <v>46537</v>
      </c>
      <c r="B222" s="71" t="str">
        <f t="shared" si="7"/>
        <v>Du</v>
      </c>
      <c r="C222" t="str">
        <f>IF(K222="","⚠ fără perioadă",INDEX(Perioade!$A$6:$A$40,K222))</f>
        <v>primavara-2027</v>
      </c>
      <c r="D222" s="71">
        <f>IF(K222="","",INDEX(Calcule!$C$6:$C$40,K222))</f>
        <v>2</v>
      </c>
      <c r="E222" s="71" t="str">
        <f>IF(K222="","",INDEX(Calcule!$B$6:$B$40,K222))</f>
        <v>Standard</v>
      </c>
      <c r="F222" s="12">
        <f>IF(K222="","",INDEX(Calcule!$R$6:$R$40,K222))</f>
        <v>900</v>
      </c>
      <c r="G222" s="12">
        <f>IF(K222="","",INDEX(Calcule!$Y$6:$Y$40,K222))</f>
        <v>1160</v>
      </c>
      <c r="H222" s="12">
        <f>IF(K222="","",INDEX(Calcule!$AE$6:$AE$40,K222))</f>
        <v>1040</v>
      </c>
      <c r="I222" s="12">
        <f>IF(K222="","",INDEX(Calcule!$AI$6:$AI$40,K222))</f>
        <v>1000</v>
      </c>
      <c r="J222" s="12">
        <f>IF(K222="","",INDEX(Calcule!$U$6:$U$40,K222))</f>
        <v>653.79665379665369</v>
      </c>
      <c r="K222" s="72">
        <f>IFERROR(IF(A222&lt;=INDEX(Perioade!$D$6:$D$40,MATCH(A222,Perioade!$C$6:$C$40,1)),MATCH(A222,Perioade!$C$6:$C$40,1),""),"")</f>
        <v>7</v>
      </c>
    </row>
    <row r="223" spans="1:11" x14ac:dyDescent="0.2">
      <c r="A223" s="61">
        <f t="shared" si="6"/>
        <v>46538</v>
      </c>
      <c r="B223" s="71" t="str">
        <f t="shared" si="7"/>
        <v>Lu</v>
      </c>
      <c r="C223" t="str">
        <f>IF(K223="","⚠ fără perioadă",INDEX(Perioade!$A$6:$A$40,K223))</f>
        <v>primavara-2027</v>
      </c>
      <c r="D223" s="71">
        <f>IF(K223="","",INDEX(Calcule!$C$6:$C$40,K223))</f>
        <v>2</v>
      </c>
      <c r="E223" s="71" t="str">
        <f>IF(K223="","",INDEX(Calcule!$B$6:$B$40,K223))</f>
        <v>Standard</v>
      </c>
      <c r="F223" s="12">
        <f>IF(K223="","",INDEX(Calcule!$R$6:$R$40,K223))</f>
        <v>900</v>
      </c>
      <c r="G223" s="12">
        <f>IF(K223="","",INDEX(Calcule!$Y$6:$Y$40,K223))</f>
        <v>1160</v>
      </c>
      <c r="H223" s="12">
        <f>IF(K223="","",INDEX(Calcule!$AE$6:$AE$40,K223))</f>
        <v>1040</v>
      </c>
      <c r="I223" s="12">
        <f>IF(K223="","",INDEX(Calcule!$AI$6:$AI$40,K223))</f>
        <v>1000</v>
      </c>
      <c r="J223" s="12">
        <f>IF(K223="","",INDEX(Calcule!$U$6:$U$40,K223))</f>
        <v>653.79665379665369</v>
      </c>
      <c r="K223" s="72">
        <f>IFERROR(IF(A223&lt;=INDEX(Perioade!$D$6:$D$40,MATCH(A223,Perioade!$C$6:$C$40,1)),MATCH(A223,Perioade!$C$6:$C$40,1),""),"")</f>
        <v>7</v>
      </c>
    </row>
    <row r="224" spans="1:11" x14ac:dyDescent="0.2">
      <c r="A224" s="61">
        <f t="shared" si="6"/>
        <v>46539</v>
      </c>
      <c r="B224" s="71" t="str">
        <f t="shared" si="7"/>
        <v>Ma</v>
      </c>
      <c r="C224" t="str">
        <f>IF(K224="","⚠ fără perioadă",INDEX(Perioade!$A$6:$A$40,K224))</f>
        <v>primavara-2027</v>
      </c>
      <c r="D224" s="71">
        <f>IF(K224="","",INDEX(Calcule!$C$6:$C$40,K224))</f>
        <v>2</v>
      </c>
      <c r="E224" s="71" t="str">
        <f>IF(K224="","",INDEX(Calcule!$B$6:$B$40,K224))</f>
        <v>Standard</v>
      </c>
      <c r="F224" s="12">
        <f>IF(K224="","",INDEX(Calcule!$R$6:$R$40,K224))</f>
        <v>900</v>
      </c>
      <c r="G224" s="12">
        <f>IF(K224="","",INDEX(Calcule!$Y$6:$Y$40,K224))</f>
        <v>1160</v>
      </c>
      <c r="H224" s="12">
        <f>IF(K224="","",INDEX(Calcule!$AE$6:$AE$40,K224))</f>
        <v>1040</v>
      </c>
      <c r="I224" s="12">
        <f>IF(K224="","",INDEX(Calcule!$AI$6:$AI$40,K224))</f>
        <v>1000</v>
      </c>
      <c r="J224" s="12">
        <f>IF(K224="","",INDEX(Calcule!$U$6:$U$40,K224))</f>
        <v>653.79665379665369</v>
      </c>
      <c r="K224" s="72">
        <f>IFERROR(IF(A224&lt;=INDEX(Perioade!$D$6:$D$40,MATCH(A224,Perioade!$C$6:$C$40,1)),MATCH(A224,Perioade!$C$6:$C$40,1),""),"")</f>
        <v>7</v>
      </c>
    </row>
    <row r="225" spans="1:11" x14ac:dyDescent="0.2">
      <c r="A225" s="61">
        <f t="shared" si="6"/>
        <v>46540</v>
      </c>
      <c r="B225" s="71" t="str">
        <f t="shared" si="7"/>
        <v>Mi</v>
      </c>
      <c r="C225" t="str">
        <f>IF(K225="","⚠ fără perioadă",INDEX(Perioade!$A$6:$A$40,K225))</f>
        <v>primavara-2027</v>
      </c>
      <c r="D225" s="71">
        <f>IF(K225="","",INDEX(Calcule!$C$6:$C$40,K225))</f>
        <v>2</v>
      </c>
      <c r="E225" s="71" t="str">
        <f>IF(K225="","",INDEX(Calcule!$B$6:$B$40,K225))</f>
        <v>Standard</v>
      </c>
      <c r="F225" s="12">
        <f>IF(K225="","",INDEX(Calcule!$R$6:$R$40,K225))</f>
        <v>900</v>
      </c>
      <c r="G225" s="12">
        <f>IF(K225="","",INDEX(Calcule!$Y$6:$Y$40,K225))</f>
        <v>1160</v>
      </c>
      <c r="H225" s="12">
        <f>IF(K225="","",INDEX(Calcule!$AE$6:$AE$40,K225))</f>
        <v>1040</v>
      </c>
      <c r="I225" s="12">
        <f>IF(K225="","",INDEX(Calcule!$AI$6:$AI$40,K225))</f>
        <v>1000</v>
      </c>
      <c r="J225" s="12">
        <f>IF(K225="","",INDEX(Calcule!$U$6:$U$40,K225))</f>
        <v>653.79665379665369</v>
      </c>
      <c r="K225" s="72">
        <f>IFERROR(IF(A225&lt;=INDEX(Perioade!$D$6:$D$40,MATCH(A225,Perioade!$C$6:$C$40,1)),MATCH(A225,Perioade!$C$6:$C$40,1),""),"")</f>
        <v>7</v>
      </c>
    </row>
    <row r="226" spans="1:11" x14ac:dyDescent="0.2">
      <c r="A226" s="61">
        <f t="shared" si="6"/>
        <v>46541</v>
      </c>
      <c r="B226" s="71" t="str">
        <f t="shared" si="7"/>
        <v>Jo</v>
      </c>
      <c r="C226" t="str">
        <f>IF(K226="","⚠ fără perioadă",INDEX(Perioade!$A$6:$A$40,K226))</f>
        <v>primavara-2027</v>
      </c>
      <c r="D226" s="71">
        <f>IF(K226="","",INDEX(Calcule!$C$6:$C$40,K226))</f>
        <v>2</v>
      </c>
      <c r="E226" s="71" t="str">
        <f>IF(K226="","",INDEX(Calcule!$B$6:$B$40,K226))</f>
        <v>Standard</v>
      </c>
      <c r="F226" s="12">
        <f>IF(K226="","",INDEX(Calcule!$R$6:$R$40,K226))</f>
        <v>900</v>
      </c>
      <c r="G226" s="12">
        <f>IF(K226="","",INDEX(Calcule!$Y$6:$Y$40,K226))</f>
        <v>1160</v>
      </c>
      <c r="H226" s="12">
        <f>IF(K226="","",INDEX(Calcule!$AE$6:$AE$40,K226))</f>
        <v>1040</v>
      </c>
      <c r="I226" s="12">
        <f>IF(K226="","",INDEX(Calcule!$AI$6:$AI$40,K226))</f>
        <v>1000</v>
      </c>
      <c r="J226" s="12">
        <f>IF(K226="","",INDEX(Calcule!$U$6:$U$40,K226))</f>
        <v>653.79665379665369</v>
      </c>
      <c r="K226" s="72">
        <f>IFERROR(IF(A226&lt;=INDEX(Perioade!$D$6:$D$40,MATCH(A226,Perioade!$C$6:$C$40,1)),MATCH(A226,Perioade!$C$6:$C$40,1),""),"")</f>
        <v>7</v>
      </c>
    </row>
    <row r="227" spans="1:11" x14ac:dyDescent="0.2">
      <c r="A227" s="61">
        <f t="shared" si="6"/>
        <v>46542</v>
      </c>
      <c r="B227" s="71" t="str">
        <f t="shared" si="7"/>
        <v>Vi</v>
      </c>
      <c r="C227" t="str">
        <f>IF(K227="","⚠ fără perioadă",INDEX(Perioade!$A$6:$A$40,K227))</f>
        <v>primavara-2027</v>
      </c>
      <c r="D227" s="71">
        <f>IF(K227="","",INDEX(Calcule!$C$6:$C$40,K227))</f>
        <v>2</v>
      </c>
      <c r="E227" s="71" t="str">
        <f>IF(K227="","",INDEX(Calcule!$B$6:$B$40,K227))</f>
        <v>Standard</v>
      </c>
      <c r="F227" s="12">
        <f>IF(K227="","",INDEX(Calcule!$R$6:$R$40,K227))</f>
        <v>900</v>
      </c>
      <c r="G227" s="12">
        <f>IF(K227="","",INDEX(Calcule!$Y$6:$Y$40,K227))</f>
        <v>1160</v>
      </c>
      <c r="H227" s="12">
        <f>IF(K227="","",INDEX(Calcule!$AE$6:$AE$40,K227))</f>
        <v>1040</v>
      </c>
      <c r="I227" s="12">
        <f>IF(K227="","",INDEX(Calcule!$AI$6:$AI$40,K227))</f>
        <v>1000</v>
      </c>
      <c r="J227" s="12">
        <f>IF(K227="","",INDEX(Calcule!$U$6:$U$40,K227))</f>
        <v>653.79665379665369</v>
      </c>
      <c r="K227" s="72">
        <f>IFERROR(IF(A227&lt;=INDEX(Perioade!$D$6:$D$40,MATCH(A227,Perioade!$C$6:$C$40,1)),MATCH(A227,Perioade!$C$6:$C$40,1),""),"")</f>
        <v>7</v>
      </c>
    </row>
    <row r="228" spans="1:11" x14ac:dyDescent="0.2">
      <c r="A228" s="61">
        <f t="shared" si="6"/>
        <v>46543</v>
      </c>
      <c r="B228" s="71" t="str">
        <f t="shared" si="7"/>
        <v>Sâ</v>
      </c>
      <c r="C228" t="str">
        <f>IF(K228="","⚠ fără perioadă",INDEX(Perioade!$A$6:$A$40,K228))</f>
        <v>primavara-2027</v>
      </c>
      <c r="D228" s="71">
        <f>IF(K228="","",INDEX(Calcule!$C$6:$C$40,K228))</f>
        <v>2</v>
      </c>
      <c r="E228" s="71" t="str">
        <f>IF(K228="","",INDEX(Calcule!$B$6:$B$40,K228))</f>
        <v>Standard</v>
      </c>
      <c r="F228" s="12">
        <f>IF(K228="","",INDEX(Calcule!$R$6:$R$40,K228))</f>
        <v>900</v>
      </c>
      <c r="G228" s="12">
        <f>IF(K228="","",INDEX(Calcule!$Y$6:$Y$40,K228))</f>
        <v>1160</v>
      </c>
      <c r="H228" s="12">
        <f>IF(K228="","",INDEX(Calcule!$AE$6:$AE$40,K228))</f>
        <v>1040</v>
      </c>
      <c r="I228" s="12">
        <f>IF(K228="","",INDEX(Calcule!$AI$6:$AI$40,K228))</f>
        <v>1000</v>
      </c>
      <c r="J228" s="12">
        <f>IF(K228="","",INDEX(Calcule!$U$6:$U$40,K228))</f>
        <v>653.79665379665369</v>
      </c>
      <c r="K228" s="72">
        <f>IFERROR(IF(A228&lt;=INDEX(Perioade!$D$6:$D$40,MATCH(A228,Perioade!$C$6:$C$40,1)),MATCH(A228,Perioade!$C$6:$C$40,1),""),"")</f>
        <v>7</v>
      </c>
    </row>
    <row r="229" spans="1:11" x14ac:dyDescent="0.2">
      <c r="A229" s="61">
        <f t="shared" si="6"/>
        <v>46544</v>
      </c>
      <c r="B229" s="71" t="str">
        <f t="shared" si="7"/>
        <v>Du</v>
      </c>
      <c r="C229" t="str">
        <f>IF(K229="","⚠ fără perioadă",INDEX(Perioade!$A$6:$A$40,K229))</f>
        <v>primavara-2027</v>
      </c>
      <c r="D229" s="71">
        <f>IF(K229="","",INDEX(Calcule!$C$6:$C$40,K229))</f>
        <v>2</v>
      </c>
      <c r="E229" s="71" t="str">
        <f>IF(K229="","",INDEX(Calcule!$B$6:$B$40,K229))</f>
        <v>Standard</v>
      </c>
      <c r="F229" s="12">
        <f>IF(K229="","",INDEX(Calcule!$R$6:$R$40,K229))</f>
        <v>900</v>
      </c>
      <c r="G229" s="12">
        <f>IF(K229="","",INDEX(Calcule!$Y$6:$Y$40,K229))</f>
        <v>1160</v>
      </c>
      <c r="H229" s="12">
        <f>IF(K229="","",INDEX(Calcule!$AE$6:$AE$40,K229))</f>
        <v>1040</v>
      </c>
      <c r="I229" s="12">
        <f>IF(K229="","",INDEX(Calcule!$AI$6:$AI$40,K229))</f>
        <v>1000</v>
      </c>
      <c r="J229" s="12">
        <f>IF(K229="","",INDEX(Calcule!$U$6:$U$40,K229))</f>
        <v>653.79665379665369</v>
      </c>
      <c r="K229" s="72">
        <f>IFERROR(IF(A229&lt;=INDEX(Perioade!$D$6:$D$40,MATCH(A229,Perioade!$C$6:$C$40,1)),MATCH(A229,Perioade!$C$6:$C$40,1),""),"")</f>
        <v>7</v>
      </c>
    </row>
    <row r="230" spans="1:11" x14ac:dyDescent="0.2">
      <c r="A230" s="61">
        <f t="shared" si="6"/>
        <v>46545</v>
      </c>
      <c r="B230" s="71" t="str">
        <f t="shared" si="7"/>
        <v>Lu</v>
      </c>
      <c r="C230" t="str">
        <f>IF(K230="","⚠ fără perioadă",INDEX(Perioade!$A$6:$A$40,K230))</f>
        <v>primavara-2027</v>
      </c>
      <c r="D230" s="71">
        <f>IF(K230="","",INDEX(Calcule!$C$6:$C$40,K230))</f>
        <v>2</v>
      </c>
      <c r="E230" s="71" t="str">
        <f>IF(K230="","",INDEX(Calcule!$B$6:$B$40,K230))</f>
        <v>Standard</v>
      </c>
      <c r="F230" s="12">
        <f>IF(K230="","",INDEX(Calcule!$R$6:$R$40,K230))</f>
        <v>900</v>
      </c>
      <c r="G230" s="12">
        <f>IF(K230="","",INDEX(Calcule!$Y$6:$Y$40,K230))</f>
        <v>1160</v>
      </c>
      <c r="H230" s="12">
        <f>IF(K230="","",INDEX(Calcule!$AE$6:$AE$40,K230))</f>
        <v>1040</v>
      </c>
      <c r="I230" s="12">
        <f>IF(K230="","",INDEX(Calcule!$AI$6:$AI$40,K230))</f>
        <v>1000</v>
      </c>
      <c r="J230" s="12">
        <f>IF(K230="","",INDEX(Calcule!$U$6:$U$40,K230))</f>
        <v>653.79665379665369</v>
      </c>
      <c r="K230" s="72">
        <f>IFERROR(IF(A230&lt;=INDEX(Perioade!$D$6:$D$40,MATCH(A230,Perioade!$C$6:$C$40,1)),MATCH(A230,Perioade!$C$6:$C$40,1),""),"")</f>
        <v>7</v>
      </c>
    </row>
    <row r="231" spans="1:11" x14ac:dyDescent="0.2">
      <c r="A231" s="61">
        <f t="shared" si="6"/>
        <v>46546</v>
      </c>
      <c r="B231" s="71" t="str">
        <f t="shared" si="7"/>
        <v>Ma</v>
      </c>
      <c r="C231" t="str">
        <f>IF(K231="","⚠ fără perioadă",INDEX(Perioade!$A$6:$A$40,K231))</f>
        <v>primavara-2027</v>
      </c>
      <c r="D231" s="71">
        <f>IF(K231="","",INDEX(Calcule!$C$6:$C$40,K231))</f>
        <v>2</v>
      </c>
      <c r="E231" s="71" t="str">
        <f>IF(K231="","",INDEX(Calcule!$B$6:$B$40,K231))</f>
        <v>Standard</v>
      </c>
      <c r="F231" s="12">
        <f>IF(K231="","",INDEX(Calcule!$R$6:$R$40,K231))</f>
        <v>900</v>
      </c>
      <c r="G231" s="12">
        <f>IF(K231="","",INDEX(Calcule!$Y$6:$Y$40,K231))</f>
        <v>1160</v>
      </c>
      <c r="H231" s="12">
        <f>IF(K231="","",INDEX(Calcule!$AE$6:$AE$40,K231))</f>
        <v>1040</v>
      </c>
      <c r="I231" s="12">
        <f>IF(K231="","",INDEX(Calcule!$AI$6:$AI$40,K231))</f>
        <v>1000</v>
      </c>
      <c r="J231" s="12">
        <f>IF(K231="","",INDEX(Calcule!$U$6:$U$40,K231))</f>
        <v>653.79665379665369</v>
      </c>
      <c r="K231" s="72">
        <f>IFERROR(IF(A231&lt;=INDEX(Perioade!$D$6:$D$40,MATCH(A231,Perioade!$C$6:$C$40,1)),MATCH(A231,Perioade!$C$6:$C$40,1),""),"")</f>
        <v>7</v>
      </c>
    </row>
    <row r="232" spans="1:11" x14ac:dyDescent="0.2">
      <c r="A232" s="61">
        <f t="shared" si="6"/>
        <v>46547</v>
      </c>
      <c r="B232" s="71" t="str">
        <f t="shared" si="7"/>
        <v>Mi</v>
      </c>
      <c r="C232" t="str">
        <f>IF(K232="","⚠ fără perioadă",INDEX(Perioade!$A$6:$A$40,K232))</f>
        <v>primavara-2027</v>
      </c>
      <c r="D232" s="71">
        <f>IF(K232="","",INDEX(Calcule!$C$6:$C$40,K232))</f>
        <v>2</v>
      </c>
      <c r="E232" s="71" t="str">
        <f>IF(K232="","",INDEX(Calcule!$B$6:$B$40,K232))</f>
        <v>Standard</v>
      </c>
      <c r="F232" s="12">
        <f>IF(K232="","",INDEX(Calcule!$R$6:$R$40,K232))</f>
        <v>900</v>
      </c>
      <c r="G232" s="12">
        <f>IF(K232="","",INDEX(Calcule!$Y$6:$Y$40,K232))</f>
        <v>1160</v>
      </c>
      <c r="H232" s="12">
        <f>IF(K232="","",INDEX(Calcule!$AE$6:$AE$40,K232))</f>
        <v>1040</v>
      </c>
      <c r="I232" s="12">
        <f>IF(K232="","",INDEX(Calcule!$AI$6:$AI$40,K232))</f>
        <v>1000</v>
      </c>
      <c r="J232" s="12">
        <f>IF(K232="","",INDEX(Calcule!$U$6:$U$40,K232))</f>
        <v>653.79665379665369</v>
      </c>
      <c r="K232" s="72">
        <f>IFERROR(IF(A232&lt;=INDEX(Perioade!$D$6:$D$40,MATCH(A232,Perioade!$C$6:$C$40,1)),MATCH(A232,Perioade!$C$6:$C$40,1),""),"")</f>
        <v>7</v>
      </c>
    </row>
    <row r="233" spans="1:11" x14ac:dyDescent="0.2">
      <c r="A233" s="61">
        <f t="shared" si="6"/>
        <v>46548</v>
      </c>
      <c r="B233" s="71" t="str">
        <f t="shared" si="7"/>
        <v>Jo</v>
      </c>
      <c r="C233" t="str">
        <f>IF(K233="","⚠ fără perioadă",INDEX(Perioade!$A$6:$A$40,K233))</f>
        <v>primavara-2027</v>
      </c>
      <c r="D233" s="71">
        <f>IF(K233="","",INDEX(Calcule!$C$6:$C$40,K233))</f>
        <v>2</v>
      </c>
      <c r="E233" s="71" t="str">
        <f>IF(K233="","",INDEX(Calcule!$B$6:$B$40,K233))</f>
        <v>Standard</v>
      </c>
      <c r="F233" s="12">
        <f>IF(K233="","",INDEX(Calcule!$R$6:$R$40,K233))</f>
        <v>900</v>
      </c>
      <c r="G233" s="12">
        <f>IF(K233="","",INDEX(Calcule!$Y$6:$Y$40,K233))</f>
        <v>1160</v>
      </c>
      <c r="H233" s="12">
        <f>IF(K233="","",INDEX(Calcule!$AE$6:$AE$40,K233))</f>
        <v>1040</v>
      </c>
      <c r="I233" s="12">
        <f>IF(K233="","",INDEX(Calcule!$AI$6:$AI$40,K233))</f>
        <v>1000</v>
      </c>
      <c r="J233" s="12">
        <f>IF(K233="","",INDEX(Calcule!$U$6:$U$40,K233))</f>
        <v>653.79665379665369</v>
      </c>
      <c r="K233" s="72">
        <f>IFERROR(IF(A233&lt;=INDEX(Perioade!$D$6:$D$40,MATCH(A233,Perioade!$C$6:$C$40,1)),MATCH(A233,Perioade!$C$6:$C$40,1),""),"")</f>
        <v>7</v>
      </c>
    </row>
    <row r="234" spans="1:11" x14ac:dyDescent="0.2">
      <c r="A234" s="61">
        <f t="shared" si="6"/>
        <v>46549</v>
      </c>
      <c r="B234" s="71" t="str">
        <f t="shared" si="7"/>
        <v>Vi</v>
      </c>
      <c r="C234" t="str">
        <f>IF(K234="","⚠ fără perioadă",INDEX(Perioade!$A$6:$A$40,K234))</f>
        <v>primavara-2027</v>
      </c>
      <c r="D234" s="71">
        <f>IF(K234="","",INDEX(Calcule!$C$6:$C$40,K234))</f>
        <v>2</v>
      </c>
      <c r="E234" s="71" t="str">
        <f>IF(K234="","",INDEX(Calcule!$B$6:$B$40,K234))</f>
        <v>Standard</v>
      </c>
      <c r="F234" s="12">
        <f>IF(K234="","",INDEX(Calcule!$R$6:$R$40,K234))</f>
        <v>900</v>
      </c>
      <c r="G234" s="12">
        <f>IF(K234="","",INDEX(Calcule!$Y$6:$Y$40,K234))</f>
        <v>1160</v>
      </c>
      <c r="H234" s="12">
        <f>IF(K234="","",INDEX(Calcule!$AE$6:$AE$40,K234))</f>
        <v>1040</v>
      </c>
      <c r="I234" s="12">
        <f>IF(K234="","",INDEX(Calcule!$AI$6:$AI$40,K234))</f>
        <v>1000</v>
      </c>
      <c r="J234" s="12">
        <f>IF(K234="","",INDEX(Calcule!$U$6:$U$40,K234))</f>
        <v>653.79665379665369</v>
      </c>
      <c r="K234" s="72">
        <f>IFERROR(IF(A234&lt;=INDEX(Perioade!$D$6:$D$40,MATCH(A234,Perioade!$C$6:$C$40,1)),MATCH(A234,Perioade!$C$6:$C$40,1),""),"")</f>
        <v>7</v>
      </c>
    </row>
    <row r="235" spans="1:11" x14ac:dyDescent="0.2">
      <c r="A235" s="61">
        <f t="shared" si="6"/>
        <v>46550</v>
      </c>
      <c r="B235" s="71" t="str">
        <f t="shared" si="7"/>
        <v>Sâ</v>
      </c>
      <c r="C235" t="str">
        <f>IF(K235="","⚠ fără perioadă",INDEX(Perioade!$A$6:$A$40,K235))</f>
        <v>primavara-2027</v>
      </c>
      <c r="D235" s="71">
        <f>IF(K235="","",INDEX(Calcule!$C$6:$C$40,K235))</f>
        <v>2</v>
      </c>
      <c r="E235" s="71" t="str">
        <f>IF(K235="","",INDEX(Calcule!$B$6:$B$40,K235))</f>
        <v>Standard</v>
      </c>
      <c r="F235" s="12">
        <f>IF(K235="","",INDEX(Calcule!$R$6:$R$40,K235))</f>
        <v>900</v>
      </c>
      <c r="G235" s="12">
        <f>IF(K235="","",INDEX(Calcule!$Y$6:$Y$40,K235))</f>
        <v>1160</v>
      </c>
      <c r="H235" s="12">
        <f>IF(K235="","",INDEX(Calcule!$AE$6:$AE$40,K235))</f>
        <v>1040</v>
      </c>
      <c r="I235" s="12">
        <f>IF(K235="","",INDEX(Calcule!$AI$6:$AI$40,K235))</f>
        <v>1000</v>
      </c>
      <c r="J235" s="12">
        <f>IF(K235="","",INDEX(Calcule!$U$6:$U$40,K235))</f>
        <v>653.79665379665369</v>
      </c>
      <c r="K235" s="72">
        <f>IFERROR(IF(A235&lt;=INDEX(Perioade!$D$6:$D$40,MATCH(A235,Perioade!$C$6:$C$40,1)),MATCH(A235,Perioade!$C$6:$C$40,1),""),"")</f>
        <v>7</v>
      </c>
    </row>
    <row r="236" spans="1:11" x14ac:dyDescent="0.2">
      <c r="A236" s="61">
        <f t="shared" si="6"/>
        <v>46551</v>
      </c>
      <c r="B236" s="71" t="str">
        <f t="shared" si="7"/>
        <v>Du</v>
      </c>
      <c r="C236" t="str">
        <f>IF(K236="","⚠ fără perioadă",INDEX(Perioade!$A$6:$A$40,K236))</f>
        <v>primavara-2027</v>
      </c>
      <c r="D236" s="71">
        <f>IF(K236="","",INDEX(Calcule!$C$6:$C$40,K236))</f>
        <v>2</v>
      </c>
      <c r="E236" s="71" t="str">
        <f>IF(K236="","",INDEX(Calcule!$B$6:$B$40,K236))</f>
        <v>Standard</v>
      </c>
      <c r="F236" s="12">
        <f>IF(K236="","",INDEX(Calcule!$R$6:$R$40,K236))</f>
        <v>900</v>
      </c>
      <c r="G236" s="12">
        <f>IF(K236="","",INDEX(Calcule!$Y$6:$Y$40,K236))</f>
        <v>1160</v>
      </c>
      <c r="H236" s="12">
        <f>IF(K236="","",INDEX(Calcule!$AE$6:$AE$40,K236))</f>
        <v>1040</v>
      </c>
      <c r="I236" s="12">
        <f>IF(K236="","",INDEX(Calcule!$AI$6:$AI$40,K236))</f>
        <v>1000</v>
      </c>
      <c r="J236" s="12">
        <f>IF(K236="","",INDEX(Calcule!$U$6:$U$40,K236))</f>
        <v>653.79665379665369</v>
      </c>
      <c r="K236" s="72">
        <f>IFERROR(IF(A236&lt;=INDEX(Perioade!$D$6:$D$40,MATCH(A236,Perioade!$C$6:$C$40,1)),MATCH(A236,Perioade!$C$6:$C$40,1),""),"")</f>
        <v>7</v>
      </c>
    </row>
    <row r="237" spans="1:11" x14ac:dyDescent="0.2">
      <c r="A237" s="61">
        <f t="shared" si="6"/>
        <v>46552</v>
      </c>
      <c r="B237" s="71" t="str">
        <f t="shared" si="7"/>
        <v>Lu</v>
      </c>
      <c r="C237" t="str">
        <f>IF(K237="","⚠ fără perioadă",INDEX(Perioade!$A$6:$A$40,K237))</f>
        <v>primavara-2027</v>
      </c>
      <c r="D237" s="71">
        <f>IF(K237="","",INDEX(Calcule!$C$6:$C$40,K237))</f>
        <v>2</v>
      </c>
      <c r="E237" s="71" t="str">
        <f>IF(K237="","",INDEX(Calcule!$B$6:$B$40,K237))</f>
        <v>Standard</v>
      </c>
      <c r="F237" s="12">
        <f>IF(K237="","",INDEX(Calcule!$R$6:$R$40,K237))</f>
        <v>900</v>
      </c>
      <c r="G237" s="12">
        <f>IF(K237="","",INDEX(Calcule!$Y$6:$Y$40,K237))</f>
        <v>1160</v>
      </c>
      <c r="H237" s="12">
        <f>IF(K237="","",INDEX(Calcule!$AE$6:$AE$40,K237))</f>
        <v>1040</v>
      </c>
      <c r="I237" s="12">
        <f>IF(K237="","",INDEX(Calcule!$AI$6:$AI$40,K237))</f>
        <v>1000</v>
      </c>
      <c r="J237" s="12">
        <f>IF(K237="","",INDEX(Calcule!$U$6:$U$40,K237))</f>
        <v>653.79665379665369</v>
      </c>
      <c r="K237" s="72">
        <f>IFERROR(IF(A237&lt;=INDEX(Perioade!$D$6:$D$40,MATCH(A237,Perioade!$C$6:$C$40,1)),MATCH(A237,Perioade!$C$6:$C$40,1),""),"")</f>
        <v>7</v>
      </c>
    </row>
    <row r="238" spans="1:11" x14ac:dyDescent="0.2">
      <c r="A238" s="61">
        <f t="shared" si="6"/>
        <v>46553</v>
      </c>
      <c r="B238" s="71" t="str">
        <f t="shared" si="7"/>
        <v>Ma</v>
      </c>
      <c r="C238" t="str">
        <f>IF(K238="","⚠ fără perioadă",INDEX(Perioade!$A$6:$A$40,K238))</f>
        <v>primavara-2027</v>
      </c>
      <c r="D238" s="71">
        <f>IF(K238="","",INDEX(Calcule!$C$6:$C$40,K238))</f>
        <v>2</v>
      </c>
      <c r="E238" s="71" t="str">
        <f>IF(K238="","",INDEX(Calcule!$B$6:$B$40,K238))</f>
        <v>Standard</v>
      </c>
      <c r="F238" s="12">
        <f>IF(K238="","",INDEX(Calcule!$R$6:$R$40,K238))</f>
        <v>900</v>
      </c>
      <c r="G238" s="12">
        <f>IF(K238="","",INDEX(Calcule!$Y$6:$Y$40,K238))</f>
        <v>1160</v>
      </c>
      <c r="H238" s="12">
        <f>IF(K238="","",INDEX(Calcule!$AE$6:$AE$40,K238))</f>
        <v>1040</v>
      </c>
      <c r="I238" s="12">
        <f>IF(K238="","",INDEX(Calcule!$AI$6:$AI$40,K238))</f>
        <v>1000</v>
      </c>
      <c r="J238" s="12">
        <f>IF(K238="","",INDEX(Calcule!$U$6:$U$40,K238))</f>
        <v>653.79665379665369</v>
      </c>
      <c r="K238" s="72">
        <f>IFERROR(IF(A238&lt;=INDEX(Perioade!$D$6:$D$40,MATCH(A238,Perioade!$C$6:$C$40,1)),MATCH(A238,Perioade!$C$6:$C$40,1),""),"")</f>
        <v>7</v>
      </c>
    </row>
    <row r="239" spans="1:11" x14ac:dyDescent="0.2">
      <c r="A239" s="61">
        <f t="shared" si="6"/>
        <v>46554</v>
      </c>
      <c r="B239" s="71" t="str">
        <f t="shared" si="7"/>
        <v>Mi</v>
      </c>
      <c r="C239" t="str">
        <f>IF(K239="","⚠ fără perioadă",INDEX(Perioade!$A$6:$A$40,K239))</f>
        <v>primavara-2027</v>
      </c>
      <c r="D239" s="71">
        <f>IF(K239="","",INDEX(Calcule!$C$6:$C$40,K239))</f>
        <v>2</v>
      </c>
      <c r="E239" s="71" t="str">
        <f>IF(K239="","",INDEX(Calcule!$B$6:$B$40,K239))</f>
        <v>Standard</v>
      </c>
      <c r="F239" s="12">
        <f>IF(K239="","",INDEX(Calcule!$R$6:$R$40,K239))</f>
        <v>900</v>
      </c>
      <c r="G239" s="12">
        <f>IF(K239="","",INDEX(Calcule!$Y$6:$Y$40,K239))</f>
        <v>1160</v>
      </c>
      <c r="H239" s="12">
        <f>IF(K239="","",INDEX(Calcule!$AE$6:$AE$40,K239))</f>
        <v>1040</v>
      </c>
      <c r="I239" s="12">
        <f>IF(K239="","",INDEX(Calcule!$AI$6:$AI$40,K239))</f>
        <v>1000</v>
      </c>
      <c r="J239" s="12">
        <f>IF(K239="","",INDEX(Calcule!$U$6:$U$40,K239))</f>
        <v>653.79665379665369</v>
      </c>
      <c r="K239" s="72">
        <f>IFERROR(IF(A239&lt;=INDEX(Perioade!$D$6:$D$40,MATCH(A239,Perioade!$C$6:$C$40,1)),MATCH(A239,Perioade!$C$6:$C$40,1),""),"")</f>
        <v>7</v>
      </c>
    </row>
    <row r="240" spans="1:11" x14ac:dyDescent="0.2">
      <c r="A240" s="61">
        <f t="shared" si="6"/>
        <v>46555</v>
      </c>
      <c r="B240" s="71" t="str">
        <f t="shared" si="7"/>
        <v>Jo</v>
      </c>
      <c r="C240" t="str">
        <f>IF(K240="","⚠ fără perioadă",INDEX(Perioade!$A$6:$A$40,K240))</f>
        <v>primavara-2027</v>
      </c>
      <c r="D240" s="71">
        <f>IF(K240="","",INDEX(Calcule!$C$6:$C$40,K240))</f>
        <v>2</v>
      </c>
      <c r="E240" s="71" t="str">
        <f>IF(K240="","",INDEX(Calcule!$B$6:$B$40,K240))</f>
        <v>Standard</v>
      </c>
      <c r="F240" s="12">
        <f>IF(K240="","",INDEX(Calcule!$R$6:$R$40,K240))</f>
        <v>900</v>
      </c>
      <c r="G240" s="12">
        <f>IF(K240="","",INDEX(Calcule!$Y$6:$Y$40,K240))</f>
        <v>1160</v>
      </c>
      <c r="H240" s="12">
        <f>IF(K240="","",INDEX(Calcule!$AE$6:$AE$40,K240))</f>
        <v>1040</v>
      </c>
      <c r="I240" s="12">
        <f>IF(K240="","",INDEX(Calcule!$AI$6:$AI$40,K240))</f>
        <v>1000</v>
      </c>
      <c r="J240" s="12">
        <f>IF(K240="","",INDEX(Calcule!$U$6:$U$40,K240))</f>
        <v>653.79665379665369</v>
      </c>
      <c r="K240" s="72">
        <f>IFERROR(IF(A240&lt;=INDEX(Perioade!$D$6:$D$40,MATCH(A240,Perioade!$C$6:$C$40,1)),MATCH(A240,Perioade!$C$6:$C$40,1),""),"")</f>
        <v>7</v>
      </c>
    </row>
    <row r="241" spans="1:11" x14ac:dyDescent="0.2">
      <c r="A241" s="61">
        <f t="shared" si="6"/>
        <v>46556</v>
      </c>
      <c r="B241" s="71" t="str">
        <f t="shared" si="7"/>
        <v>Vi</v>
      </c>
      <c r="C241" t="str">
        <f>IF(K241="","⚠ fără perioadă",INDEX(Perioade!$A$6:$A$40,K241))</f>
        <v>primavara-2027</v>
      </c>
      <c r="D241" s="71">
        <f>IF(K241="","",INDEX(Calcule!$C$6:$C$40,K241))</f>
        <v>2</v>
      </c>
      <c r="E241" s="71" t="str">
        <f>IF(K241="","",INDEX(Calcule!$B$6:$B$40,K241))</f>
        <v>Standard</v>
      </c>
      <c r="F241" s="12">
        <f>IF(K241="","",INDEX(Calcule!$R$6:$R$40,K241))</f>
        <v>900</v>
      </c>
      <c r="G241" s="12">
        <f>IF(K241="","",INDEX(Calcule!$Y$6:$Y$40,K241))</f>
        <v>1160</v>
      </c>
      <c r="H241" s="12">
        <f>IF(K241="","",INDEX(Calcule!$AE$6:$AE$40,K241))</f>
        <v>1040</v>
      </c>
      <c r="I241" s="12">
        <f>IF(K241="","",INDEX(Calcule!$AI$6:$AI$40,K241))</f>
        <v>1000</v>
      </c>
      <c r="J241" s="12">
        <f>IF(K241="","",INDEX(Calcule!$U$6:$U$40,K241))</f>
        <v>653.79665379665369</v>
      </c>
      <c r="K241" s="72">
        <f>IFERROR(IF(A241&lt;=INDEX(Perioade!$D$6:$D$40,MATCH(A241,Perioade!$C$6:$C$40,1)),MATCH(A241,Perioade!$C$6:$C$40,1),""),"")</f>
        <v>7</v>
      </c>
    </row>
    <row r="242" spans="1:11" x14ac:dyDescent="0.2">
      <c r="A242" s="61">
        <f t="shared" si="6"/>
        <v>46557</v>
      </c>
      <c r="B242" s="71" t="str">
        <f t="shared" si="7"/>
        <v>Sâ</v>
      </c>
      <c r="C242" t="str">
        <f>IF(K242="","⚠ fără perioadă",INDEX(Perioade!$A$6:$A$40,K242))</f>
        <v>primavara-2027</v>
      </c>
      <c r="D242" s="71">
        <f>IF(K242="","",INDEX(Calcule!$C$6:$C$40,K242))</f>
        <v>2</v>
      </c>
      <c r="E242" s="71" t="str">
        <f>IF(K242="","",INDEX(Calcule!$B$6:$B$40,K242))</f>
        <v>Standard</v>
      </c>
      <c r="F242" s="12">
        <f>IF(K242="","",INDEX(Calcule!$R$6:$R$40,K242))</f>
        <v>900</v>
      </c>
      <c r="G242" s="12">
        <f>IF(K242="","",INDEX(Calcule!$Y$6:$Y$40,K242))</f>
        <v>1160</v>
      </c>
      <c r="H242" s="12">
        <f>IF(K242="","",INDEX(Calcule!$AE$6:$AE$40,K242))</f>
        <v>1040</v>
      </c>
      <c r="I242" s="12">
        <f>IF(K242="","",INDEX(Calcule!$AI$6:$AI$40,K242))</f>
        <v>1000</v>
      </c>
      <c r="J242" s="12">
        <f>IF(K242="","",INDEX(Calcule!$U$6:$U$40,K242))</f>
        <v>653.79665379665369</v>
      </c>
      <c r="K242" s="72">
        <f>IFERROR(IF(A242&lt;=INDEX(Perioade!$D$6:$D$40,MATCH(A242,Perioade!$C$6:$C$40,1)),MATCH(A242,Perioade!$C$6:$C$40,1),""),"")</f>
        <v>7</v>
      </c>
    </row>
    <row r="243" spans="1:11" x14ac:dyDescent="0.2">
      <c r="A243" s="61">
        <f t="shared" si="6"/>
        <v>46558</v>
      </c>
      <c r="B243" s="71" t="str">
        <f t="shared" si="7"/>
        <v>Du</v>
      </c>
      <c r="C243" t="str">
        <f>IF(K243="","⚠ fără perioadă",INDEX(Perioade!$A$6:$A$40,K243))</f>
        <v>primavara-2027</v>
      </c>
      <c r="D243" s="71">
        <f>IF(K243="","",INDEX(Calcule!$C$6:$C$40,K243))</f>
        <v>2</v>
      </c>
      <c r="E243" s="71" t="str">
        <f>IF(K243="","",INDEX(Calcule!$B$6:$B$40,K243))</f>
        <v>Standard</v>
      </c>
      <c r="F243" s="12">
        <f>IF(K243="","",INDEX(Calcule!$R$6:$R$40,K243))</f>
        <v>900</v>
      </c>
      <c r="G243" s="12">
        <f>IF(K243="","",INDEX(Calcule!$Y$6:$Y$40,K243))</f>
        <v>1160</v>
      </c>
      <c r="H243" s="12">
        <f>IF(K243="","",INDEX(Calcule!$AE$6:$AE$40,K243))</f>
        <v>1040</v>
      </c>
      <c r="I243" s="12">
        <f>IF(K243="","",INDEX(Calcule!$AI$6:$AI$40,K243))</f>
        <v>1000</v>
      </c>
      <c r="J243" s="12">
        <f>IF(K243="","",INDEX(Calcule!$U$6:$U$40,K243))</f>
        <v>653.79665379665369</v>
      </c>
      <c r="K243" s="72">
        <f>IFERROR(IF(A243&lt;=INDEX(Perioade!$D$6:$D$40,MATCH(A243,Perioade!$C$6:$C$40,1)),MATCH(A243,Perioade!$C$6:$C$40,1),""),"")</f>
        <v>7</v>
      </c>
    </row>
    <row r="244" spans="1:11" x14ac:dyDescent="0.2">
      <c r="A244" s="61">
        <f t="shared" si="6"/>
        <v>46559</v>
      </c>
      <c r="B244" s="71" t="str">
        <f t="shared" si="7"/>
        <v>Lu</v>
      </c>
      <c r="C244" t="str">
        <f>IF(K244="","⚠ fără perioadă",INDEX(Perioade!$A$6:$A$40,K244))</f>
        <v>primavara-2027</v>
      </c>
      <c r="D244" s="71">
        <f>IF(K244="","",INDEX(Calcule!$C$6:$C$40,K244))</f>
        <v>2</v>
      </c>
      <c r="E244" s="71" t="str">
        <f>IF(K244="","",INDEX(Calcule!$B$6:$B$40,K244))</f>
        <v>Standard</v>
      </c>
      <c r="F244" s="12">
        <f>IF(K244="","",INDEX(Calcule!$R$6:$R$40,K244))</f>
        <v>900</v>
      </c>
      <c r="G244" s="12">
        <f>IF(K244="","",INDEX(Calcule!$Y$6:$Y$40,K244))</f>
        <v>1160</v>
      </c>
      <c r="H244" s="12">
        <f>IF(K244="","",INDEX(Calcule!$AE$6:$AE$40,K244))</f>
        <v>1040</v>
      </c>
      <c r="I244" s="12">
        <f>IF(K244="","",INDEX(Calcule!$AI$6:$AI$40,K244))</f>
        <v>1000</v>
      </c>
      <c r="J244" s="12">
        <f>IF(K244="","",INDEX(Calcule!$U$6:$U$40,K244))</f>
        <v>653.79665379665369</v>
      </c>
      <c r="K244" s="72">
        <f>IFERROR(IF(A244&lt;=INDEX(Perioade!$D$6:$D$40,MATCH(A244,Perioade!$C$6:$C$40,1)),MATCH(A244,Perioade!$C$6:$C$40,1),""),"")</f>
        <v>7</v>
      </c>
    </row>
    <row r="245" spans="1:11" x14ac:dyDescent="0.2">
      <c r="A245" s="61">
        <f t="shared" si="6"/>
        <v>46560</v>
      </c>
      <c r="B245" s="71" t="str">
        <f t="shared" si="7"/>
        <v>Ma</v>
      </c>
      <c r="C245" t="str">
        <f>IF(K245="","⚠ fără perioadă",INDEX(Perioade!$A$6:$A$40,K245))</f>
        <v>primavara-2027</v>
      </c>
      <c r="D245" s="71">
        <f>IF(K245="","",INDEX(Calcule!$C$6:$C$40,K245))</f>
        <v>2</v>
      </c>
      <c r="E245" s="71" t="str">
        <f>IF(K245="","",INDEX(Calcule!$B$6:$B$40,K245))</f>
        <v>Standard</v>
      </c>
      <c r="F245" s="12">
        <f>IF(K245="","",INDEX(Calcule!$R$6:$R$40,K245))</f>
        <v>900</v>
      </c>
      <c r="G245" s="12">
        <f>IF(K245="","",INDEX(Calcule!$Y$6:$Y$40,K245))</f>
        <v>1160</v>
      </c>
      <c r="H245" s="12">
        <f>IF(K245="","",INDEX(Calcule!$AE$6:$AE$40,K245))</f>
        <v>1040</v>
      </c>
      <c r="I245" s="12">
        <f>IF(K245="","",INDEX(Calcule!$AI$6:$AI$40,K245))</f>
        <v>1000</v>
      </c>
      <c r="J245" s="12">
        <f>IF(K245="","",INDEX(Calcule!$U$6:$U$40,K245))</f>
        <v>653.79665379665369</v>
      </c>
      <c r="K245" s="72">
        <f>IFERROR(IF(A245&lt;=INDEX(Perioade!$D$6:$D$40,MATCH(A245,Perioade!$C$6:$C$40,1)),MATCH(A245,Perioade!$C$6:$C$40,1),""),"")</f>
        <v>7</v>
      </c>
    </row>
    <row r="246" spans="1:11" x14ac:dyDescent="0.2">
      <c r="A246" s="61">
        <f t="shared" si="6"/>
        <v>46561</v>
      </c>
      <c r="B246" s="71" t="str">
        <f t="shared" si="7"/>
        <v>Mi</v>
      </c>
      <c r="C246" t="str">
        <f>IF(K246="","⚠ fără perioadă",INDEX(Perioade!$A$6:$A$40,K246))</f>
        <v>primavara-2027</v>
      </c>
      <c r="D246" s="71">
        <f>IF(K246="","",INDEX(Calcule!$C$6:$C$40,K246))</f>
        <v>2</v>
      </c>
      <c r="E246" s="71" t="str">
        <f>IF(K246="","",INDEX(Calcule!$B$6:$B$40,K246))</f>
        <v>Standard</v>
      </c>
      <c r="F246" s="12">
        <f>IF(K246="","",INDEX(Calcule!$R$6:$R$40,K246))</f>
        <v>900</v>
      </c>
      <c r="G246" s="12">
        <f>IF(K246="","",INDEX(Calcule!$Y$6:$Y$40,K246))</f>
        <v>1160</v>
      </c>
      <c r="H246" s="12">
        <f>IF(K246="","",INDEX(Calcule!$AE$6:$AE$40,K246))</f>
        <v>1040</v>
      </c>
      <c r="I246" s="12">
        <f>IF(K246="","",INDEX(Calcule!$AI$6:$AI$40,K246))</f>
        <v>1000</v>
      </c>
      <c r="J246" s="12">
        <f>IF(K246="","",INDEX(Calcule!$U$6:$U$40,K246))</f>
        <v>653.79665379665369</v>
      </c>
      <c r="K246" s="72">
        <f>IFERROR(IF(A246&lt;=INDEX(Perioade!$D$6:$D$40,MATCH(A246,Perioade!$C$6:$C$40,1)),MATCH(A246,Perioade!$C$6:$C$40,1),""),"")</f>
        <v>7</v>
      </c>
    </row>
    <row r="247" spans="1:11" x14ac:dyDescent="0.2">
      <c r="A247" s="61">
        <f t="shared" si="6"/>
        <v>46562</v>
      </c>
      <c r="B247" s="71" t="str">
        <f t="shared" si="7"/>
        <v>Jo</v>
      </c>
      <c r="C247" t="str">
        <f>IF(K247="","⚠ fără perioadă",INDEX(Perioade!$A$6:$A$40,K247))</f>
        <v>primavara-2027</v>
      </c>
      <c r="D247" s="71">
        <f>IF(K247="","",INDEX(Calcule!$C$6:$C$40,K247))</f>
        <v>2</v>
      </c>
      <c r="E247" s="71" t="str">
        <f>IF(K247="","",INDEX(Calcule!$B$6:$B$40,K247))</f>
        <v>Standard</v>
      </c>
      <c r="F247" s="12">
        <f>IF(K247="","",INDEX(Calcule!$R$6:$R$40,K247))</f>
        <v>900</v>
      </c>
      <c r="G247" s="12">
        <f>IF(K247="","",INDEX(Calcule!$Y$6:$Y$40,K247))</f>
        <v>1160</v>
      </c>
      <c r="H247" s="12">
        <f>IF(K247="","",INDEX(Calcule!$AE$6:$AE$40,K247))</f>
        <v>1040</v>
      </c>
      <c r="I247" s="12">
        <f>IF(K247="","",INDEX(Calcule!$AI$6:$AI$40,K247))</f>
        <v>1000</v>
      </c>
      <c r="J247" s="12">
        <f>IF(K247="","",INDEX(Calcule!$U$6:$U$40,K247))</f>
        <v>653.79665379665369</v>
      </c>
      <c r="K247" s="72">
        <f>IFERROR(IF(A247&lt;=INDEX(Perioade!$D$6:$D$40,MATCH(A247,Perioade!$C$6:$C$40,1)),MATCH(A247,Perioade!$C$6:$C$40,1),""),"")</f>
        <v>7</v>
      </c>
    </row>
    <row r="248" spans="1:11" x14ac:dyDescent="0.2">
      <c r="A248" s="61">
        <f t="shared" si="6"/>
        <v>46563</v>
      </c>
      <c r="B248" s="71" t="str">
        <f t="shared" si="7"/>
        <v>Vi</v>
      </c>
      <c r="C248" t="str">
        <f>IF(K248="","⚠ fără perioadă",INDEX(Perioade!$A$6:$A$40,K248))</f>
        <v>primavara-2027</v>
      </c>
      <c r="D248" s="71">
        <f>IF(K248="","",INDEX(Calcule!$C$6:$C$40,K248))</f>
        <v>2</v>
      </c>
      <c r="E248" s="71" t="str">
        <f>IF(K248="","",INDEX(Calcule!$B$6:$B$40,K248))</f>
        <v>Standard</v>
      </c>
      <c r="F248" s="12">
        <f>IF(K248="","",INDEX(Calcule!$R$6:$R$40,K248))</f>
        <v>900</v>
      </c>
      <c r="G248" s="12">
        <f>IF(K248="","",INDEX(Calcule!$Y$6:$Y$40,K248))</f>
        <v>1160</v>
      </c>
      <c r="H248" s="12">
        <f>IF(K248="","",INDEX(Calcule!$AE$6:$AE$40,K248))</f>
        <v>1040</v>
      </c>
      <c r="I248" s="12">
        <f>IF(K248="","",INDEX(Calcule!$AI$6:$AI$40,K248))</f>
        <v>1000</v>
      </c>
      <c r="J248" s="12">
        <f>IF(K248="","",INDEX(Calcule!$U$6:$U$40,K248))</f>
        <v>653.79665379665369</v>
      </c>
      <c r="K248" s="72">
        <f>IFERROR(IF(A248&lt;=INDEX(Perioade!$D$6:$D$40,MATCH(A248,Perioade!$C$6:$C$40,1)),MATCH(A248,Perioade!$C$6:$C$40,1),""),"")</f>
        <v>7</v>
      </c>
    </row>
    <row r="249" spans="1:11" x14ac:dyDescent="0.2">
      <c r="A249" s="61">
        <f t="shared" si="6"/>
        <v>46564</v>
      </c>
      <c r="B249" s="71" t="str">
        <f t="shared" si="7"/>
        <v>Sâ</v>
      </c>
      <c r="C249" t="str">
        <f>IF(K249="","⚠ fără perioadă",INDEX(Perioade!$A$6:$A$40,K249))</f>
        <v>primavara-2027</v>
      </c>
      <c r="D249" s="71">
        <f>IF(K249="","",INDEX(Calcule!$C$6:$C$40,K249))</f>
        <v>2</v>
      </c>
      <c r="E249" s="71" t="str">
        <f>IF(K249="","",INDEX(Calcule!$B$6:$B$40,K249))</f>
        <v>Standard</v>
      </c>
      <c r="F249" s="12">
        <f>IF(K249="","",INDEX(Calcule!$R$6:$R$40,K249))</f>
        <v>900</v>
      </c>
      <c r="G249" s="12">
        <f>IF(K249="","",INDEX(Calcule!$Y$6:$Y$40,K249))</f>
        <v>1160</v>
      </c>
      <c r="H249" s="12">
        <f>IF(K249="","",INDEX(Calcule!$AE$6:$AE$40,K249))</f>
        <v>1040</v>
      </c>
      <c r="I249" s="12">
        <f>IF(K249="","",INDEX(Calcule!$AI$6:$AI$40,K249))</f>
        <v>1000</v>
      </c>
      <c r="J249" s="12">
        <f>IF(K249="","",INDEX(Calcule!$U$6:$U$40,K249))</f>
        <v>653.79665379665369</v>
      </c>
      <c r="K249" s="72">
        <f>IFERROR(IF(A249&lt;=INDEX(Perioade!$D$6:$D$40,MATCH(A249,Perioade!$C$6:$C$40,1)),MATCH(A249,Perioade!$C$6:$C$40,1),""),"")</f>
        <v>7</v>
      </c>
    </row>
    <row r="250" spans="1:11" x14ac:dyDescent="0.2">
      <c r="A250" s="61">
        <f t="shared" si="6"/>
        <v>46565</v>
      </c>
      <c r="B250" s="71" t="str">
        <f t="shared" si="7"/>
        <v>Du</v>
      </c>
      <c r="C250" t="str">
        <f>IF(K250="","⚠ fără perioadă",INDEX(Perioade!$A$6:$A$40,K250))</f>
        <v>primavara-2027</v>
      </c>
      <c r="D250" s="71">
        <f>IF(K250="","",INDEX(Calcule!$C$6:$C$40,K250))</f>
        <v>2</v>
      </c>
      <c r="E250" s="71" t="str">
        <f>IF(K250="","",INDEX(Calcule!$B$6:$B$40,K250))</f>
        <v>Standard</v>
      </c>
      <c r="F250" s="12">
        <f>IF(K250="","",INDEX(Calcule!$R$6:$R$40,K250))</f>
        <v>900</v>
      </c>
      <c r="G250" s="12">
        <f>IF(K250="","",INDEX(Calcule!$Y$6:$Y$40,K250))</f>
        <v>1160</v>
      </c>
      <c r="H250" s="12">
        <f>IF(K250="","",INDEX(Calcule!$AE$6:$AE$40,K250))</f>
        <v>1040</v>
      </c>
      <c r="I250" s="12">
        <f>IF(K250="","",INDEX(Calcule!$AI$6:$AI$40,K250))</f>
        <v>1000</v>
      </c>
      <c r="J250" s="12">
        <f>IF(K250="","",INDEX(Calcule!$U$6:$U$40,K250))</f>
        <v>653.79665379665369</v>
      </c>
      <c r="K250" s="72">
        <f>IFERROR(IF(A250&lt;=INDEX(Perioade!$D$6:$D$40,MATCH(A250,Perioade!$C$6:$C$40,1)),MATCH(A250,Perioade!$C$6:$C$40,1),""),"")</f>
        <v>7</v>
      </c>
    </row>
    <row r="251" spans="1:11" x14ac:dyDescent="0.2">
      <c r="A251" s="61">
        <f t="shared" si="6"/>
        <v>46566</v>
      </c>
      <c r="B251" s="71" t="str">
        <f t="shared" si="7"/>
        <v>Lu</v>
      </c>
      <c r="C251" t="str">
        <f>IF(K251="","⚠ fără perioadă",INDEX(Perioade!$A$6:$A$40,K251))</f>
        <v>primavara-2027</v>
      </c>
      <c r="D251" s="71">
        <f>IF(K251="","",INDEX(Calcule!$C$6:$C$40,K251))</f>
        <v>2</v>
      </c>
      <c r="E251" s="71" t="str">
        <f>IF(K251="","",INDEX(Calcule!$B$6:$B$40,K251))</f>
        <v>Standard</v>
      </c>
      <c r="F251" s="12">
        <f>IF(K251="","",INDEX(Calcule!$R$6:$R$40,K251))</f>
        <v>900</v>
      </c>
      <c r="G251" s="12">
        <f>IF(K251="","",INDEX(Calcule!$Y$6:$Y$40,K251))</f>
        <v>1160</v>
      </c>
      <c r="H251" s="12">
        <f>IF(K251="","",INDEX(Calcule!$AE$6:$AE$40,K251))</f>
        <v>1040</v>
      </c>
      <c r="I251" s="12">
        <f>IF(K251="","",INDEX(Calcule!$AI$6:$AI$40,K251))</f>
        <v>1000</v>
      </c>
      <c r="J251" s="12">
        <f>IF(K251="","",INDEX(Calcule!$U$6:$U$40,K251))</f>
        <v>653.79665379665369</v>
      </c>
      <c r="K251" s="72">
        <f>IFERROR(IF(A251&lt;=INDEX(Perioade!$D$6:$D$40,MATCH(A251,Perioade!$C$6:$C$40,1)),MATCH(A251,Perioade!$C$6:$C$40,1),""),"")</f>
        <v>7</v>
      </c>
    </row>
    <row r="252" spans="1:11" x14ac:dyDescent="0.2">
      <c r="A252" s="61">
        <f t="shared" si="6"/>
        <v>46567</v>
      </c>
      <c r="B252" s="71" t="str">
        <f t="shared" si="7"/>
        <v>Ma</v>
      </c>
      <c r="C252" t="str">
        <f>IF(K252="","⚠ fără perioadă",INDEX(Perioade!$A$6:$A$40,K252))</f>
        <v>primavara-2027</v>
      </c>
      <c r="D252" s="71">
        <f>IF(K252="","",INDEX(Calcule!$C$6:$C$40,K252))</f>
        <v>2</v>
      </c>
      <c r="E252" s="71" t="str">
        <f>IF(K252="","",INDEX(Calcule!$B$6:$B$40,K252))</f>
        <v>Standard</v>
      </c>
      <c r="F252" s="12">
        <f>IF(K252="","",INDEX(Calcule!$R$6:$R$40,K252))</f>
        <v>900</v>
      </c>
      <c r="G252" s="12">
        <f>IF(K252="","",INDEX(Calcule!$Y$6:$Y$40,K252))</f>
        <v>1160</v>
      </c>
      <c r="H252" s="12">
        <f>IF(K252="","",INDEX(Calcule!$AE$6:$AE$40,K252))</f>
        <v>1040</v>
      </c>
      <c r="I252" s="12">
        <f>IF(K252="","",INDEX(Calcule!$AI$6:$AI$40,K252))</f>
        <v>1000</v>
      </c>
      <c r="J252" s="12">
        <f>IF(K252="","",INDEX(Calcule!$U$6:$U$40,K252))</f>
        <v>653.79665379665369</v>
      </c>
      <c r="K252" s="72">
        <f>IFERROR(IF(A252&lt;=INDEX(Perioade!$D$6:$D$40,MATCH(A252,Perioade!$C$6:$C$40,1)),MATCH(A252,Perioade!$C$6:$C$40,1),""),"")</f>
        <v>7</v>
      </c>
    </row>
    <row r="253" spans="1:11" x14ac:dyDescent="0.2">
      <c r="A253" s="61">
        <f t="shared" si="6"/>
        <v>46568</v>
      </c>
      <c r="B253" s="71" t="str">
        <f t="shared" si="7"/>
        <v>Mi</v>
      </c>
      <c r="C253" t="str">
        <f>IF(K253="","⚠ fără perioadă",INDEX(Perioade!$A$6:$A$40,K253))</f>
        <v>primavara-2027</v>
      </c>
      <c r="D253" s="71">
        <f>IF(K253="","",INDEX(Calcule!$C$6:$C$40,K253))</f>
        <v>2</v>
      </c>
      <c r="E253" s="71" t="str">
        <f>IF(K253="","",INDEX(Calcule!$B$6:$B$40,K253))</f>
        <v>Standard</v>
      </c>
      <c r="F253" s="12">
        <f>IF(K253="","",INDEX(Calcule!$R$6:$R$40,K253))</f>
        <v>900</v>
      </c>
      <c r="G253" s="12">
        <f>IF(K253="","",INDEX(Calcule!$Y$6:$Y$40,K253))</f>
        <v>1160</v>
      </c>
      <c r="H253" s="12">
        <f>IF(K253="","",INDEX(Calcule!$AE$6:$AE$40,K253))</f>
        <v>1040</v>
      </c>
      <c r="I253" s="12">
        <f>IF(K253="","",INDEX(Calcule!$AI$6:$AI$40,K253))</f>
        <v>1000</v>
      </c>
      <c r="J253" s="12">
        <f>IF(K253="","",INDEX(Calcule!$U$6:$U$40,K253))</f>
        <v>653.79665379665369</v>
      </c>
      <c r="K253" s="72">
        <f>IFERROR(IF(A253&lt;=INDEX(Perioade!$D$6:$D$40,MATCH(A253,Perioade!$C$6:$C$40,1)),MATCH(A253,Perioade!$C$6:$C$40,1),""),"")</f>
        <v>7</v>
      </c>
    </row>
    <row r="254" spans="1:11" x14ac:dyDescent="0.2">
      <c r="A254" s="61">
        <f t="shared" si="6"/>
        <v>46569</v>
      </c>
      <c r="B254" s="71" t="str">
        <f t="shared" si="7"/>
        <v>Jo</v>
      </c>
      <c r="C254" t="str">
        <f>IF(K254="","⚠ fără perioadă",INDEX(Perioade!$A$6:$A$40,K254))</f>
        <v>⚠ fără perioadă</v>
      </c>
      <c r="D254" s="71" t="str">
        <f>IF(K254="","",INDEX(Calcule!$C$6:$C$40,K254))</f>
        <v/>
      </c>
      <c r="E254" s="71" t="str">
        <f>IF(K254="","",INDEX(Calcule!$B$6:$B$40,K254))</f>
        <v/>
      </c>
      <c r="F254" s="12" t="str">
        <f>IF(K254="","",INDEX(Calcule!$R$6:$R$40,K254))</f>
        <v/>
      </c>
      <c r="G254" s="12" t="str">
        <f>IF(K254="","",INDEX(Calcule!$Y$6:$Y$40,K254))</f>
        <v/>
      </c>
      <c r="H254" s="12" t="str">
        <f>IF(K254="","",INDEX(Calcule!$AE$6:$AE$40,K254))</f>
        <v/>
      </c>
      <c r="I254" s="12" t="str">
        <f>IF(K254="","",INDEX(Calcule!$AI$6:$AI$40,K254))</f>
        <v/>
      </c>
      <c r="J254" s="12" t="str">
        <f>IF(K254="","",INDEX(Calcule!$U$6:$U$40,K254))</f>
        <v/>
      </c>
      <c r="K254" s="72" t="str">
        <f>IFERROR(IF(A254&lt;=INDEX(Perioade!$D$6:$D$40,MATCH(A254,Perioade!$C$6:$C$40,1)),MATCH(A254,Perioade!$C$6:$C$40,1),""),"")</f>
        <v/>
      </c>
    </row>
    <row r="255" spans="1:11" x14ac:dyDescent="0.2">
      <c r="A255" s="61">
        <f t="shared" si="6"/>
        <v>46570</v>
      </c>
      <c r="B255" s="71" t="str">
        <f t="shared" si="7"/>
        <v>Vi</v>
      </c>
      <c r="C255" t="str">
        <f>IF(K255="","⚠ fără perioadă",INDEX(Perioade!$A$6:$A$40,K255))</f>
        <v>⚠ fără perioadă</v>
      </c>
      <c r="D255" s="71" t="str">
        <f>IF(K255="","",INDEX(Calcule!$C$6:$C$40,K255))</f>
        <v/>
      </c>
      <c r="E255" s="71" t="str">
        <f>IF(K255="","",INDEX(Calcule!$B$6:$B$40,K255))</f>
        <v/>
      </c>
      <c r="F255" s="12" t="str">
        <f>IF(K255="","",INDEX(Calcule!$R$6:$R$40,K255))</f>
        <v/>
      </c>
      <c r="G255" s="12" t="str">
        <f>IF(K255="","",INDEX(Calcule!$Y$6:$Y$40,K255))</f>
        <v/>
      </c>
      <c r="H255" s="12" t="str">
        <f>IF(K255="","",INDEX(Calcule!$AE$6:$AE$40,K255))</f>
        <v/>
      </c>
      <c r="I255" s="12" t="str">
        <f>IF(K255="","",INDEX(Calcule!$AI$6:$AI$40,K255))</f>
        <v/>
      </c>
      <c r="J255" s="12" t="str">
        <f>IF(K255="","",INDEX(Calcule!$U$6:$U$40,K255))</f>
        <v/>
      </c>
      <c r="K255" s="72" t="str">
        <f>IFERROR(IF(A255&lt;=INDEX(Perioade!$D$6:$D$40,MATCH(A255,Perioade!$C$6:$C$40,1)),MATCH(A255,Perioade!$C$6:$C$40,1),""),"")</f>
        <v/>
      </c>
    </row>
    <row r="256" spans="1:11" x14ac:dyDescent="0.2">
      <c r="A256" s="61">
        <f t="shared" si="6"/>
        <v>46571</v>
      </c>
      <c r="B256" s="71" t="str">
        <f t="shared" si="7"/>
        <v>Sâ</v>
      </c>
      <c r="C256" t="str">
        <f>IF(K256="","⚠ fără perioadă",INDEX(Perioade!$A$6:$A$40,K256))</f>
        <v>⚠ fără perioadă</v>
      </c>
      <c r="D256" s="71" t="str">
        <f>IF(K256="","",INDEX(Calcule!$C$6:$C$40,K256))</f>
        <v/>
      </c>
      <c r="E256" s="71" t="str">
        <f>IF(K256="","",INDEX(Calcule!$B$6:$B$40,K256))</f>
        <v/>
      </c>
      <c r="F256" s="12" t="str">
        <f>IF(K256="","",INDEX(Calcule!$R$6:$R$40,K256))</f>
        <v/>
      </c>
      <c r="G256" s="12" t="str">
        <f>IF(K256="","",INDEX(Calcule!$Y$6:$Y$40,K256))</f>
        <v/>
      </c>
      <c r="H256" s="12" t="str">
        <f>IF(K256="","",INDEX(Calcule!$AE$6:$AE$40,K256))</f>
        <v/>
      </c>
      <c r="I256" s="12" t="str">
        <f>IF(K256="","",INDEX(Calcule!$AI$6:$AI$40,K256))</f>
        <v/>
      </c>
      <c r="J256" s="12" t="str">
        <f>IF(K256="","",INDEX(Calcule!$U$6:$U$40,K256))</f>
        <v/>
      </c>
      <c r="K256" s="72" t="str">
        <f>IFERROR(IF(A256&lt;=INDEX(Perioade!$D$6:$D$40,MATCH(A256,Perioade!$C$6:$C$40,1)),MATCH(A256,Perioade!$C$6:$C$40,1),""),"")</f>
        <v/>
      </c>
    </row>
    <row r="257" spans="1:11" x14ac:dyDescent="0.2">
      <c r="A257" s="61">
        <f t="shared" si="6"/>
        <v>46572</v>
      </c>
      <c r="B257" s="71" t="str">
        <f t="shared" si="7"/>
        <v>Du</v>
      </c>
      <c r="C257" t="str">
        <f>IF(K257="","⚠ fără perioadă",INDEX(Perioade!$A$6:$A$40,K257))</f>
        <v>⚠ fără perioadă</v>
      </c>
      <c r="D257" s="71" t="str">
        <f>IF(K257="","",INDEX(Calcule!$C$6:$C$40,K257))</f>
        <v/>
      </c>
      <c r="E257" s="71" t="str">
        <f>IF(K257="","",INDEX(Calcule!$B$6:$B$40,K257))</f>
        <v/>
      </c>
      <c r="F257" s="12" t="str">
        <f>IF(K257="","",INDEX(Calcule!$R$6:$R$40,K257))</f>
        <v/>
      </c>
      <c r="G257" s="12" t="str">
        <f>IF(K257="","",INDEX(Calcule!$Y$6:$Y$40,K257))</f>
        <v/>
      </c>
      <c r="H257" s="12" t="str">
        <f>IF(K257="","",INDEX(Calcule!$AE$6:$AE$40,K257))</f>
        <v/>
      </c>
      <c r="I257" s="12" t="str">
        <f>IF(K257="","",INDEX(Calcule!$AI$6:$AI$40,K257))</f>
        <v/>
      </c>
      <c r="J257" s="12" t="str">
        <f>IF(K257="","",INDEX(Calcule!$U$6:$U$40,K257))</f>
        <v/>
      </c>
      <c r="K257" s="72" t="str">
        <f>IFERROR(IF(A257&lt;=INDEX(Perioade!$D$6:$D$40,MATCH(A257,Perioade!$C$6:$C$40,1)),MATCH(A257,Perioade!$C$6:$C$40,1),""),"")</f>
        <v/>
      </c>
    </row>
    <row r="258" spans="1:11" x14ac:dyDescent="0.2">
      <c r="A258" s="61">
        <f t="shared" si="6"/>
        <v>46573</v>
      </c>
      <c r="B258" s="71" t="str">
        <f t="shared" si="7"/>
        <v>Lu</v>
      </c>
      <c r="C258" t="str">
        <f>IF(K258="","⚠ fără perioadă",INDEX(Perioade!$A$6:$A$40,K258))</f>
        <v>⚠ fără perioadă</v>
      </c>
      <c r="D258" s="71" t="str">
        <f>IF(K258="","",INDEX(Calcule!$C$6:$C$40,K258))</f>
        <v/>
      </c>
      <c r="E258" s="71" t="str">
        <f>IF(K258="","",INDEX(Calcule!$B$6:$B$40,K258))</f>
        <v/>
      </c>
      <c r="F258" s="12" t="str">
        <f>IF(K258="","",INDEX(Calcule!$R$6:$R$40,K258))</f>
        <v/>
      </c>
      <c r="G258" s="12" t="str">
        <f>IF(K258="","",INDEX(Calcule!$Y$6:$Y$40,K258))</f>
        <v/>
      </c>
      <c r="H258" s="12" t="str">
        <f>IF(K258="","",INDEX(Calcule!$AE$6:$AE$40,K258))</f>
        <v/>
      </c>
      <c r="I258" s="12" t="str">
        <f>IF(K258="","",INDEX(Calcule!$AI$6:$AI$40,K258))</f>
        <v/>
      </c>
      <c r="J258" s="12" t="str">
        <f>IF(K258="","",INDEX(Calcule!$U$6:$U$40,K258))</f>
        <v/>
      </c>
      <c r="K258" s="72" t="str">
        <f>IFERROR(IF(A258&lt;=INDEX(Perioade!$D$6:$D$40,MATCH(A258,Perioade!$C$6:$C$40,1)),MATCH(A258,Perioade!$C$6:$C$40,1),""),"")</f>
        <v/>
      </c>
    </row>
    <row r="259" spans="1:11" x14ac:dyDescent="0.2">
      <c r="A259" s="61">
        <f t="shared" si="6"/>
        <v>46574</v>
      </c>
      <c r="B259" s="71" t="str">
        <f t="shared" si="7"/>
        <v>Ma</v>
      </c>
      <c r="C259" t="str">
        <f>IF(K259="","⚠ fără perioadă",INDEX(Perioade!$A$6:$A$40,K259))</f>
        <v>⚠ fără perioadă</v>
      </c>
      <c r="D259" s="71" t="str">
        <f>IF(K259="","",INDEX(Calcule!$C$6:$C$40,K259))</f>
        <v/>
      </c>
      <c r="E259" s="71" t="str">
        <f>IF(K259="","",INDEX(Calcule!$B$6:$B$40,K259))</f>
        <v/>
      </c>
      <c r="F259" s="12" t="str">
        <f>IF(K259="","",INDEX(Calcule!$R$6:$R$40,K259))</f>
        <v/>
      </c>
      <c r="G259" s="12" t="str">
        <f>IF(K259="","",INDEX(Calcule!$Y$6:$Y$40,K259))</f>
        <v/>
      </c>
      <c r="H259" s="12" t="str">
        <f>IF(K259="","",INDEX(Calcule!$AE$6:$AE$40,K259))</f>
        <v/>
      </c>
      <c r="I259" s="12" t="str">
        <f>IF(K259="","",INDEX(Calcule!$AI$6:$AI$40,K259))</f>
        <v/>
      </c>
      <c r="J259" s="12" t="str">
        <f>IF(K259="","",INDEX(Calcule!$U$6:$U$40,K259))</f>
        <v/>
      </c>
      <c r="K259" s="72" t="str">
        <f>IFERROR(IF(A259&lt;=INDEX(Perioade!$D$6:$D$40,MATCH(A259,Perioade!$C$6:$C$40,1)),MATCH(A259,Perioade!$C$6:$C$40,1),""),"")</f>
        <v/>
      </c>
    </row>
    <row r="260" spans="1:11" x14ac:dyDescent="0.2">
      <c r="A260" s="61">
        <f t="shared" si="6"/>
        <v>46575</v>
      </c>
      <c r="B260" s="71" t="str">
        <f t="shared" si="7"/>
        <v>Mi</v>
      </c>
      <c r="C260" t="str">
        <f>IF(K260="","⚠ fără perioadă",INDEX(Perioade!$A$6:$A$40,K260))</f>
        <v>⚠ fără perioadă</v>
      </c>
      <c r="D260" s="71" t="str">
        <f>IF(K260="","",INDEX(Calcule!$C$6:$C$40,K260))</f>
        <v/>
      </c>
      <c r="E260" s="71" t="str">
        <f>IF(K260="","",INDEX(Calcule!$B$6:$B$40,K260))</f>
        <v/>
      </c>
      <c r="F260" s="12" t="str">
        <f>IF(K260="","",INDEX(Calcule!$R$6:$R$40,K260))</f>
        <v/>
      </c>
      <c r="G260" s="12" t="str">
        <f>IF(K260="","",INDEX(Calcule!$Y$6:$Y$40,K260))</f>
        <v/>
      </c>
      <c r="H260" s="12" t="str">
        <f>IF(K260="","",INDEX(Calcule!$AE$6:$AE$40,K260))</f>
        <v/>
      </c>
      <c r="I260" s="12" t="str">
        <f>IF(K260="","",INDEX(Calcule!$AI$6:$AI$40,K260))</f>
        <v/>
      </c>
      <c r="J260" s="12" t="str">
        <f>IF(K260="","",INDEX(Calcule!$U$6:$U$40,K260))</f>
        <v/>
      </c>
      <c r="K260" s="72" t="str">
        <f>IFERROR(IF(A260&lt;=INDEX(Perioade!$D$6:$D$40,MATCH(A260,Perioade!$C$6:$C$40,1)),MATCH(A260,Perioade!$C$6:$C$40,1),""),"")</f>
        <v/>
      </c>
    </row>
    <row r="261" spans="1:11" x14ac:dyDescent="0.2">
      <c r="A261" s="61">
        <f t="shared" ref="A261:A324" si="8">$B$2+ROW()-5</f>
        <v>46576</v>
      </c>
      <c r="B261" s="71" t="str">
        <f t="shared" ref="B261:B324" si="9">CHOOSE(WEEKDAY(A261,2),"Lu","Ma","Mi","Jo","Vi","Sâ","Du")</f>
        <v>Jo</v>
      </c>
      <c r="C261" t="str">
        <f>IF(K261="","⚠ fără perioadă",INDEX(Perioade!$A$6:$A$40,K261))</f>
        <v>⚠ fără perioadă</v>
      </c>
      <c r="D261" s="71" t="str">
        <f>IF(K261="","",INDEX(Calcule!$C$6:$C$40,K261))</f>
        <v/>
      </c>
      <c r="E261" s="71" t="str">
        <f>IF(K261="","",INDEX(Calcule!$B$6:$B$40,K261))</f>
        <v/>
      </c>
      <c r="F261" s="12" t="str">
        <f>IF(K261="","",INDEX(Calcule!$R$6:$R$40,K261))</f>
        <v/>
      </c>
      <c r="G261" s="12" t="str">
        <f>IF(K261="","",INDEX(Calcule!$Y$6:$Y$40,K261))</f>
        <v/>
      </c>
      <c r="H261" s="12" t="str">
        <f>IF(K261="","",INDEX(Calcule!$AE$6:$AE$40,K261))</f>
        <v/>
      </c>
      <c r="I261" s="12" t="str">
        <f>IF(K261="","",INDEX(Calcule!$AI$6:$AI$40,K261))</f>
        <v/>
      </c>
      <c r="J261" s="12" t="str">
        <f>IF(K261="","",INDEX(Calcule!$U$6:$U$40,K261))</f>
        <v/>
      </c>
      <c r="K261" s="72" t="str">
        <f>IFERROR(IF(A261&lt;=INDEX(Perioade!$D$6:$D$40,MATCH(A261,Perioade!$C$6:$C$40,1)),MATCH(A261,Perioade!$C$6:$C$40,1),""),"")</f>
        <v/>
      </c>
    </row>
    <row r="262" spans="1:11" x14ac:dyDescent="0.2">
      <c r="A262" s="61">
        <f t="shared" si="8"/>
        <v>46577</v>
      </c>
      <c r="B262" s="71" t="str">
        <f t="shared" si="9"/>
        <v>Vi</v>
      </c>
      <c r="C262" t="str">
        <f>IF(K262="","⚠ fără perioadă",INDEX(Perioade!$A$6:$A$40,K262))</f>
        <v>⚠ fără perioadă</v>
      </c>
      <c r="D262" s="71" t="str">
        <f>IF(K262="","",INDEX(Calcule!$C$6:$C$40,K262))</f>
        <v/>
      </c>
      <c r="E262" s="71" t="str">
        <f>IF(K262="","",INDEX(Calcule!$B$6:$B$40,K262))</f>
        <v/>
      </c>
      <c r="F262" s="12" t="str">
        <f>IF(K262="","",INDEX(Calcule!$R$6:$R$40,K262))</f>
        <v/>
      </c>
      <c r="G262" s="12" t="str">
        <f>IF(K262="","",INDEX(Calcule!$Y$6:$Y$40,K262))</f>
        <v/>
      </c>
      <c r="H262" s="12" t="str">
        <f>IF(K262="","",INDEX(Calcule!$AE$6:$AE$40,K262))</f>
        <v/>
      </c>
      <c r="I262" s="12" t="str">
        <f>IF(K262="","",INDEX(Calcule!$AI$6:$AI$40,K262))</f>
        <v/>
      </c>
      <c r="J262" s="12" t="str">
        <f>IF(K262="","",INDEX(Calcule!$U$6:$U$40,K262))</f>
        <v/>
      </c>
      <c r="K262" s="72" t="str">
        <f>IFERROR(IF(A262&lt;=INDEX(Perioade!$D$6:$D$40,MATCH(A262,Perioade!$C$6:$C$40,1)),MATCH(A262,Perioade!$C$6:$C$40,1),""),"")</f>
        <v/>
      </c>
    </row>
    <row r="263" spans="1:11" x14ac:dyDescent="0.2">
      <c r="A263" s="61">
        <f t="shared" si="8"/>
        <v>46578</v>
      </c>
      <c r="B263" s="71" t="str">
        <f t="shared" si="9"/>
        <v>Sâ</v>
      </c>
      <c r="C263" t="str">
        <f>IF(K263="","⚠ fără perioadă",INDEX(Perioade!$A$6:$A$40,K263))</f>
        <v>⚠ fără perioadă</v>
      </c>
      <c r="D263" s="71" t="str">
        <f>IF(K263="","",INDEX(Calcule!$C$6:$C$40,K263))</f>
        <v/>
      </c>
      <c r="E263" s="71" t="str">
        <f>IF(K263="","",INDEX(Calcule!$B$6:$B$40,K263))</f>
        <v/>
      </c>
      <c r="F263" s="12" t="str">
        <f>IF(K263="","",INDEX(Calcule!$R$6:$R$40,K263))</f>
        <v/>
      </c>
      <c r="G263" s="12" t="str">
        <f>IF(K263="","",INDEX(Calcule!$Y$6:$Y$40,K263))</f>
        <v/>
      </c>
      <c r="H263" s="12" t="str">
        <f>IF(K263="","",INDEX(Calcule!$AE$6:$AE$40,K263))</f>
        <v/>
      </c>
      <c r="I263" s="12" t="str">
        <f>IF(K263="","",INDEX(Calcule!$AI$6:$AI$40,K263))</f>
        <v/>
      </c>
      <c r="J263" s="12" t="str">
        <f>IF(K263="","",INDEX(Calcule!$U$6:$U$40,K263))</f>
        <v/>
      </c>
      <c r="K263" s="72" t="str">
        <f>IFERROR(IF(A263&lt;=INDEX(Perioade!$D$6:$D$40,MATCH(A263,Perioade!$C$6:$C$40,1)),MATCH(A263,Perioade!$C$6:$C$40,1),""),"")</f>
        <v/>
      </c>
    </row>
    <row r="264" spans="1:11" x14ac:dyDescent="0.2">
      <c r="A264" s="61">
        <f t="shared" si="8"/>
        <v>46579</v>
      </c>
      <c r="B264" s="71" t="str">
        <f t="shared" si="9"/>
        <v>Du</v>
      </c>
      <c r="C264" t="str">
        <f>IF(K264="","⚠ fără perioadă",INDEX(Perioade!$A$6:$A$40,K264))</f>
        <v>⚠ fără perioadă</v>
      </c>
      <c r="D264" s="71" t="str">
        <f>IF(K264="","",INDEX(Calcule!$C$6:$C$40,K264))</f>
        <v/>
      </c>
      <c r="E264" s="71" t="str">
        <f>IF(K264="","",INDEX(Calcule!$B$6:$B$40,K264))</f>
        <v/>
      </c>
      <c r="F264" s="12" t="str">
        <f>IF(K264="","",INDEX(Calcule!$R$6:$R$40,K264))</f>
        <v/>
      </c>
      <c r="G264" s="12" t="str">
        <f>IF(K264="","",INDEX(Calcule!$Y$6:$Y$40,K264))</f>
        <v/>
      </c>
      <c r="H264" s="12" t="str">
        <f>IF(K264="","",INDEX(Calcule!$AE$6:$AE$40,K264))</f>
        <v/>
      </c>
      <c r="I264" s="12" t="str">
        <f>IF(K264="","",INDEX(Calcule!$AI$6:$AI$40,K264))</f>
        <v/>
      </c>
      <c r="J264" s="12" t="str">
        <f>IF(K264="","",INDEX(Calcule!$U$6:$U$40,K264))</f>
        <v/>
      </c>
      <c r="K264" s="72" t="str">
        <f>IFERROR(IF(A264&lt;=INDEX(Perioade!$D$6:$D$40,MATCH(A264,Perioade!$C$6:$C$40,1)),MATCH(A264,Perioade!$C$6:$C$40,1),""),"")</f>
        <v/>
      </c>
    </row>
    <row r="265" spans="1:11" x14ac:dyDescent="0.2">
      <c r="A265" s="61">
        <f t="shared" si="8"/>
        <v>46580</v>
      </c>
      <c r="B265" s="71" t="str">
        <f t="shared" si="9"/>
        <v>Lu</v>
      </c>
      <c r="C265" t="str">
        <f>IF(K265="","⚠ fără perioadă",INDEX(Perioade!$A$6:$A$40,K265))</f>
        <v>⚠ fără perioadă</v>
      </c>
      <c r="D265" s="71" t="str">
        <f>IF(K265="","",INDEX(Calcule!$C$6:$C$40,K265))</f>
        <v/>
      </c>
      <c r="E265" s="71" t="str">
        <f>IF(K265="","",INDEX(Calcule!$B$6:$B$40,K265))</f>
        <v/>
      </c>
      <c r="F265" s="12" t="str">
        <f>IF(K265="","",INDEX(Calcule!$R$6:$R$40,K265))</f>
        <v/>
      </c>
      <c r="G265" s="12" t="str">
        <f>IF(K265="","",INDEX(Calcule!$Y$6:$Y$40,K265))</f>
        <v/>
      </c>
      <c r="H265" s="12" t="str">
        <f>IF(K265="","",INDEX(Calcule!$AE$6:$AE$40,K265))</f>
        <v/>
      </c>
      <c r="I265" s="12" t="str">
        <f>IF(K265="","",INDEX(Calcule!$AI$6:$AI$40,K265))</f>
        <v/>
      </c>
      <c r="J265" s="12" t="str">
        <f>IF(K265="","",INDEX(Calcule!$U$6:$U$40,K265))</f>
        <v/>
      </c>
      <c r="K265" s="72" t="str">
        <f>IFERROR(IF(A265&lt;=INDEX(Perioade!$D$6:$D$40,MATCH(A265,Perioade!$C$6:$C$40,1)),MATCH(A265,Perioade!$C$6:$C$40,1),""),"")</f>
        <v/>
      </c>
    </row>
    <row r="266" spans="1:11" x14ac:dyDescent="0.2">
      <c r="A266" s="61">
        <f t="shared" si="8"/>
        <v>46581</v>
      </c>
      <c r="B266" s="71" t="str">
        <f t="shared" si="9"/>
        <v>Ma</v>
      </c>
      <c r="C266" t="str">
        <f>IF(K266="","⚠ fără perioadă",INDEX(Perioade!$A$6:$A$40,K266))</f>
        <v>⚠ fără perioadă</v>
      </c>
      <c r="D266" s="71" t="str">
        <f>IF(K266="","",INDEX(Calcule!$C$6:$C$40,K266))</f>
        <v/>
      </c>
      <c r="E266" s="71" t="str">
        <f>IF(K266="","",INDEX(Calcule!$B$6:$B$40,K266))</f>
        <v/>
      </c>
      <c r="F266" s="12" t="str">
        <f>IF(K266="","",INDEX(Calcule!$R$6:$R$40,K266))</f>
        <v/>
      </c>
      <c r="G266" s="12" t="str">
        <f>IF(K266="","",INDEX(Calcule!$Y$6:$Y$40,K266))</f>
        <v/>
      </c>
      <c r="H266" s="12" t="str">
        <f>IF(K266="","",INDEX(Calcule!$AE$6:$AE$40,K266))</f>
        <v/>
      </c>
      <c r="I266" s="12" t="str">
        <f>IF(K266="","",INDEX(Calcule!$AI$6:$AI$40,K266))</f>
        <v/>
      </c>
      <c r="J266" s="12" t="str">
        <f>IF(K266="","",INDEX(Calcule!$U$6:$U$40,K266))</f>
        <v/>
      </c>
      <c r="K266" s="72" t="str">
        <f>IFERROR(IF(A266&lt;=INDEX(Perioade!$D$6:$D$40,MATCH(A266,Perioade!$C$6:$C$40,1)),MATCH(A266,Perioade!$C$6:$C$40,1),""),"")</f>
        <v/>
      </c>
    </row>
    <row r="267" spans="1:11" x14ac:dyDescent="0.2">
      <c r="A267" s="61">
        <f t="shared" si="8"/>
        <v>46582</v>
      </c>
      <c r="B267" s="71" t="str">
        <f t="shared" si="9"/>
        <v>Mi</v>
      </c>
      <c r="C267" t="str">
        <f>IF(K267="","⚠ fără perioadă",INDEX(Perioade!$A$6:$A$40,K267))</f>
        <v>⚠ fără perioadă</v>
      </c>
      <c r="D267" s="71" t="str">
        <f>IF(K267="","",INDEX(Calcule!$C$6:$C$40,K267))</f>
        <v/>
      </c>
      <c r="E267" s="71" t="str">
        <f>IF(K267="","",INDEX(Calcule!$B$6:$B$40,K267))</f>
        <v/>
      </c>
      <c r="F267" s="12" t="str">
        <f>IF(K267="","",INDEX(Calcule!$R$6:$R$40,K267))</f>
        <v/>
      </c>
      <c r="G267" s="12" t="str">
        <f>IF(K267="","",INDEX(Calcule!$Y$6:$Y$40,K267))</f>
        <v/>
      </c>
      <c r="H267" s="12" t="str">
        <f>IF(K267="","",INDEX(Calcule!$AE$6:$AE$40,K267))</f>
        <v/>
      </c>
      <c r="I267" s="12" t="str">
        <f>IF(K267="","",INDEX(Calcule!$AI$6:$AI$40,K267))</f>
        <v/>
      </c>
      <c r="J267" s="12" t="str">
        <f>IF(K267="","",INDEX(Calcule!$U$6:$U$40,K267))</f>
        <v/>
      </c>
      <c r="K267" s="72" t="str">
        <f>IFERROR(IF(A267&lt;=INDEX(Perioade!$D$6:$D$40,MATCH(A267,Perioade!$C$6:$C$40,1)),MATCH(A267,Perioade!$C$6:$C$40,1),""),"")</f>
        <v/>
      </c>
    </row>
    <row r="268" spans="1:11" x14ac:dyDescent="0.2">
      <c r="A268" s="61">
        <f t="shared" si="8"/>
        <v>46583</v>
      </c>
      <c r="B268" s="71" t="str">
        <f t="shared" si="9"/>
        <v>Jo</v>
      </c>
      <c r="C268" t="str">
        <f>IF(K268="","⚠ fără perioadă",INDEX(Perioade!$A$6:$A$40,K268))</f>
        <v>⚠ fără perioadă</v>
      </c>
      <c r="D268" s="71" t="str">
        <f>IF(K268="","",INDEX(Calcule!$C$6:$C$40,K268))</f>
        <v/>
      </c>
      <c r="E268" s="71" t="str">
        <f>IF(K268="","",INDEX(Calcule!$B$6:$B$40,K268))</f>
        <v/>
      </c>
      <c r="F268" s="12" t="str">
        <f>IF(K268="","",INDEX(Calcule!$R$6:$R$40,K268))</f>
        <v/>
      </c>
      <c r="G268" s="12" t="str">
        <f>IF(K268="","",INDEX(Calcule!$Y$6:$Y$40,K268))</f>
        <v/>
      </c>
      <c r="H268" s="12" t="str">
        <f>IF(K268="","",INDEX(Calcule!$AE$6:$AE$40,K268))</f>
        <v/>
      </c>
      <c r="I268" s="12" t="str">
        <f>IF(K268="","",INDEX(Calcule!$AI$6:$AI$40,K268))</f>
        <v/>
      </c>
      <c r="J268" s="12" t="str">
        <f>IF(K268="","",INDEX(Calcule!$U$6:$U$40,K268))</f>
        <v/>
      </c>
      <c r="K268" s="72" t="str">
        <f>IFERROR(IF(A268&lt;=INDEX(Perioade!$D$6:$D$40,MATCH(A268,Perioade!$C$6:$C$40,1)),MATCH(A268,Perioade!$C$6:$C$40,1),""),"")</f>
        <v/>
      </c>
    </row>
    <row r="269" spans="1:11" x14ac:dyDescent="0.2">
      <c r="A269" s="61">
        <f t="shared" si="8"/>
        <v>46584</v>
      </c>
      <c r="B269" s="71" t="str">
        <f t="shared" si="9"/>
        <v>Vi</v>
      </c>
      <c r="C269" t="str">
        <f>IF(K269="","⚠ fără perioadă",INDEX(Perioade!$A$6:$A$40,K269))</f>
        <v>⚠ fără perioadă</v>
      </c>
      <c r="D269" s="71" t="str">
        <f>IF(K269="","",INDEX(Calcule!$C$6:$C$40,K269))</f>
        <v/>
      </c>
      <c r="E269" s="71" t="str">
        <f>IF(K269="","",INDEX(Calcule!$B$6:$B$40,K269))</f>
        <v/>
      </c>
      <c r="F269" s="12" t="str">
        <f>IF(K269="","",INDEX(Calcule!$R$6:$R$40,K269))</f>
        <v/>
      </c>
      <c r="G269" s="12" t="str">
        <f>IF(K269="","",INDEX(Calcule!$Y$6:$Y$40,K269))</f>
        <v/>
      </c>
      <c r="H269" s="12" t="str">
        <f>IF(K269="","",INDEX(Calcule!$AE$6:$AE$40,K269))</f>
        <v/>
      </c>
      <c r="I269" s="12" t="str">
        <f>IF(K269="","",INDEX(Calcule!$AI$6:$AI$40,K269))</f>
        <v/>
      </c>
      <c r="J269" s="12" t="str">
        <f>IF(K269="","",INDEX(Calcule!$U$6:$U$40,K269))</f>
        <v/>
      </c>
      <c r="K269" s="72" t="str">
        <f>IFERROR(IF(A269&lt;=INDEX(Perioade!$D$6:$D$40,MATCH(A269,Perioade!$C$6:$C$40,1)),MATCH(A269,Perioade!$C$6:$C$40,1),""),"")</f>
        <v/>
      </c>
    </row>
    <row r="270" spans="1:11" x14ac:dyDescent="0.2">
      <c r="A270" s="61">
        <f t="shared" si="8"/>
        <v>46585</v>
      </c>
      <c r="B270" s="71" t="str">
        <f t="shared" si="9"/>
        <v>Sâ</v>
      </c>
      <c r="C270" t="str">
        <f>IF(K270="","⚠ fără perioadă",INDEX(Perioade!$A$6:$A$40,K270))</f>
        <v>⚠ fără perioadă</v>
      </c>
      <c r="D270" s="71" t="str">
        <f>IF(K270="","",INDEX(Calcule!$C$6:$C$40,K270))</f>
        <v/>
      </c>
      <c r="E270" s="71" t="str">
        <f>IF(K270="","",INDEX(Calcule!$B$6:$B$40,K270))</f>
        <v/>
      </c>
      <c r="F270" s="12" t="str">
        <f>IF(K270="","",INDEX(Calcule!$R$6:$R$40,K270))</f>
        <v/>
      </c>
      <c r="G270" s="12" t="str">
        <f>IF(K270="","",INDEX(Calcule!$Y$6:$Y$40,K270))</f>
        <v/>
      </c>
      <c r="H270" s="12" t="str">
        <f>IF(K270="","",INDEX(Calcule!$AE$6:$AE$40,K270))</f>
        <v/>
      </c>
      <c r="I270" s="12" t="str">
        <f>IF(K270="","",INDEX(Calcule!$AI$6:$AI$40,K270))</f>
        <v/>
      </c>
      <c r="J270" s="12" t="str">
        <f>IF(K270="","",INDEX(Calcule!$U$6:$U$40,K270))</f>
        <v/>
      </c>
      <c r="K270" s="72" t="str">
        <f>IFERROR(IF(A270&lt;=INDEX(Perioade!$D$6:$D$40,MATCH(A270,Perioade!$C$6:$C$40,1)),MATCH(A270,Perioade!$C$6:$C$40,1),""),"")</f>
        <v/>
      </c>
    </row>
    <row r="271" spans="1:11" x14ac:dyDescent="0.2">
      <c r="A271" s="61">
        <f t="shared" si="8"/>
        <v>46586</v>
      </c>
      <c r="B271" s="71" t="str">
        <f t="shared" si="9"/>
        <v>Du</v>
      </c>
      <c r="C271" t="str">
        <f>IF(K271="","⚠ fără perioadă",INDEX(Perioade!$A$6:$A$40,K271))</f>
        <v>⚠ fără perioadă</v>
      </c>
      <c r="D271" s="71" t="str">
        <f>IF(K271="","",INDEX(Calcule!$C$6:$C$40,K271))</f>
        <v/>
      </c>
      <c r="E271" s="71" t="str">
        <f>IF(K271="","",INDEX(Calcule!$B$6:$B$40,K271))</f>
        <v/>
      </c>
      <c r="F271" s="12" t="str">
        <f>IF(K271="","",INDEX(Calcule!$R$6:$R$40,K271))</f>
        <v/>
      </c>
      <c r="G271" s="12" t="str">
        <f>IF(K271="","",INDEX(Calcule!$Y$6:$Y$40,K271))</f>
        <v/>
      </c>
      <c r="H271" s="12" t="str">
        <f>IF(K271="","",INDEX(Calcule!$AE$6:$AE$40,K271))</f>
        <v/>
      </c>
      <c r="I271" s="12" t="str">
        <f>IF(K271="","",INDEX(Calcule!$AI$6:$AI$40,K271))</f>
        <v/>
      </c>
      <c r="J271" s="12" t="str">
        <f>IF(K271="","",INDEX(Calcule!$U$6:$U$40,K271))</f>
        <v/>
      </c>
      <c r="K271" s="72" t="str">
        <f>IFERROR(IF(A271&lt;=INDEX(Perioade!$D$6:$D$40,MATCH(A271,Perioade!$C$6:$C$40,1)),MATCH(A271,Perioade!$C$6:$C$40,1),""),"")</f>
        <v/>
      </c>
    </row>
    <row r="272" spans="1:11" x14ac:dyDescent="0.2">
      <c r="A272" s="61">
        <f t="shared" si="8"/>
        <v>46587</v>
      </c>
      <c r="B272" s="71" t="str">
        <f t="shared" si="9"/>
        <v>Lu</v>
      </c>
      <c r="C272" t="str">
        <f>IF(K272="","⚠ fără perioadă",INDEX(Perioade!$A$6:$A$40,K272))</f>
        <v>⚠ fără perioadă</v>
      </c>
      <c r="D272" s="71" t="str">
        <f>IF(K272="","",INDEX(Calcule!$C$6:$C$40,K272))</f>
        <v/>
      </c>
      <c r="E272" s="71" t="str">
        <f>IF(K272="","",INDEX(Calcule!$B$6:$B$40,K272))</f>
        <v/>
      </c>
      <c r="F272" s="12" t="str">
        <f>IF(K272="","",INDEX(Calcule!$R$6:$R$40,K272))</f>
        <v/>
      </c>
      <c r="G272" s="12" t="str">
        <f>IF(K272="","",INDEX(Calcule!$Y$6:$Y$40,K272))</f>
        <v/>
      </c>
      <c r="H272" s="12" t="str">
        <f>IF(K272="","",INDEX(Calcule!$AE$6:$AE$40,K272))</f>
        <v/>
      </c>
      <c r="I272" s="12" t="str">
        <f>IF(K272="","",INDEX(Calcule!$AI$6:$AI$40,K272))</f>
        <v/>
      </c>
      <c r="J272" s="12" t="str">
        <f>IF(K272="","",INDEX(Calcule!$U$6:$U$40,K272))</f>
        <v/>
      </c>
      <c r="K272" s="72" t="str">
        <f>IFERROR(IF(A272&lt;=INDEX(Perioade!$D$6:$D$40,MATCH(A272,Perioade!$C$6:$C$40,1)),MATCH(A272,Perioade!$C$6:$C$40,1),""),"")</f>
        <v/>
      </c>
    </row>
    <row r="273" spans="1:11" x14ac:dyDescent="0.2">
      <c r="A273" s="61">
        <f t="shared" si="8"/>
        <v>46588</v>
      </c>
      <c r="B273" s="71" t="str">
        <f t="shared" si="9"/>
        <v>Ma</v>
      </c>
      <c r="C273" t="str">
        <f>IF(K273="","⚠ fără perioadă",INDEX(Perioade!$A$6:$A$40,K273))</f>
        <v>⚠ fără perioadă</v>
      </c>
      <c r="D273" s="71" t="str">
        <f>IF(K273="","",INDEX(Calcule!$C$6:$C$40,K273))</f>
        <v/>
      </c>
      <c r="E273" s="71" t="str">
        <f>IF(K273="","",INDEX(Calcule!$B$6:$B$40,K273))</f>
        <v/>
      </c>
      <c r="F273" s="12" t="str">
        <f>IF(K273="","",INDEX(Calcule!$R$6:$R$40,K273))</f>
        <v/>
      </c>
      <c r="G273" s="12" t="str">
        <f>IF(K273="","",INDEX(Calcule!$Y$6:$Y$40,K273))</f>
        <v/>
      </c>
      <c r="H273" s="12" t="str">
        <f>IF(K273="","",INDEX(Calcule!$AE$6:$AE$40,K273))</f>
        <v/>
      </c>
      <c r="I273" s="12" t="str">
        <f>IF(K273="","",INDEX(Calcule!$AI$6:$AI$40,K273))</f>
        <v/>
      </c>
      <c r="J273" s="12" t="str">
        <f>IF(K273="","",INDEX(Calcule!$U$6:$U$40,K273))</f>
        <v/>
      </c>
      <c r="K273" s="72" t="str">
        <f>IFERROR(IF(A273&lt;=INDEX(Perioade!$D$6:$D$40,MATCH(A273,Perioade!$C$6:$C$40,1)),MATCH(A273,Perioade!$C$6:$C$40,1),""),"")</f>
        <v/>
      </c>
    </row>
    <row r="274" spans="1:11" x14ac:dyDescent="0.2">
      <c r="A274" s="61">
        <f t="shared" si="8"/>
        <v>46589</v>
      </c>
      <c r="B274" s="71" t="str">
        <f t="shared" si="9"/>
        <v>Mi</v>
      </c>
      <c r="C274" t="str">
        <f>IF(K274="","⚠ fără perioadă",INDEX(Perioade!$A$6:$A$40,K274))</f>
        <v>⚠ fără perioadă</v>
      </c>
      <c r="D274" s="71" t="str">
        <f>IF(K274="","",INDEX(Calcule!$C$6:$C$40,K274))</f>
        <v/>
      </c>
      <c r="E274" s="71" t="str">
        <f>IF(K274="","",INDEX(Calcule!$B$6:$B$40,K274))</f>
        <v/>
      </c>
      <c r="F274" s="12" t="str">
        <f>IF(K274="","",INDEX(Calcule!$R$6:$R$40,K274))</f>
        <v/>
      </c>
      <c r="G274" s="12" t="str">
        <f>IF(K274="","",INDEX(Calcule!$Y$6:$Y$40,K274))</f>
        <v/>
      </c>
      <c r="H274" s="12" t="str">
        <f>IF(K274="","",INDEX(Calcule!$AE$6:$AE$40,K274))</f>
        <v/>
      </c>
      <c r="I274" s="12" t="str">
        <f>IF(K274="","",INDEX(Calcule!$AI$6:$AI$40,K274))</f>
        <v/>
      </c>
      <c r="J274" s="12" t="str">
        <f>IF(K274="","",INDEX(Calcule!$U$6:$U$40,K274))</f>
        <v/>
      </c>
      <c r="K274" s="72" t="str">
        <f>IFERROR(IF(A274&lt;=INDEX(Perioade!$D$6:$D$40,MATCH(A274,Perioade!$C$6:$C$40,1)),MATCH(A274,Perioade!$C$6:$C$40,1),""),"")</f>
        <v/>
      </c>
    </row>
    <row r="275" spans="1:11" x14ac:dyDescent="0.2">
      <c r="A275" s="61">
        <f t="shared" si="8"/>
        <v>46590</v>
      </c>
      <c r="B275" s="71" t="str">
        <f t="shared" si="9"/>
        <v>Jo</v>
      </c>
      <c r="C275" t="str">
        <f>IF(K275="","⚠ fără perioadă",INDEX(Perioade!$A$6:$A$40,K275))</f>
        <v>⚠ fără perioadă</v>
      </c>
      <c r="D275" s="71" t="str">
        <f>IF(K275="","",INDEX(Calcule!$C$6:$C$40,K275))</f>
        <v/>
      </c>
      <c r="E275" s="71" t="str">
        <f>IF(K275="","",INDEX(Calcule!$B$6:$B$40,K275))</f>
        <v/>
      </c>
      <c r="F275" s="12" t="str">
        <f>IF(K275="","",INDEX(Calcule!$R$6:$R$40,K275))</f>
        <v/>
      </c>
      <c r="G275" s="12" t="str">
        <f>IF(K275="","",INDEX(Calcule!$Y$6:$Y$40,K275))</f>
        <v/>
      </c>
      <c r="H275" s="12" t="str">
        <f>IF(K275="","",INDEX(Calcule!$AE$6:$AE$40,K275))</f>
        <v/>
      </c>
      <c r="I275" s="12" t="str">
        <f>IF(K275="","",INDEX(Calcule!$AI$6:$AI$40,K275))</f>
        <v/>
      </c>
      <c r="J275" s="12" t="str">
        <f>IF(K275="","",INDEX(Calcule!$U$6:$U$40,K275))</f>
        <v/>
      </c>
      <c r="K275" s="72" t="str">
        <f>IFERROR(IF(A275&lt;=INDEX(Perioade!$D$6:$D$40,MATCH(A275,Perioade!$C$6:$C$40,1)),MATCH(A275,Perioade!$C$6:$C$40,1),""),"")</f>
        <v/>
      </c>
    </row>
    <row r="276" spans="1:11" x14ac:dyDescent="0.2">
      <c r="A276" s="61">
        <f t="shared" si="8"/>
        <v>46591</v>
      </c>
      <c r="B276" s="71" t="str">
        <f t="shared" si="9"/>
        <v>Vi</v>
      </c>
      <c r="C276" t="str">
        <f>IF(K276="","⚠ fără perioadă",INDEX(Perioade!$A$6:$A$40,K276))</f>
        <v>⚠ fără perioadă</v>
      </c>
      <c r="D276" s="71" t="str">
        <f>IF(K276="","",INDEX(Calcule!$C$6:$C$40,K276))</f>
        <v/>
      </c>
      <c r="E276" s="71" t="str">
        <f>IF(K276="","",INDEX(Calcule!$B$6:$B$40,K276))</f>
        <v/>
      </c>
      <c r="F276" s="12" t="str">
        <f>IF(K276="","",INDEX(Calcule!$R$6:$R$40,K276))</f>
        <v/>
      </c>
      <c r="G276" s="12" t="str">
        <f>IF(K276="","",INDEX(Calcule!$Y$6:$Y$40,K276))</f>
        <v/>
      </c>
      <c r="H276" s="12" t="str">
        <f>IF(K276="","",INDEX(Calcule!$AE$6:$AE$40,K276))</f>
        <v/>
      </c>
      <c r="I276" s="12" t="str">
        <f>IF(K276="","",INDEX(Calcule!$AI$6:$AI$40,K276))</f>
        <v/>
      </c>
      <c r="J276" s="12" t="str">
        <f>IF(K276="","",INDEX(Calcule!$U$6:$U$40,K276))</f>
        <v/>
      </c>
      <c r="K276" s="72" t="str">
        <f>IFERROR(IF(A276&lt;=INDEX(Perioade!$D$6:$D$40,MATCH(A276,Perioade!$C$6:$C$40,1)),MATCH(A276,Perioade!$C$6:$C$40,1),""),"")</f>
        <v/>
      </c>
    </row>
    <row r="277" spans="1:11" x14ac:dyDescent="0.2">
      <c r="A277" s="61">
        <f t="shared" si="8"/>
        <v>46592</v>
      </c>
      <c r="B277" s="71" t="str">
        <f t="shared" si="9"/>
        <v>Sâ</v>
      </c>
      <c r="C277" t="str">
        <f>IF(K277="","⚠ fără perioadă",INDEX(Perioade!$A$6:$A$40,K277))</f>
        <v>⚠ fără perioadă</v>
      </c>
      <c r="D277" s="71" t="str">
        <f>IF(K277="","",INDEX(Calcule!$C$6:$C$40,K277))</f>
        <v/>
      </c>
      <c r="E277" s="71" t="str">
        <f>IF(K277="","",INDEX(Calcule!$B$6:$B$40,K277))</f>
        <v/>
      </c>
      <c r="F277" s="12" t="str">
        <f>IF(K277="","",INDEX(Calcule!$R$6:$R$40,K277))</f>
        <v/>
      </c>
      <c r="G277" s="12" t="str">
        <f>IF(K277="","",INDEX(Calcule!$Y$6:$Y$40,K277))</f>
        <v/>
      </c>
      <c r="H277" s="12" t="str">
        <f>IF(K277="","",INDEX(Calcule!$AE$6:$AE$40,K277))</f>
        <v/>
      </c>
      <c r="I277" s="12" t="str">
        <f>IF(K277="","",INDEX(Calcule!$AI$6:$AI$40,K277))</f>
        <v/>
      </c>
      <c r="J277" s="12" t="str">
        <f>IF(K277="","",INDEX(Calcule!$U$6:$U$40,K277))</f>
        <v/>
      </c>
      <c r="K277" s="72" t="str">
        <f>IFERROR(IF(A277&lt;=INDEX(Perioade!$D$6:$D$40,MATCH(A277,Perioade!$C$6:$C$40,1)),MATCH(A277,Perioade!$C$6:$C$40,1),""),"")</f>
        <v/>
      </c>
    </row>
    <row r="278" spans="1:11" x14ac:dyDescent="0.2">
      <c r="A278" s="61">
        <f t="shared" si="8"/>
        <v>46593</v>
      </c>
      <c r="B278" s="71" t="str">
        <f t="shared" si="9"/>
        <v>Du</v>
      </c>
      <c r="C278" t="str">
        <f>IF(K278="","⚠ fără perioadă",INDEX(Perioade!$A$6:$A$40,K278))</f>
        <v>⚠ fără perioadă</v>
      </c>
      <c r="D278" s="71" t="str">
        <f>IF(K278="","",INDEX(Calcule!$C$6:$C$40,K278))</f>
        <v/>
      </c>
      <c r="E278" s="71" t="str">
        <f>IF(K278="","",INDEX(Calcule!$B$6:$B$40,K278))</f>
        <v/>
      </c>
      <c r="F278" s="12" t="str">
        <f>IF(K278="","",INDEX(Calcule!$R$6:$R$40,K278))</f>
        <v/>
      </c>
      <c r="G278" s="12" t="str">
        <f>IF(K278="","",INDEX(Calcule!$Y$6:$Y$40,K278))</f>
        <v/>
      </c>
      <c r="H278" s="12" t="str">
        <f>IF(K278="","",INDEX(Calcule!$AE$6:$AE$40,K278))</f>
        <v/>
      </c>
      <c r="I278" s="12" t="str">
        <f>IF(K278="","",INDEX(Calcule!$AI$6:$AI$40,K278))</f>
        <v/>
      </c>
      <c r="J278" s="12" t="str">
        <f>IF(K278="","",INDEX(Calcule!$U$6:$U$40,K278))</f>
        <v/>
      </c>
      <c r="K278" s="72" t="str">
        <f>IFERROR(IF(A278&lt;=INDEX(Perioade!$D$6:$D$40,MATCH(A278,Perioade!$C$6:$C$40,1)),MATCH(A278,Perioade!$C$6:$C$40,1),""),"")</f>
        <v/>
      </c>
    </row>
    <row r="279" spans="1:11" x14ac:dyDescent="0.2">
      <c r="A279" s="61">
        <f t="shared" si="8"/>
        <v>46594</v>
      </c>
      <c r="B279" s="71" t="str">
        <f t="shared" si="9"/>
        <v>Lu</v>
      </c>
      <c r="C279" t="str">
        <f>IF(K279="","⚠ fără perioadă",INDEX(Perioade!$A$6:$A$40,K279))</f>
        <v>⚠ fără perioadă</v>
      </c>
      <c r="D279" s="71" t="str">
        <f>IF(K279="","",INDEX(Calcule!$C$6:$C$40,K279))</f>
        <v/>
      </c>
      <c r="E279" s="71" t="str">
        <f>IF(K279="","",INDEX(Calcule!$B$6:$B$40,K279))</f>
        <v/>
      </c>
      <c r="F279" s="12" t="str">
        <f>IF(K279="","",INDEX(Calcule!$R$6:$R$40,K279))</f>
        <v/>
      </c>
      <c r="G279" s="12" t="str">
        <f>IF(K279="","",INDEX(Calcule!$Y$6:$Y$40,K279))</f>
        <v/>
      </c>
      <c r="H279" s="12" t="str">
        <f>IF(K279="","",INDEX(Calcule!$AE$6:$AE$40,K279))</f>
        <v/>
      </c>
      <c r="I279" s="12" t="str">
        <f>IF(K279="","",INDEX(Calcule!$AI$6:$AI$40,K279))</f>
        <v/>
      </c>
      <c r="J279" s="12" t="str">
        <f>IF(K279="","",INDEX(Calcule!$U$6:$U$40,K279))</f>
        <v/>
      </c>
      <c r="K279" s="72" t="str">
        <f>IFERROR(IF(A279&lt;=INDEX(Perioade!$D$6:$D$40,MATCH(A279,Perioade!$C$6:$C$40,1)),MATCH(A279,Perioade!$C$6:$C$40,1),""),"")</f>
        <v/>
      </c>
    </row>
    <row r="280" spans="1:11" x14ac:dyDescent="0.2">
      <c r="A280" s="61">
        <f t="shared" si="8"/>
        <v>46595</v>
      </c>
      <c r="B280" s="71" t="str">
        <f t="shared" si="9"/>
        <v>Ma</v>
      </c>
      <c r="C280" t="str">
        <f>IF(K280="","⚠ fără perioadă",INDEX(Perioade!$A$6:$A$40,K280))</f>
        <v>⚠ fără perioadă</v>
      </c>
      <c r="D280" s="71" t="str">
        <f>IF(K280="","",INDEX(Calcule!$C$6:$C$40,K280))</f>
        <v/>
      </c>
      <c r="E280" s="71" t="str">
        <f>IF(K280="","",INDEX(Calcule!$B$6:$B$40,K280))</f>
        <v/>
      </c>
      <c r="F280" s="12" t="str">
        <f>IF(K280="","",INDEX(Calcule!$R$6:$R$40,K280))</f>
        <v/>
      </c>
      <c r="G280" s="12" t="str">
        <f>IF(K280="","",INDEX(Calcule!$Y$6:$Y$40,K280))</f>
        <v/>
      </c>
      <c r="H280" s="12" t="str">
        <f>IF(K280="","",INDEX(Calcule!$AE$6:$AE$40,K280))</f>
        <v/>
      </c>
      <c r="I280" s="12" t="str">
        <f>IF(K280="","",INDEX(Calcule!$AI$6:$AI$40,K280))</f>
        <v/>
      </c>
      <c r="J280" s="12" t="str">
        <f>IF(K280="","",INDEX(Calcule!$U$6:$U$40,K280))</f>
        <v/>
      </c>
      <c r="K280" s="72" t="str">
        <f>IFERROR(IF(A280&lt;=INDEX(Perioade!$D$6:$D$40,MATCH(A280,Perioade!$C$6:$C$40,1)),MATCH(A280,Perioade!$C$6:$C$40,1),""),"")</f>
        <v/>
      </c>
    </row>
    <row r="281" spans="1:11" x14ac:dyDescent="0.2">
      <c r="A281" s="61">
        <f t="shared" si="8"/>
        <v>46596</v>
      </c>
      <c r="B281" s="71" t="str">
        <f t="shared" si="9"/>
        <v>Mi</v>
      </c>
      <c r="C281" t="str">
        <f>IF(K281="","⚠ fără perioadă",INDEX(Perioade!$A$6:$A$40,K281))</f>
        <v>⚠ fără perioadă</v>
      </c>
      <c r="D281" s="71" t="str">
        <f>IF(K281="","",INDEX(Calcule!$C$6:$C$40,K281))</f>
        <v/>
      </c>
      <c r="E281" s="71" t="str">
        <f>IF(K281="","",INDEX(Calcule!$B$6:$B$40,K281))</f>
        <v/>
      </c>
      <c r="F281" s="12" t="str">
        <f>IF(K281="","",INDEX(Calcule!$R$6:$R$40,K281))</f>
        <v/>
      </c>
      <c r="G281" s="12" t="str">
        <f>IF(K281="","",INDEX(Calcule!$Y$6:$Y$40,K281))</f>
        <v/>
      </c>
      <c r="H281" s="12" t="str">
        <f>IF(K281="","",INDEX(Calcule!$AE$6:$AE$40,K281))</f>
        <v/>
      </c>
      <c r="I281" s="12" t="str">
        <f>IF(K281="","",INDEX(Calcule!$AI$6:$AI$40,K281))</f>
        <v/>
      </c>
      <c r="J281" s="12" t="str">
        <f>IF(K281="","",INDEX(Calcule!$U$6:$U$40,K281))</f>
        <v/>
      </c>
      <c r="K281" s="72" t="str">
        <f>IFERROR(IF(A281&lt;=INDEX(Perioade!$D$6:$D$40,MATCH(A281,Perioade!$C$6:$C$40,1)),MATCH(A281,Perioade!$C$6:$C$40,1),""),"")</f>
        <v/>
      </c>
    </row>
    <row r="282" spans="1:11" x14ac:dyDescent="0.2">
      <c r="A282" s="61">
        <f t="shared" si="8"/>
        <v>46597</v>
      </c>
      <c r="B282" s="71" t="str">
        <f t="shared" si="9"/>
        <v>Jo</v>
      </c>
      <c r="C282" t="str">
        <f>IF(K282="","⚠ fără perioadă",INDEX(Perioade!$A$6:$A$40,K282))</f>
        <v>⚠ fără perioadă</v>
      </c>
      <c r="D282" s="71" t="str">
        <f>IF(K282="","",INDEX(Calcule!$C$6:$C$40,K282))</f>
        <v/>
      </c>
      <c r="E282" s="71" t="str">
        <f>IF(K282="","",INDEX(Calcule!$B$6:$B$40,K282))</f>
        <v/>
      </c>
      <c r="F282" s="12" t="str">
        <f>IF(K282="","",INDEX(Calcule!$R$6:$R$40,K282))</f>
        <v/>
      </c>
      <c r="G282" s="12" t="str">
        <f>IF(K282="","",INDEX(Calcule!$Y$6:$Y$40,K282))</f>
        <v/>
      </c>
      <c r="H282" s="12" t="str">
        <f>IF(K282="","",INDEX(Calcule!$AE$6:$AE$40,K282))</f>
        <v/>
      </c>
      <c r="I282" s="12" t="str">
        <f>IF(K282="","",INDEX(Calcule!$AI$6:$AI$40,K282))</f>
        <v/>
      </c>
      <c r="J282" s="12" t="str">
        <f>IF(K282="","",INDEX(Calcule!$U$6:$U$40,K282))</f>
        <v/>
      </c>
      <c r="K282" s="72" t="str">
        <f>IFERROR(IF(A282&lt;=INDEX(Perioade!$D$6:$D$40,MATCH(A282,Perioade!$C$6:$C$40,1)),MATCH(A282,Perioade!$C$6:$C$40,1),""),"")</f>
        <v/>
      </c>
    </row>
    <row r="283" spans="1:11" x14ac:dyDescent="0.2">
      <c r="A283" s="61">
        <f t="shared" si="8"/>
        <v>46598</v>
      </c>
      <c r="B283" s="71" t="str">
        <f t="shared" si="9"/>
        <v>Vi</v>
      </c>
      <c r="C283" t="str">
        <f>IF(K283="","⚠ fără perioadă",INDEX(Perioade!$A$6:$A$40,K283))</f>
        <v>⚠ fără perioadă</v>
      </c>
      <c r="D283" s="71" t="str">
        <f>IF(K283="","",INDEX(Calcule!$C$6:$C$40,K283))</f>
        <v/>
      </c>
      <c r="E283" s="71" t="str">
        <f>IF(K283="","",INDEX(Calcule!$B$6:$B$40,K283))</f>
        <v/>
      </c>
      <c r="F283" s="12" t="str">
        <f>IF(K283="","",INDEX(Calcule!$R$6:$R$40,K283))</f>
        <v/>
      </c>
      <c r="G283" s="12" t="str">
        <f>IF(K283="","",INDEX(Calcule!$Y$6:$Y$40,K283))</f>
        <v/>
      </c>
      <c r="H283" s="12" t="str">
        <f>IF(K283="","",INDEX(Calcule!$AE$6:$AE$40,K283))</f>
        <v/>
      </c>
      <c r="I283" s="12" t="str">
        <f>IF(K283="","",INDEX(Calcule!$AI$6:$AI$40,K283))</f>
        <v/>
      </c>
      <c r="J283" s="12" t="str">
        <f>IF(K283="","",INDEX(Calcule!$U$6:$U$40,K283))</f>
        <v/>
      </c>
      <c r="K283" s="72" t="str">
        <f>IFERROR(IF(A283&lt;=INDEX(Perioade!$D$6:$D$40,MATCH(A283,Perioade!$C$6:$C$40,1)),MATCH(A283,Perioade!$C$6:$C$40,1),""),"")</f>
        <v/>
      </c>
    </row>
    <row r="284" spans="1:11" x14ac:dyDescent="0.2">
      <c r="A284" s="61">
        <f t="shared" si="8"/>
        <v>46599</v>
      </c>
      <c r="B284" s="71" t="str">
        <f t="shared" si="9"/>
        <v>Sâ</v>
      </c>
      <c r="C284" t="str">
        <f>IF(K284="","⚠ fără perioadă",INDEX(Perioade!$A$6:$A$40,K284))</f>
        <v>⚠ fără perioadă</v>
      </c>
      <c r="D284" s="71" t="str">
        <f>IF(K284="","",INDEX(Calcule!$C$6:$C$40,K284))</f>
        <v/>
      </c>
      <c r="E284" s="71" t="str">
        <f>IF(K284="","",INDEX(Calcule!$B$6:$B$40,K284))</f>
        <v/>
      </c>
      <c r="F284" s="12" t="str">
        <f>IF(K284="","",INDEX(Calcule!$R$6:$R$40,K284))</f>
        <v/>
      </c>
      <c r="G284" s="12" t="str">
        <f>IF(K284="","",INDEX(Calcule!$Y$6:$Y$40,K284))</f>
        <v/>
      </c>
      <c r="H284" s="12" t="str">
        <f>IF(K284="","",INDEX(Calcule!$AE$6:$AE$40,K284))</f>
        <v/>
      </c>
      <c r="I284" s="12" t="str">
        <f>IF(K284="","",INDEX(Calcule!$AI$6:$AI$40,K284))</f>
        <v/>
      </c>
      <c r="J284" s="12" t="str">
        <f>IF(K284="","",INDEX(Calcule!$U$6:$U$40,K284))</f>
        <v/>
      </c>
      <c r="K284" s="72" t="str">
        <f>IFERROR(IF(A284&lt;=INDEX(Perioade!$D$6:$D$40,MATCH(A284,Perioade!$C$6:$C$40,1)),MATCH(A284,Perioade!$C$6:$C$40,1),""),"")</f>
        <v/>
      </c>
    </row>
    <row r="285" spans="1:11" x14ac:dyDescent="0.2">
      <c r="A285" s="61">
        <f t="shared" si="8"/>
        <v>46600</v>
      </c>
      <c r="B285" s="71" t="str">
        <f t="shared" si="9"/>
        <v>Du</v>
      </c>
      <c r="C285" t="str">
        <f>IF(K285="","⚠ fără perioadă",INDEX(Perioade!$A$6:$A$40,K285))</f>
        <v>⚠ fără perioadă</v>
      </c>
      <c r="D285" s="71" t="str">
        <f>IF(K285="","",INDEX(Calcule!$C$6:$C$40,K285))</f>
        <v/>
      </c>
      <c r="E285" s="71" t="str">
        <f>IF(K285="","",INDEX(Calcule!$B$6:$B$40,K285))</f>
        <v/>
      </c>
      <c r="F285" s="12" t="str">
        <f>IF(K285="","",INDEX(Calcule!$R$6:$R$40,K285))</f>
        <v/>
      </c>
      <c r="G285" s="12" t="str">
        <f>IF(K285="","",INDEX(Calcule!$Y$6:$Y$40,K285))</f>
        <v/>
      </c>
      <c r="H285" s="12" t="str">
        <f>IF(K285="","",INDEX(Calcule!$AE$6:$AE$40,K285))</f>
        <v/>
      </c>
      <c r="I285" s="12" t="str">
        <f>IF(K285="","",INDEX(Calcule!$AI$6:$AI$40,K285))</f>
        <v/>
      </c>
      <c r="J285" s="12" t="str">
        <f>IF(K285="","",INDEX(Calcule!$U$6:$U$40,K285))</f>
        <v/>
      </c>
      <c r="K285" s="72" t="str">
        <f>IFERROR(IF(A285&lt;=INDEX(Perioade!$D$6:$D$40,MATCH(A285,Perioade!$C$6:$C$40,1)),MATCH(A285,Perioade!$C$6:$C$40,1),""),"")</f>
        <v/>
      </c>
    </row>
    <row r="286" spans="1:11" x14ac:dyDescent="0.2">
      <c r="A286" s="61">
        <f t="shared" si="8"/>
        <v>46601</v>
      </c>
      <c r="B286" s="71" t="str">
        <f t="shared" si="9"/>
        <v>Lu</v>
      </c>
      <c r="C286" t="str">
        <f>IF(K286="","⚠ fără perioadă",INDEX(Perioade!$A$6:$A$40,K286))</f>
        <v>⚠ fără perioadă</v>
      </c>
      <c r="D286" s="71" t="str">
        <f>IF(K286="","",INDEX(Calcule!$C$6:$C$40,K286))</f>
        <v/>
      </c>
      <c r="E286" s="71" t="str">
        <f>IF(K286="","",INDEX(Calcule!$B$6:$B$40,K286))</f>
        <v/>
      </c>
      <c r="F286" s="12" t="str">
        <f>IF(K286="","",INDEX(Calcule!$R$6:$R$40,K286))</f>
        <v/>
      </c>
      <c r="G286" s="12" t="str">
        <f>IF(K286="","",INDEX(Calcule!$Y$6:$Y$40,K286))</f>
        <v/>
      </c>
      <c r="H286" s="12" t="str">
        <f>IF(K286="","",INDEX(Calcule!$AE$6:$AE$40,K286))</f>
        <v/>
      </c>
      <c r="I286" s="12" t="str">
        <f>IF(K286="","",INDEX(Calcule!$AI$6:$AI$40,K286))</f>
        <v/>
      </c>
      <c r="J286" s="12" t="str">
        <f>IF(K286="","",INDEX(Calcule!$U$6:$U$40,K286))</f>
        <v/>
      </c>
      <c r="K286" s="72" t="str">
        <f>IFERROR(IF(A286&lt;=INDEX(Perioade!$D$6:$D$40,MATCH(A286,Perioade!$C$6:$C$40,1)),MATCH(A286,Perioade!$C$6:$C$40,1),""),"")</f>
        <v/>
      </c>
    </row>
    <row r="287" spans="1:11" x14ac:dyDescent="0.2">
      <c r="A287" s="61">
        <f t="shared" si="8"/>
        <v>46602</v>
      </c>
      <c r="B287" s="71" t="str">
        <f t="shared" si="9"/>
        <v>Ma</v>
      </c>
      <c r="C287" t="str">
        <f>IF(K287="","⚠ fără perioadă",INDEX(Perioade!$A$6:$A$40,K287))</f>
        <v>⚠ fără perioadă</v>
      </c>
      <c r="D287" s="71" t="str">
        <f>IF(K287="","",INDEX(Calcule!$C$6:$C$40,K287))</f>
        <v/>
      </c>
      <c r="E287" s="71" t="str">
        <f>IF(K287="","",INDEX(Calcule!$B$6:$B$40,K287))</f>
        <v/>
      </c>
      <c r="F287" s="12" t="str">
        <f>IF(K287="","",INDEX(Calcule!$R$6:$R$40,K287))</f>
        <v/>
      </c>
      <c r="G287" s="12" t="str">
        <f>IF(K287="","",INDEX(Calcule!$Y$6:$Y$40,K287))</f>
        <v/>
      </c>
      <c r="H287" s="12" t="str">
        <f>IF(K287="","",INDEX(Calcule!$AE$6:$AE$40,K287))</f>
        <v/>
      </c>
      <c r="I287" s="12" t="str">
        <f>IF(K287="","",INDEX(Calcule!$AI$6:$AI$40,K287))</f>
        <v/>
      </c>
      <c r="J287" s="12" t="str">
        <f>IF(K287="","",INDEX(Calcule!$U$6:$U$40,K287))</f>
        <v/>
      </c>
      <c r="K287" s="72" t="str">
        <f>IFERROR(IF(A287&lt;=INDEX(Perioade!$D$6:$D$40,MATCH(A287,Perioade!$C$6:$C$40,1)),MATCH(A287,Perioade!$C$6:$C$40,1),""),"")</f>
        <v/>
      </c>
    </row>
    <row r="288" spans="1:11" x14ac:dyDescent="0.2">
      <c r="A288" s="61">
        <f t="shared" si="8"/>
        <v>46603</v>
      </c>
      <c r="B288" s="71" t="str">
        <f t="shared" si="9"/>
        <v>Mi</v>
      </c>
      <c r="C288" t="str">
        <f>IF(K288="","⚠ fără perioadă",INDEX(Perioade!$A$6:$A$40,K288))</f>
        <v>⚠ fără perioadă</v>
      </c>
      <c r="D288" s="71" t="str">
        <f>IF(K288="","",INDEX(Calcule!$C$6:$C$40,K288))</f>
        <v/>
      </c>
      <c r="E288" s="71" t="str">
        <f>IF(K288="","",INDEX(Calcule!$B$6:$B$40,K288))</f>
        <v/>
      </c>
      <c r="F288" s="12" t="str">
        <f>IF(K288="","",INDEX(Calcule!$R$6:$R$40,K288))</f>
        <v/>
      </c>
      <c r="G288" s="12" t="str">
        <f>IF(K288="","",INDEX(Calcule!$Y$6:$Y$40,K288))</f>
        <v/>
      </c>
      <c r="H288" s="12" t="str">
        <f>IF(K288="","",INDEX(Calcule!$AE$6:$AE$40,K288))</f>
        <v/>
      </c>
      <c r="I288" s="12" t="str">
        <f>IF(K288="","",INDEX(Calcule!$AI$6:$AI$40,K288))</f>
        <v/>
      </c>
      <c r="J288" s="12" t="str">
        <f>IF(K288="","",INDEX(Calcule!$U$6:$U$40,K288))</f>
        <v/>
      </c>
      <c r="K288" s="72" t="str">
        <f>IFERROR(IF(A288&lt;=INDEX(Perioade!$D$6:$D$40,MATCH(A288,Perioade!$C$6:$C$40,1)),MATCH(A288,Perioade!$C$6:$C$40,1),""),"")</f>
        <v/>
      </c>
    </row>
    <row r="289" spans="1:11" x14ac:dyDescent="0.2">
      <c r="A289" s="61">
        <f t="shared" si="8"/>
        <v>46604</v>
      </c>
      <c r="B289" s="71" t="str">
        <f t="shared" si="9"/>
        <v>Jo</v>
      </c>
      <c r="C289" t="str">
        <f>IF(K289="","⚠ fără perioadă",INDEX(Perioade!$A$6:$A$40,K289))</f>
        <v>⚠ fără perioadă</v>
      </c>
      <c r="D289" s="71" t="str">
        <f>IF(K289="","",INDEX(Calcule!$C$6:$C$40,K289))</f>
        <v/>
      </c>
      <c r="E289" s="71" t="str">
        <f>IF(K289="","",INDEX(Calcule!$B$6:$B$40,K289))</f>
        <v/>
      </c>
      <c r="F289" s="12" t="str">
        <f>IF(K289="","",INDEX(Calcule!$R$6:$R$40,K289))</f>
        <v/>
      </c>
      <c r="G289" s="12" t="str">
        <f>IF(K289="","",INDEX(Calcule!$Y$6:$Y$40,K289))</f>
        <v/>
      </c>
      <c r="H289" s="12" t="str">
        <f>IF(K289="","",INDEX(Calcule!$AE$6:$AE$40,K289))</f>
        <v/>
      </c>
      <c r="I289" s="12" t="str">
        <f>IF(K289="","",INDEX(Calcule!$AI$6:$AI$40,K289))</f>
        <v/>
      </c>
      <c r="J289" s="12" t="str">
        <f>IF(K289="","",INDEX(Calcule!$U$6:$U$40,K289))</f>
        <v/>
      </c>
      <c r="K289" s="72" t="str">
        <f>IFERROR(IF(A289&lt;=INDEX(Perioade!$D$6:$D$40,MATCH(A289,Perioade!$C$6:$C$40,1)),MATCH(A289,Perioade!$C$6:$C$40,1),""),"")</f>
        <v/>
      </c>
    </row>
    <row r="290" spans="1:11" x14ac:dyDescent="0.2">
      <c r="A290" s="61">
        <f t="shared" si="8"/>
        <v>46605</v>
      </c>
      <c r="B290" s="71" t="str">
        <f t="shared" si="9"/>
        <v>Vi</v>
      </c>
      <c r="C290" t="str">
        <f>IF(K290="","⚠ fără perioadă",INDEX(Perioade!$A$6:$A$40,K290))</f>
        <v>⚠ fără perioadă</v>
      </c>
      <c r="D290" s="71" t="str">
        <f>IF(K290="","",INDEX(Calcule!$C$6:$C$40,K290))</f>
        <v/>
      </c>
      <c r="E290" s="71" t="str">
        <f>IF(K290="","",INDEX(Calcule!$B$6:$B$40,K290))</f>
        <v/>
      </c>
      <c r="F290" s="12" t="str">
        <f>IF(K290="","",INDEX(Calcule!$R$6:$R$40,K290))</f>
        <v/>
      </c>
      <c r="G290" s="12" t="str">
        <f>IF(K290="","",INDEX(Calcule!$Y$6:$Y$40,K290))</f>
        <v/>
      </c>
      <c r="H290" s="12" t="str">
        <f>IF(K290="","",INDEX(Calcule!$AE$6:$AE$40,K290))</f>
        <v/>
      </c>
      <c r="I290" s="12" t="str">
        <f>IF(K290="","",INDEX(Calcule!$AI$6:$AI$40,K290))</f>
        <v/>
      </c>
      <c r="J290" s="12" t="str">
        <f>IF(K290="","",INDEX(Calcule!$U$6:$U$40,K290))</f>
        <v/>
      </c>
      <c r="K290" s="72" t="str">
        <f>IFERROR(IF(A290&lt;=INDEX(Perioade!$D$6:$D$40,MATCH(A290,Perioade!$C$6:$C$40,1)),MATCH(A290,Perioade!$C$6:$C$40,1),""),"")</f>
        <v/>
      </c>
    </row>
    <row r="291" spans="1:11" x14ac:dyDescent="0.2">
      <c r="A291" s="61">
        <f t="shared" si="8"/>
        <v>46606</v>
      </c>
      <c r="B291" s="71" t="str">
        <f t="shared" si="9"/>
        <v>Sâ</v>
      </c>
      <c r="C291" t="str">
        <f>IF(K291="","⚠ fără perioadă",INDEX(Perioade!$A$6:$A$40,K291))</f>
        <v>⚠ fără perioadă</v>
      </c>
      <c r="D291" s="71" t="str">
        <f>IF(K291="","",INDEX(Calcule!$C$6:$C$40,K291))</f>
        <v/>
      </c>
      <c r="E291" s="71" t="str">
        <f>IF(K291="","",INDEX(Calcule!$B$6:$B$40,K291))</f>
        <v/>
      </c>
      <c r="F291" s="12" t="str">
        <f>IF(K291="","",INDEX(Calcule!$R$6:$R$40,K291))</f>
        <v/>
      </c>
      <c r="G291" s="12" t="str">
        <f>IF(K291="","",INDEX(Calcule!$Y$6:$Y$40,K291))</f>
        <v/>
      </c>
      <c r="H291" s="12" t="str">
        <f>IF(K291="","",INDEX(Calcule!$AE$6:$AE$40,K291))</f>
        <v/>
      </c>
      <c r="I291" s="12" t="str">
        <f>IF(K291="","",INDEX(Calcule!$AI$6:$AI$40,K291))</f>
        <v/>
      </c>
      <c r="J291" s="12" t="str">
        <f>IF(K291="","",INDEX(Calcule!$U$6:$U$40,K291))</f>
        <v/>
      </c>
      <c r="K291" s="72" t="str">
        <f>IFERROR(IF(A291&lt;=INDEX(Perioade!$D$6:$D$40,MATCH(A291,Perioade!$C$6:$C$40,1)),MATCH(A291,Perioade!$C$6:$C$40,1),""),"")</f>
        <v/>
      </c>
    </row>
    <row r="292" spans="1:11" x14ac:dyDescent="0.2">
      <c r="A292" s="61">
        <f t="shared" si="8"/>
        <v>46607</v>
      </c>
      <c r="B292" s="71" t="str">
        <f t="shared" si="9"/>
        <v>Du</v>
      </c>
      <c r="C292" t="str">
        <f>IF(K292="","⚠ fără perioadă",INDEX(Perioade!$A$6:$A$40,K292))</f>
        <v>⚠ fără perioadă</v>
      </c>
      <c r="D292" s="71" t="str">
        <f>IF(K292="","",INDEX(Calcule!$C$6:$C$40,K292))</f>
        <v/>
      </c>
      <c r="E292" s="71" t="str">
        <f>IF(K292="","",INDEX(Calcule!$B$6:$B$40,K292))</f>
        <v/>
      </c>
      <c r="F292" s="12" t="str">
        <f>IF(K292="","",INDEX(Calcule!$R$6:$R$40,K292))</f>
        <v/>
      </c>
      <c r="G292" s="12" t="str">
        <f>IF(K292="","",INDEX(Calcule!$Y$6:$Y$40,K292))</f>
        <v/>
      </c>
      <c r="H292" s="12" t="str">
        <f>IF(K292="","",INDEX(Calcule!$AE$6:$AE$40,K292))</f>
        <v/>
      </c>
      <c r="I292" s="12" t="str">
        <f>IF(K292="","",INDEX(Calcule!$AI$6:$AI$40,K292))</f>
        <v/>
      </c>
      <c r="J292" s="12" t="str">
        <f>IF(K292="","",INDEX(Calcule!$U$6:$U$40,K292))</f>
        <v/>
      </c>
      <c r="K292" s="72" t="str">
        <f>IFERROR(IF(A292&lt;=INDEX(Perioade!$D$6:$D$40,MATCH(A292,Perioade!$C$6:$C$40,1)),MATCH(A292,Perioade!$C$6:$C$40,1),""),"")</f>
        <v/>
      </c>
    </row>
    <row r="293" spans="1:11" x14ac:dyDescent="0.2">
      <c r="A293" s="61">
        <f t="shared" si="8"/>
        <v>46608</v>
      </c>
      <c r="B293" s="71" t="str">
        <f t="shared" si="9"/>
        <v>Lu</v>
      </c>
      <c r="C293" t="str">
        <f>IF(K293="","⚠ fără perioadă",INDEX(Perioade!$A$6:$A$40,K293))</f>
        <v>⚠ fără perioadă</v>
      </c>
      <c r="D293" s="71" t="str">
        <f>IF(K293="","",INDEX(Calcule!$C$6:$C$40,K293))</f>
        <v/>
      </c>
      <c r="E293" s="71" t="str">
        <f>IF(K293="","",INDEX(Calcule!$B$6:$B$40,K293))</f>
        <v/>
      </c>
      <c r="F293" s="12" t="str">
        <f>IF(K293="","",INDEX(Calcule!$R$6:$R$40,K293))</f>
        <v/>
      </c>
      <c r="G293" s="12" t="str">
        <f>IF(K293="","",INDEX(Calcule!$Y$6:$Y$40,K293))</f>
        <v/>
      </c>
      <c r="H293" s="12" t="str">
        <f>IF(K293="","",INDEX(Calcule!$AE$6:$AE$40,K293))</f>
        <v/>
      </c>
      <c r="I293" s="12" t="str">
        <f>IF(K293="","",INDEX(Calcule!$AI$6:$AI$40,K293))</f>
        <v/>
      </c>
      <c r="J293" s="12" t="str">
        <f>IF(K293="","",INDEX(Calcule!$U$6:$U$40,K293))</f>
        <v/>
      </c>
      <c r="K293" s="72" t="str">
        <f>IFERROR(IF(A293&lt;=INDEX(Perioade!$D$6:$D$40,MATCH(A293,Perioade!$C$6:$C$40,1)),MATCH(A293,Perioade!$C$6:$C$40,1),""),"")</f>
        <v/>
      </c>
    </row>
    <row r="294" spans="1:11" x14ac:dyDescent="0.2">
      <c r="A294" s="61">
        <f t="shared" si="8"/>
        <v>46609</v>
      </c>
      <c r="B294" s="71" t="str">
        <f t="shared" si="9"/>
        <v>Ma</v>
      </c>
      <c r="C294" t="str">
        <f>IF(K294="","⚠ fără perioadă",INDEX(Perioade!$A$6:$A$40,K294))</f>
        <v>⚠ fără perioadă</v>
      </c>
      <c r="D294" s="71" t="str">
        <f>IF(K294="","",INDEX(Calcule!$C$6:$C$40,K294))</f>
        <v/>
      </c>
      <c r="E294" s="71" t="str">
        <f>IF(K294="","",INDEX(Calcule!$B$6:$B$40,K294))</f>
        <v/>
      </c>
      <c r="F294" s="12" t="str">
        <f>IF(K294="","",INDEX(Calcule!$R$6:$R$40,K294))</f>
        <v/>
      </c>
      <c r="G294" s="12" t="str">
        <f>IF(K294="","",INDEX(Calcule!$Y$6:$Y$40,K294))</f>
        <v/>
      </c>
      <c r="H294" s="12" t="str">
        <f>IF(K294="","",INDEX(Calcule!$AE$6:$AE$40,K294))</f>
        <v/>
      </c>
      <c r="I294" s="12" t="str">
        <f>IF(K294="","",INDEX(Calcule!$AI$6:$AI$40,K294))</f>
        <v/>
      </c>
      <c r="J294" s="12" t="str">
        <f>IF(K294="","",INDEX(Calcule!$U$6:$U$40,K294))</f>
        <v/>
      </c>
      <c r="K294" s="72" t="str">
        <f>IFERROR(IF(A294&lt;=INDEX(Perioade!$D$6:$D$40,MATCH(A294,Perioade!$C$6:$C$40,1)),MATCH(A294,Perioade!$C$6:$C$40,1),""),"")</f>
        <v/>
      </c>
    </row>
    <row r="295" spans="1:11" x14ac:dyDescent="0.2">
      <c r="A295" s="61">
        <f t="shared" si="8"/>
        <v>46610</v>
      </c>
      <c r="B295" s="71" t="str">
        <f t="shared" si="9"/>
        <v>Mi</v>
      </c>
      <c r="C295" t="str">
        <f>IF(K295="","⚠ fără perioadă",INDEX(Perioade!$A$6:$A$40,K295))</f>
        <v>⚠ fără perioadă</v>
      </c>
      <c r="D295" s="71" t="str">
        <f>IF(K295="","",INDEX(Calcule!$C$6:$C$40,K295))</f>
        <v/>
      </c>
      <c r="E295" s="71" t="str">
        <f>IF(K295="","",INDEX(Calcule!$B$6:$B$40,K295))</f>
        <v/>
      </c>
      <c r="F295" s="12" t="str">
        <f>IF(K295="","",INDEX(Calcule!$R$6:$R$40,K295))</f>
        <v/>
      </c>
      <c r="G295" s="12" t="str">
        <f>IF(K295="","",INDEX(Calcule!$Y$6:$Y$40,K295))</f>
        <v/>
      </c>
      <c r="H295" s="12" t="str">
        <f>IF(K295="","",INDEX(Calcule!$AE$6:$AE$40,K295))</f>
        <v/>
      </c>
      <c r="I295" s="12" t="str">
        <f>IF(K295="","",INDEX(Calcule!$AI$6:$AI$40,K295))</f>
        <v/>
      </c>
      <c r="J295" s="12" t="str">
        <f>IF(K295="","",INDEX(Calcule!$U$6:$U$40,K295))</f>
        <v/>
      </c>
      <c r="K295" s="72" t="str">
        <f>IFERROR(IF(A295&lt;=INDEX(Perioade!$D$6:$D$40,MATCH(A295,Perioade!$C$6:$C$40,1)),MATCH(A295,Perioade!$C$6:$C$40,1),""),"")</f>
        <v/>
      </c>
    </row>
    <row r="296" spans="1:11" x14ac:dyDescent="0.2">
      <c r="A296" s="61">
        <f t="shared" si="8"/>
        <v>46611</v>
      </c>
      <c r="B296" s="71" t="str">
        <f t="shared" si="9"/>
        <v>Jo</v>
      </c>
      <c r="C296" t="str">
        <f>IF(K296="","⚠ fără perioadă",INDEX(Perioade!$A$6:$A$40,K296))</f>
        <v>⚠ fără perioadă</v>
      </c>
      <c r="D296" s="71" t="str">
        <f>IF(K296="","",INDEX(Calcule!$C$6:$C$40,K296))</f>
        <v/>
      </c>
      <c r="E296" s="71" t="str">
        <f>IF(K296="","",INDEX(Calcule!$B$6:$B$40,K296))</f>
        <v/>
      </c>
      <c r="F296" s="12" t="str">
        <f>IF(K296="","",INDEX(Calcule!$R$6:$R$40,K296))</f>
        <v/>
      </c>
      <c r="G296" s="12" t="str">
        <f>IF(K296="","",INDEX(Calcule!$Y$6:$Y$40,K296))</f>
        <v/>
      </c>
      <c r="H296" s="12" t="str">
        <f>IF(K296="","",INDEX(Calcule!$AE$6:$AE$40,K296))</f>
        <v/>
      </c>
      <c r="I296" s="12" t="str">
        <f>IF(K296="","",INDEX(Calcule!$AI$6:$AI$40,K296))</f>
        <v/>
      </c>
      <c r="J296" s="12" t="str">
        <f>IF(K296="","",INDEX(Calcule!$U$6:$U$40,K296))</f>
        <v/>
      </c>
      <c r="K296" s="72" t="str">
        <f>IFERROR(IF(A296&lt;=INDEX(Perioade!$D$6:$D$40,MATCH(A296,Perioade!$C$6:$C$40,1)),MATCH(A296,Perioade!$C$6:$C$40,1),""),"")</f>
        <v/>
      </c>
    </row>
    <row r="297" spans="1:11" x14ac:dyDescent="0.2">
      <c r="A297" s="61">
        <f t="shared" si="8"/>
        <v>46612</v>
      </c>
      <c r="B297" s="71" t="str">
        <f t="shared" si="9"/>
        <v>Vi</v>
      </c>
      <c r="C297" t="str">
        <f>IF(K297="","⚠ fără perioadă",INDEX(Perioade!$A$6:$A$40,K297))</f>
        <v>⚠ fără perioadă</v>
      </c>
      <c r="D297" s="71" t="str">
        <f>IF(K297="","",INDEX(Calcule!$C$6:$C$40,K297))</f>
        <v/>
      </c>
      <c r="E297" s="71" t="str">
        <f>IF(K297="","",INDEX(Calcule!$B$6:$B$40,K297))</f>
        <v/>
      </c>
      <c r="F297" s="12" t="str">
        <f>IF(K297="","",INDEX(Calcule!$R$6:$R$40,K297))</f>
        <v/>
      </c>
      <c r="G297" s="12" t="str">
        <f>IF(K297="","",INDEX(Calcule!$Y$6:$Y$40,K297))</f>
        <v/>
      </c>
      <c r="H297" s="12" t="str">
        <f>IF(K297="","",INDEX(Calcule!$AE$6:$AE$40,K297))</f>
        <v/>
      </c>
      <c r="I297" s="12" t="str">
        <f>IF(K297="","",INDEX(Calcule!$AI$6:$AI$40,K297))</f>
        <v/>
      </c>
      <c r="J297" s="12" t="str">
        <f>IF(K297="","",INDEX(Calcule!$U$6:$U$40,K297))</f>
        <v/>
      </c>
      <c r="K297" s="72" t="str">
        <f>IFERROR(IF(A297&lt;=INDEX(Perioade!$D$6:$D$40,MATCH(A297,Perioade!$C$6:$C$40,1)),MATCH(A297,Perioade!$C$6:$C$40,1),""),"")</f>
        <v/>
      </c>
    </row>
    <row r="298" spans="1:11" x14ac:dyDescent="0.2">
      <c r="A298" s="61">
        <f t="shared" si="8"/>
        <v>46613</v>
      </c>
      <c r="B298" s="71" t="str">
        <f t="shared" si="9"/>
        <v>Sâ</v>
      </c>
      <c r="C298" t="str">
        <f>IF(K298="","⚠ fără perioadă",INDEX(Perioade!$A$6:$A$40,K298))</f>
        <v>⚠ fără perioadă</v>
      </c>
      <c r="D298" s="71" t="str">
        <f>IF(K298="","",INDEX(Calcule!$C$6:$C$40,K298))</f>
        <v/>
      </c>
      <c r="E298" s="71" t="str">
        <f>IF(K298="","",INDEX(Calcule!$B$6:$B$40,K298))</f>
        <v/>
      </c>
      <c r="F298" s="12" t="str">
        <f>IF(K298="","",INDEX(Calcule!$R$6:$R$40,K298))</f>
        <v/>
      </c>
      <c r="G298" s="12" t="str">
        <f>IF(K298="","",INDEX(Calcule!$Y$6:$Y$40,K298))</f>
        <v/>
      </c>
      <c r="H298" s="12" t="str">
        <f>IF(K298="","",INDEX(Calcule!$AE$6:$AE$40,K298))</f>
        <v/>
      </c>
      <c r="I298" s="12" t="str">
        <f>IF(K298="","",INDEX(Calcule!$AI$6:$AI$40,K298))</f>
        <v/>
      </c>
      <c r="J298" s="12" t="str">
        <f>IF(K298="","",INDEX(Calcule!$U$6:$U$40,K298))</f>
        <v/>
      </c>
      <c r="K298" s="72" t="str">
        <f>IFERROR(IF(A298&lt;=INDEX(Perioade!$D$6:$D$40,MATCH(A298,Perioade!$C$6:$C$40,1)),MATCH(A298,Perioade!$C$6:$C$40,1),""),"")</f>
        <v/>
      </c>
    </row>
    <row r="299" spans="1:11" x14ac:dyDescent="0.2">
      <c r="A299" s="61">
        <f t="shared" si="8"/>
        <v>46614</v>
      </c>
      <c r="B299" s="71" t="str">
        <f t="shared" si="9"/>
        <v>Du</v>
      </c>
      <c r="C299" t="str">
        <f>IF(K299="","⚠ fără perioadă",INDEX(Perioade!$A$6:$A$40,K299))</f>
        <v>⚠ fără perioadă</v>
      </c>
      <c r="D299" s="71" t="str">
        <f>IF(K299="","",INDEX(Calcule!$C$6:$C$40,K299))</f>
        <v/>
      </c>
      <c r="E299" s="71" t="str">
        <f>IF(K299="","",INDEX(Calcule!$B$6:$B$40,K299))</f>
        <v/>
      </c>
      <c r="F299" s="12" t="str">
        <f>IF(K299="","",INDEX(Calcule!$R$6:$R$40,K299))</f>
        <v/>
      </c>
      <c r="G299" s="12" t="str">
        <f>IF(K299="","",INDEX(Calcule!$Y$6:$Y$40,K299))</f>
        <v/>
      </c>
      <c r="H299" s="12" t="str">
        <f>IF(K299="","",INDEX(Calcule!$AE$6:$AE$40,K299))</f>
        <v/>
      </c>
      <c r="I299" s="12" t="str">
        <f>IF(K299="","",INDEX(Calcule!$AI$6:$AI$40,K299))</f>
        <v/>
      </c>
      <c r="J299" s="12" t="str">
        <f>IF(K299="","",INDEX(Calcule!$U$6:$U$40,K299))</f>
        <v/>
      </c>
      <c r="K299" s="72" t="str">
        <f>IFERROR(IF(A299&lt;=INDEX(Perioade!$D$6:$D$40,MATCH(A299,Perioade!$C$6:$C$40,1)),MATCH(A299,Perioade!$C$6:$C$40,1),""),"")</f>
        <v/>
      </c>
    </row>
    <row r="300" spans="1:11" x14ac:dyDescent="0.2">
      <c r="A300" s="61">
        <f t="shared" si="8"/>
        <v>46615</v>
      </c>
      <c r="B300" s="71" t="str">
        <f t="shared" si="9"/>
        <v>Lu</v>
      </c>
      <c r="C300" t="str">
        <f>IF(K300="","⚠ fără perioadă",INDEX(Perioade!$A$6:$A$40,K300))</f>
        <v>⚠ fără perioadă</v>
      </c>
      <c r="D300" s="71" t="str">
        <f>IF(K300="","",INDEX(Calcule!$C$6:$C$40,K300))</f>
        <v/>
      </c>
      <c r="E300" s="71" t="str">
        <f>IF(K300="","",INDEX(Calcule!$B$6:$B$40,K300))</f>
        <v/>
      </c>
      <c r="F300" s="12" t="str">
        <f>IF(K300="","",INDEX(Calcule!$R$6:$R$40,K300))</f>
        <v/>
      </c>
      <c r="G300" s="12" t="str">
        <f>IF(K300="","",INDEX(Calcule!$Y$6:$Y$40,K300))</f>
        <v/>
      </c>
      <c r="H300" s="12" t="str">
        <f>IF(K300="","",INDEX(Calcule!$AE$6:$AE$40,K300))</f>
        <v/>
      </c>
      <c r="I300" s="12" t="str">
        <f>IF(K300="","",INDEX(Calcule!$AI$6:$AI$40,K300))</f>
        <v/>
      </c>
      <c r="J300" s="12" t="str">
        <f>IF(K300="","",INDEX(Calcule!$U$6:$U$40,K300))</f>
        <v/>
      </c>
      <c r="K300" s="72" t="str">
        <f>IFERROR(IF(A300&lt;=INDEX(Perioade!$D$6:$D$40,MATCH(A300,Perioade!$C$6:$C$40,1)),MATCH(A300,Perioade!$C$6:$C$40,1),""),"")</f>
        <v/>
      </c>
    </row>
    <row r="301" spans="1:11" x14ac:dyDescent="0.2">
      <c r="A301" s="61">
        <f t="shared" si="8"/>
        <v>46616</v>
      </c>
      <c r="B301" s="71" t="str">
        <f t="shared" si="9"/>
        <v>Ma</v>
      </c>
      <c r="C301" t="str">
        <f>IF(K301="","⚠ fără perioadă",INDEX(Perioade!$A$6:$A$40,K301))</f>
        <v>⚠ fără perioadă</v>
      </c>
      <c r="D301" s="71" t="str">
        <f>IF(K301="","",INDEX(Calcule!$C$6:$C$40,K301))</f>
        <v/>
      </c>
      <c r="E301" s="71" t="str">
        <f>IF(K301="","",INDEX(Calcule!$B$6:$B$40,K301))</f>
        <v/>
      </c>
      <c r="F301" s="12" t="str">
        <f>IF(K301="","",INDEX(Calcule!$R$6:$R$40,K301))</f>
        <v/>
      </c>
      <c r="G301" s="12" t="str">
        <f>IF(K301="","",INDEX(Calcule!$Y$6:$Y$40,K301))</f>
        <v/>
      </c>
      <c r="H301" s="12" t="str">
        <f>IF(K301="","",INDEX(Calcule!$AE$6:$AE$40,K301))</f>
        <v/>
      </c>
      <c r="I301" s="12" t="str">
        <f>IF(K301="","",INDEX(Calcule!$AI$6:$AI$40,K301))</f>
        <v/>
      </c>
      <c r="J301" s="12" t="str">
        <f>IF(K301="","",INDEX(Calcule!$U$6:$U$40,K301))</f>
        <v/>
      </c>
      <c r="K301" s="72" t="str">
        <f>IFERROR(IF(A301&lt;=INDEX(Perioade!$D$6:$D$40,MATCH(A301,Perioade!$C$6:$C$40,1)),MATCH(A301,Perioade!$C$6:$C$40,1),""),"")</f>
        <v/>
      </c>
    </row>
    <row r="302" spans="1:11" x14ac:dyDescent="0.2">
      <c r="A302" s="61">
        <f t="shared" si="8"/>
        <v>46617</v>
      </c>
      <c r="B302" s="71" t="str">
        <f t="shared" si="9"/>
        <v>Mi</v>
      </c>
      <c r="C302" t="str">
        <f>IF(K302="","⚠ fără perioadă",INDEX(Perioade!$A$6:$A$40,K302))</f>
        <v>⚠ fără perioadă</v>
      </c>
      <c r="D302" s="71" t="str">
        <f>IF(K302="","",INDEX(Calcule!$C$6:$C$40,K302))</f>
        <v/>
      </c>
      <c r="E302" s="71" t="str">
        <f>IF(K302="","",INDEX(Calcule!$B$6:$B$40,K302))</f>
        <v/>
      </c>
      <c r="F302" s="12" t="str">
        <f>IF(K302="","",INDEX(Calcule!$R$6:$R$40,K302))</f>
        <v/>
      </c>
      <c r="G302" s="12" t="str">
        <f>IF(K302="","",INDEX(Calcule!$Y$6:$Y$40,K302))</f>
        <v/>
      </c>
      <c r="H302" s="12" t="str">
        <f>IF(K302="","",INDEX(Calcule!$AE$6:$AE$40,K302))</f>
        <v/>
      </c>
      <c r="I302" s="12" t="str">
        <f>IF(K302="","",INDEX(Calcule!$AI$6:$AI$40,K302))</f>
        <v/>
      </c>
      <c r="J302" s="12" t="str">
        <f>IF(K302="","",INDEX(Calcule!$U$6:$U$40,K302))</f>
        <v/>
      </c>
      <c r="K302" s="72" t="str">
        <f>IFERROR(IF(A302&lt;=INDEX(Perioade!$D$6:$D$40,MATCH(A302,Perioade!$C$6:$C$40,1)),MATCH(A302,Perioade!$C$6:$C$40,1),""),"")</f>
        <v/>
      </c>
    </row>
    <row r="303" spans="1:11" x14ac:dyDescent="0.2">
      <c r="A303" s="61">
        <f t="shared" si="8"/>
        <v>46618</v>
      </c>
      <c r="B303" s="71" t="str">
        <f t="shared" si="9"/>
        <v>Jo</v>
      </c>
      <c r="C303" t="str">
        <f>IF(K303="","⚠ fără perioadă",INDEX(Perioade!$A$6:$A$40,K303))</f>
        <v>⚠ fără perioadă</v>
      </c>
      <c r="D303" s="71" t="str">
        <f>IF(K303="","",INDEX(Calcule!$C$6:$C$40,K303))</f>
        <v/>
      </c>
      <c r="E303" s="71" t="str">
        <f>IF(K303="","",INDEX(Calcule!$B$6:$B$40,K303))</f>
        <v/>
      </c>
      <c r="F303" s="12" t="str">
        <f>IF(K303="","",INDEX(Calcule!$R$6:$R$40,K303))</f>
        <v/>
      </c>
      <c r="G303" s="12" t="str">
        <f>IF(K303="","",INDEX(Calcule!$Y$6:$Y$40,K303))</f>
        <v/>
      </c>
      <c r="H303" s="12" t="str">
        <f>IF(K303="","",INDEX(Calcule!$AE$6:$AE$40,K303))</f>
        <v/>
      </c>
      <c r="I303" s="12" t="str">
        <f>IF(K303="","",INDEX(Calcule!$AI$6:$AI$40,K303))</f>
        <v/>
      </c>
      <c r="J303" s="12" t="str">
        <f>IF(K303="","",INDEX(Calcule!$U$6:$U$40,K303))</f>
        <v/>
      </c>
      <c r="K303" s="72" t="str">
        <f>IFERROR(IF(A303&lt;=INDEX(Perioade!$D$6:$D$40,MATCH(A303,Perioade!$C$6:$C$40,1)),MATCH(A303,Perioade!$C$6:$C$40,1),""),"")</f>
        <v/>
      </c>
    </row>
    <row r="304" spans="1:11" x14ac:dyDescent="0.2">
      <c r="A304" s="61">
        <f t="shared" si="8"/>
        <v>46619</v>
      </c>
      <c r="B304" s="71" t="str">
        <f t="shared" si="9"/>
        <v>Vi</v>
      </c>
      <c r="C304" t="str">
        <f>IF(K304="","⚠ fără perioadă",INDEX(Perioade!$A$6:$A$40,K304))</f>
        <v>⚠ fără perioadă</v>
      </c>
      <c r="D304" s="71" t="str">
        <f>IF(K304="","",INDEX(Calcule!$C$6:$C$40,K304))</f>
        <v/>
      </c>
      <c r="E304" s="71" t="str">
        <f>IF(K304="","",INDEX(Calcule!$B$6:$B$40,K304))</f>
        <v/>
      </c>
      <c r="F304" s="12" t="str">
        <f>IF(K304="","",INDEX(Calcule!$R$6:$R$40,K304))</f>
        <v/>
      </c>
      <c r="G304" s="12" t="str">
        <f>IF(K304="","",INDEX(Calcule!$Y$6:$Y$40,K304))</f>
        <v/>
      </c>
      <c r="H304" s="12" t="str">
        <f>IF(K304="","",INDEX(Calcule!$AE$6:$AE$40,K304))</f>
        <v/>
      </c>
      <c r="I304" s="12" t="str">
        <f>IF(K304="","",INDEX(Calcule!$AI$6:$AI$40,K304))</f>
        <v/>
      </c>
      <c r="J304" s="12" t="str">
        <f>IF(K304="","",INDEX(Calcule!$U$6:$U$40,K304))</f>
        <v/>
      </c>
      <c r="K304" s="72" t="str">
        <f>IFERROR(IF(A304&lt;=INDEX(Perioade!$D$6:$D$40,MATCH(A304,Perioade!$C$6:$C$40,1)),MATCH(A304,Perioade!$C$6:$C$40,1),""),"")</f>
        <v/>
      </c>
    </row>
    <row r="305" spans="1:11" x14ac:dyDescent="0.2">
      <c r="A305" s="61">
        <f t="shared" si="8"/>
        <v>46620</v>
      </c>
      <c r="B305" s="71" t="str">
        <f t="shared" si="9"/>
        <v>Sâ</v>
      </c>
      <c r="C305" t="str">
        <f>IF(K305="","⚠ fără perioadă",INDEX(Perioade!$A$6:$A$40,K305))</f>
        <v>⚠ fără perioadă</v>
      </c>
      <c r="D305" s="71" t="str">
        <f>IF(K305="","",INDEX(Calcule!$C$6:$C$40,K305))</f>
        <v/>
      </c>
      <c r="E305" s="71" t="str">
        <f>IF(K305="","",INDEX(Calcule!$B$6:$B$40,K305))</f>
        <v/>
      </c>
      <c r="F305" s="12" t="str">
        <f>IF(K305="","",INDEX(Calcule!$R$6:$R$40,K305))</f>
        <v/>
      </c>
      <c r="G305" s="12" t="str">
        <f>IF(K305="","",INDEX(Calcule!$Y$6:$Y$40,K305))</f>
        <v/>
      </c>
      <c r="H305" s="12" t="str">
        <f>IF(K305="","",INDEX(Calcule!$AE$6:$AE$40,K305))</f>
        <v/>
      </c>
      <c r="I305" s="12" t="str">
        <f>IF(K305="","",INDEX(Calcule!$AI$6:$AI$40,K305))</f>
        <v/>
      </c>
      <c r="J305" s="12" t="str">
        <f>IF(K305="","",INDEX(Calcule!$U$6:$U$40,K305))</f>
        <v/>
      </c>
      <c r="K305" s="72" t="str">
        <f>IFERROR(IF(A305&lt;=INDEX(Perioade!$D$6:$D$40,MATCH(A305,Perioade!$C$6:$C$40,1)),MATCH(A305,Perioade!$C$6:$C$40,1),""),"")</f>
        <v/>
      </c>
    </row>
    <row r="306" spans="1:11" x14ac:dyDescent="0.2">
      <c r="A306" s="61">
        <f t="shared" si="8"/>
        <v>46621</v>
      </c>
      <c r="B306" s="71" t="str">
        <f t="shared" si="9"/>
        <v>Du</v>
      </c>
      <c r="C306" t="str">
        <f>IF(K306="","⚠ fără perioadă",INDEX(Perioade!$A$6:$A$40,K306))</f>
        <v>⚠ fără perioadă</v>
      </c>
      <c r="D306" s="71" t="str">
        <f>IF(K306="","",INDEX(Calcule!$C$6:$C$40,K306))</f>
        <v/>
      </c>
      <c r="E306" s="71" t="str">
        <f>IF(K306="","",INDEX(Calcule!$B$6:$B$40,K306))</f>
        <v/>
      </c>
      <c r="F306" s="12" t="str">
        <f>IF(K306="","",INDEX(Calcule!$R$6:$R$40,K306))</f>
        <v/>
      </c>
      <c r="G306" s="12" t="str">
        <f>IF(K306="","",INDEX(Calcule!$Y$6:$Y$40,K306))</f>
        <v/>
      </c>
      <c r="H306" s="12" t="str">
        <f>IF(K306="","",INDEX(Calcule!$AE$6:$AE$40,K306))</f>
        <v/>
      </c>
      <c r="I306" s="12" t="str">
        <f>IF(K306="","",INDEX(Calcule!$AI$6:$AI$40,K306))</f>
        <v/>
      </c>
      <c r="J306" s="12" t="str">
        <f>IF(K306="","",INDEX(Calcule!$U$6:$U$40,K306))</f>
        <v/>
      </c>
      <c r="K306" s="72" t="str">
        <f>IFERROR(IF(A306&lt;=INDEX(Perioade!$D$6:$D$40,MATCH(A306,Perioade!$C$6:$C$40,1)),MATCH(A306,Perioade!$C$6:$C$40,1),""),"")</f>
        <v/>
      </c>
    </row>
    <row r="307" spans="1:11" x14ac:dyDescent="0.2">
      <c r="A307" s="61">
        <f t="shared" si="8"/>
        <v>46622</v>
      </c>
      <c r="B307" s="71" t="str">
        <f t="shared" si="9"/>
        <v>Lu</v>
      </c>
      <c r="C307" t="str">
        <f>IF(K307="","⚠ fără perioadă",INDEX(Perioade!$A$6:$A$40,K307))</f>
        <v>⚠ fără perioadă</v>
      </c>
      <c r="D307" s="71" t="str">
        <f>IF(K307="","",INDEX(Calcule!$C$6:$C$40,K307))</f>
        <v/>
      </c>
      <c r="E307" s="71" t="str">
        <f>IF(K307="","",INDEX(Calcule!$B$6:$B$40,K307))</f>
        <v/>
      </c>
      <c r="F307" s="12" t="str">
        <f>IF(K307="","",INDEX(Calcule!$R$6:$R$40,K307))</f>
        <v/>
      </c>
      <c r="G307" s="12" t="str">
        <f>IF(K307="","",INDEX(Calcule!$Y$6:$Y$40,K307))</f>
        <v/>
      </c>
      <c r="H307" s="12" t="str">
        <f>IF(K307="","",INDEX(Calcule!$AE$6:$AE$40,K307))</f>
        <v/>
      </c>
      <c r="I307" s="12" t="str">
        <f>IF(K307="","",INDEX(Calcule!$AI$6:$AI$40,K307))</f>
        <v/>
      </c>
      <c r="J307" s="12" t="str">
        <f>IF(K307="","",INDEX(Calcule!$U$6:$U$40,K307))</f>
        <v/>
      </c>
      <c r="K307" s="72" t="str">
        <f>IFERROR(IF(A307&lt;=INDEX(Perioade!$D$6:$D$40,MATCH(A307,Perioade!$C$6:$C$40,1)),MATCH(A307,Perioade!$C$6:$C$40,1),""),"")</f>
        <v/>
      </c>
    </row>
    <row r="308" spans="1:11" x14ac:dyDescent="0.2">
      <c r="A308" s="61">
        <f t="shared" si="8"/>
        <v>46623</v>
      </c>
      <c r="B308" s="71" t="str">
        <f t="shared" si="9"/>
        <v>Ma</v>
      </c>
      <c r="C308" t="str">
        <f>IF(K308="","⚠ fără perioadă",INDEX(Perioade!$A$6:$A$40,K308))</f>
        <v>⚠ fără perioadă</v>
      </c>
      <c r="D308" s="71" t="str">
        <f>IF(K308="","",INDEX(Calcule!$C$6:$C$40,K308))</f>
        <v/>
      </c>
      <c r="E308" s="71" t="str">
        <f>IF(K308="","",INDEX(Calcule!$B$6:$B$40,K308))</f>
        <v/>
      </c>
      <c r="F308" s="12" t="str">
        <f>IF(K308="","",INDEX(Calcule!$R$6:$R$40,K308))</f>
        <v/>
      </c>
      <c r="G308" s="12" t="str">
        <f>IF(K308="","",INDEX(Calcule!$Y$6:$Y$40,K308))</f>
        <v/>
      </c>
      <c r="H308" s="12" t="str">
        <f>IF(K308="","",INDEX(Calcule!$AE$6:$AE$40,K308))</f>
        <v/>
      </c>
      <c r="I308" s="12" t="str">
        <f>IF(K308="","",INDEX(Calcule!$AI$6:$AI$40,K308))</f>
        <v/>
      </c>
      <c r="J308" s="12" t="str">
        <f>IF(K308="","",INDEX(Calcule!$U$6:$U$40,K308))</f>
        <v/>
      </c>
      <c r="K308" s="72" t="str">
        <f>IFERROR(IF(A308&lt;=INDEX(Perioade!$D$6:$D$40,MATCH(A308,Perioade!$C$6:$C$40,1)),MATCH(A308,Perioade!$C$6:$C$40,1),""),"")</f>
        <v/>
      </c>
    </row>
    <row r="309" spans="1:11" x14ac:dyDescent="0.2">
      <c r="A309" s="61">
        <f t="shared" si="8"/>
        <v>46624</v>
      </c>
      <c r="B309" s="71" t="str">
        <f t="shared" si="9"/>
        <v>Mi</v>
      </c>
      <c r="C309" t="str">
        <f>IF(K309="","⚠ fără perioadă",INDEX(Perioade!$A$6:$A$40,K309))</f>
        <v>⚠ fără perioadă</v>
      </c>
      <c r="D309" s="71" t="str">
        <f>IF(K309="","",INDEX(Calcule!$C$6:$C$40,K309))</f>
        <v/>
      </c>
      <c r="E309" s="71" t="str">
        <f>IF(K309="","",INDEX(Calcule!$B$6:$B$40,K309))</f>
        <v/>
      </c>
      <c r="F309" s="12" t="str">
        <f>IF(K309="","",INDEX(Calcule!$R$6:$R$40,K309))</f>
        <v/>
      </c>
      <c r="G309" s="12" t="str">
        <f>IF(K309="","",INDEX(Calcule!$Y$6:$Y$40,K309))</f>
        <v/>
      </c>
      <c r="H309" s="12" t="str">
        <f>IF(K309="","",INDEX(Calcule!$AE$6:$AE$40,K309))</f>
        <v/>
      </c>
      <c r="I309" s="12" t="str">
        <f>IF(K309="","",INDEX(Calcule!$AI$6:$AI$40,K309))</f>
        <v/>
      </c>
      <c r="J309" s="12" t="str">
        <f>IF(K309="","",INDEX(Calcule!$U$6:$U$40,K309))</f>
        <v/>
      </c>
      <c r="K309" s="72" t="str">
        <f>IFERROR(IF(A309&lt;=INDEX(Perioade!$D$6:$D$40,MATCH(A309,Perioade!$C$6:$C$40,1)),MATCH(A309,Perioade!$C$6:$C$40,1),""),"")</f>
        <v/>
      </c>
    </row>
    <row r="310" spans="1:11" x14ac:dyDescent="0.2">
      <c r="A310" s="61">
        <f t="shared" si="8"/>
        <v>46625</v>
      </c>
      <c r="B310" s="71" t="str">
        <f t="shared" si="9"/>
        <v>Jo</v>
      </c>
      <c r="C310" t="str">
        <f>IF(K310="","⚠ fără perioadă",INDEX(Perioade!$A$6:$A$40,K310))</f>
        <v>⚠ fără perioadă</v>
      </c>
      <c r="D310" s="71" t="str">
        <f>IF(K310="","",INDEX(Calcule!$C$6:$C$40,K310))</f>
        <v/>
      </c>
      <c r="E310" s="71" t="str">
        <f>IF(K310="","",INDEX(Calcule!$B$6:$B$40,K310))</f>
        <v/>
      </c>
      <c r="F310" s="12" t="str">
        <f>IF(K310="","",INDEX(Calcule!$R$6:$R$40,K310))</f>
        <v/>
      </c>
      <c r="G310" s="12" t="str">
        <f>IF(K310="","",INDEX(Calcule!$Y$6:$Y$40,K310))</f>
        <v/>
      </c>
      <c r="H310" s="12" t="str">
        <f>IF(K310="","",INDEX(Calcule!$AE$6:$AE$40,K310))</f>
        <v/>
      </c>
      <c r="I310" s="12" t="str">
        <f>IF(K310="","",INDEX(Calcule!$AI$6:$AI$40,K310))</f>
        <v/>
      </c>
      <c r="J310" s="12" t="str">
        <f>IF(K310="","",INDEX(Calcule!$U$6:$U$40,K310))</f>
        <v/>
      </c>
      <c r="K310" s="72" t="str">
        <f>IFERROR(IF(A310&lt;=INDEX(Perioade!$D$6:$D$40,MATCH(A310,Perioade!$C$6:$C$40,1)),MATCH(A310,Perioade!$C$6:$C$40,1),""),"")</f>
        <v/>
      </c>
    </row>
    <row r="311" spans="1:11" x14ac:dyDescent="0.2">
      <c r="A311" s="61">
        <f t="shared" si="8"/>
        <v>46626</v>
      </c>
      <c r="B311" s="71" t="str">
        <f t="shared" si="9"/>
        <v>Vi</v>
      </c>
      <c r="C311" t="str">
        <f>IF(K311="","⚠ fără perioadă",INDEX(Perioade!$A$6:$A$40,K311))</f>
        <v>⚠ fără perioadă</v>
      </c>
      <c r="D311" s="71" t="str">
        <f>IF(K311="","",INDEX(Calcule!$C$6:$C$40,K311))</f>
        <v/>
      </c>
      <c r="E311" s="71" t="str">
        <f>IF(K311="","",INDEX(Calcule!$B$6:$B$40,K311))</f>
        <v/>
      </c>
      <c r="F311" s="12" t="str">
        <f>IF(K311="","",INDEX(Calcule!$R$6:$R$40,K311))</f>
        <v/>
      </c>
      <c r="G311" s="12" t="str">
        <f>IF(K311="","",INDEX(Calcule!$Y$6:$Y$40,K311))</f>
        <v/>
      </c>
      <c r="H311" s="12" t="str">
        <f>IF(K311="","",INDEX(Calcule!$AE$6:$AE$40,K311))</f>
        <v/>
      </c>
      <c r="I311" s="12" t="str">
        <f>IF(K311="","",INDEX(Calcule!$AI$6:$AI$40,K311))</f>
        <v/>
      </c>
      <c r="J311" s="12" t="str">
        <f>IF(K311="","",INDEX(Calcule!$U$6:$U$40,K311))</f>
        <v/>
      </c>
      <c r="K311" s="72" t="str">
        <f>IFERROR(IF(A311&lt;=INDEX(Perioade!$D$6:$D$40,MATCH(A311,Perioade!$C$6:$C$40,1)),MATCH(A311,Perioade!$C$6:$C$40,1),""),"")</f>
        <v/>
      </c>
    </row>
    <row r="312" spans="1:11" x14ac:dyDescent="0.2">
      <c r="A312" s="61">
        <f t="shared" si="8"/>
        <v>46627</v>
      </c>
      <c r="B312" s="71" t="str">
        <f t="shared" si="9"/>
        <v>Sâ</v>
      </c>
      <c r="C312" t="str">
        <f>IF(K312="","⚠ fără perioadă",INDEX(Perioade!$A$6:$A$40,K312))</f>
        <v>⚠ fără perioadă</v>
      </c>
      <c r="D312" s="71" t="str">
        <f>IF(K312="","",INDEX(Calcule!$C$6:$C$40,K312))</f>
        <v/>
      </c>
      <c r="E312" s="71" t="str">
        <f>IF(K312="","",INDEX(Calcule!$B$6:$B$40,K312))</f>
        <v/>
      </c>
      <c r="F312" s="12" t="str">
        <f>IF(K312="","",INDEX(Calcule!$R$6:$R$40,K312))</f>
        <v/>
      </c>
      <c r="G312" s="12" t="str">
        <f>IF(K312="","",INDEX(Calcule!$Y$6:$Y$40,K312))</f>
        <v/>
      </c>
      <c r="H312" s="12" t="str">
        <f>IF(K312="","",INDEX(Calcule!$AE$6:$AE$40,K312))</f>
        <v/>
      </c>
      <c r="I312" s="12" t="str">
        <f>IF(K312="","",INDEX(Calcule!$AI$6:$AI$40,K312))</f>
        <v/>
      </c>
      <c r="J312" s="12" t="str">
        <f>IF(K312="","",INDEX(Calcule!$U$6:$U$40,K312))</f>
        <v/>
      </c>
      <c r="K312" s="72" t="str">
        <f>IFERROR(IF(A312&lt;=INDEX(Perioade!$D$6:$D$40,MATCH(A312,Perioade!$C$6:$C$40,1)),MATCH(A312,Perioade!$C$6:$C$40,1),""),"")</f>
        <v/>
      </c>
    </row>
    <row r="313" spans="1:11" x14ac:dyDescent="0.2">
      <c r="A313" s="61">
        <f t="shared" si="8"/>
        <v>46628</v>
      </c>
      <c r="B313" s="71" t="str">
        <f t="shared" si="9"/>
        <v>Du</v>
      </c>
      <c r="C313" t="str">
        <f>IF(K313="","⚠ fără perioadă",INDEX(Perioade!$A$6:$A$40,K313))</f>
        <v>⚠ fără perioadă</v>
      </c>
      <c r="D313" s="71" t="str">
        <f>IF(K313="","",INDEX(Calcule!$C$6:$C$40,K313))</f>
        <v/>
      </c>
      <c r="E313" s="71" t="str">
        <f>IF(K313="","",INDEX(Calcule!$B$6:$B$40,K313))</f>
        <v/>
      </c>
      <c r="F313" s="12" t="str">
        <f>IF(K313="","",INDEX(Calcule!$R$6:$R$40,K313))</f>
        <v/>
      </c>
      <c r="G313" s="12" t="str">
        <f>IF(K313="","",INDEX(Calcule!$Y$6:$Y$40,K313))</f>
        <v/>
      </c>
      <c r="H313" s="12" t="str">
        <f>IF(K313="","",INDEX(Calcule!$AE$6:$AE$40,K313))</f>
        <v/>
      </c>
      <c r="I313" s="12" t="str">
        <f>IF(K313="","",INDEX(Calcule!$AI$6:$AI$40,K313))</f>
        <v/>
      </c>
      <c r="J313" s="12" t="str">
        <f>IF(K313="","",INDEX(Calcule!$U$6:$U$40,K313))</f>
        <v/>
      </c>
      <c r="K313" s="72" t="str">
        <f>IFERROR(IF(A313&lt;=INDEX(Perioade!$D$6:$D$40,MATCH(A313,Perioade!$C$6:$C$40,1)),MATCH(A313,Perioade!$C$6:$C$40,1),""),"")</f>
        <v/>
      </c>
    </row>
    <row r="314" spans="1:11" x14ac:dyDescent="0.2">
      <c r="A314" s="61">
        <f t="shared" si="8"/>
        <v>46629</v>
      </c>
      <c r="B314" s="71" t="str">
        <f t="shared" si="9"/>
        <v>Lu</v>
      </c>
      <c r="C314" t="str">
        <f>IF(K314="","⚠ fără perioadă",INDEX(Perioade!$A$6:$A$40,K314))</f>
        <v>⚠ fără perioadă</v>
      </c>
      <c r="D314" s="71" t="str">
        <f>IF(K314="","",INDEX(Calcule!$C$6:$C$40,K314))</f>
        <v/>
      </c>
      <c r="E314" s="71" t="str">
        <f>IF(K314="","",INDEX(Calcule!$B$6:$B$40,K314))</f>
        <v/>
      </c>
      <c r="F314" s="12" t="str">
        <f>IF(K314="","",INDEX(Calcule!$R$6:$R$40,K314))</f>
        <v/>
      </c>
      <c r="G314" s="12" t="str">
        <f>IF(K314="","",INDEX(Calcule!$Y$6:$Y$40,K314))</f>
        <v/>
      </c>
      <c r="H314" s="12" t="str">
        <f>IF(K314="","",INDEX(Calcule!$AE$6:$AE$40,K314))</f>
        <v/>
      </c>
      <c r="I314" s="12" t="str">
        <f>IF(K314="","",INDEX(Calcule!$AI$6:$AI$40,K314))</f>
        <v/>
      </c>
      <c r="J314" s="12" t="str">
        <f>IF(K314="","",INDEX(Calcule!$U$6:$U$40,K314))</f>
        <v/>
      </c>
      <c r="K314" s="72" t="str">
        <f>IFERROR(IF(A314&lt;=INDEX(Perioade!$D$6:$D$40,MATCH(A314,Perioade!$C$6:$C$40,1)),MATCH(A314,Perioade!$C$6:$C$40,1),""),"")</f>
        <v/>
      </c>
    </row>
    <row r="315" spans="1:11" x14ac:dyDescent="0.2">
      <c r="A315" s="61">
        <f t="shared" si="8"/>
        <v>46630</v>
      </c>
      <c r="B315" s="71" t="str">
        <f t="shared" si="9"/>
        <v>Ma</v>
      </c>
      <c r="C315" t="str">
        <f>IF(K315="","⚠ fără perioadă",INDEX(Perioade!$A$6:$A$40,K315))</f>
        <v>⚠ fără perioadă</v>
      </c>
      <c r="D315" s="71" t="str">
        <f>IF(K315="","",INDEX(Calcule!$C$6:$C$40,K315))</f>
        <v/>
      </c>
      <c r="E315" s="71" t="str">
        <f>IF(K315="","",INDEX(Calcule!$B$6:$B$40,K315))</f>
        <v/>
      </c>
      <c r="F315" s="12" t="str">
        <f>IF(K315="","",INDEX(Calcule!$R$6:$R$40,K315))</f>
        <v/>
      </c>
      <c r="G315" s="12" t="str">
        <f>IF(K315="","",INDEX(Calcule!$Y$6:$Y$40,K315))</f>
        <v/>
      </c>
      <c r="H315" s="12" t="str">
        <f>IF(K315="","",INDEX(Calcule!$AE$6:$AE$40,K315))</f>
        <v/>
      </c>
      <c r="I315" s="12" t="str">
        <f>IF(K315="","",INDEX(Calcule!$AI$6:$AI$40,K315))</f>
        <v/>
      </c>
      <c r="J315" s="12" t="str">
        <f>IF(K315="","",INDEX(Calcule!$U$6:$U$40,K315))</f>
        <v/>
      </c>
      <c r="K315" s="72" t="str">
        <f>IFERROR(IF(A315&lt;=INDEX(Perioade!$D$6:$D$40,MATCH(A315,Perioade!$C$6:$C$40,1)),MATCH(A315,Perioade!$C$6:$C$40,1),""),"")</f>
        <v/>
      </c>
    </row>
    <row r="316" spans="1:11" x14ac:dyDescent="0.2">
      <c r="A316" s="61">
        <f t="shared" si="8"/>
        <v>46631</v>
      </c>
      <c r="B316" s="71" t="str">
        <f t="shared" si="9"/>
        <v>Mi</v>
      </c>
      <c r="C316" t="str">
        <f>IF(K316="","⚠ fără perioadă",INDEX(Perioade!$A$6:$A$40,K316))</f>
        <v>⚠ fără perioadă</v>
      </c>
      <c r="D316" s="71" t="str">
        <f>IF(K316="","",INDEX(Calcule!$C$6:$C$40,K316))</f>
        <v/>
      </c>
      <c r="E316" s="71" t="str">
        <f>IF(K316="","",INDEX(Calcule!$B$6:$B$40,K316))</f>
        <v/>
      </c>
      <c r="F316" s="12" t="str">
        <f>IF(K316="","",INDEX(Calcule!$R$6:$R$40,K316))</f>
        <v/>
      </c>
      <c r="G316" s="12" t="str">
        <f>IF(K316="","",INDEX(Calcule!$Y$6:$Y$40,K316))</f>
        <v/>
      </c>
      <c r="H316" s="12" t="str">
        <f>IF(K316="","",INDEX(Calcule!$AE$6:$AE$40,K316))</f>
        <v/>
      </c>
      <c r="I316" s="12" t="str">
        <f>IF(K316="","",INDEX(Calcule!$AI$6:$AI$40,K316))</f>
        <v/>
      </c>
      <c r="J316" s="12" t="str">
        <f>IF(K316="","",INDEX(Calcule!$U$6:$U$40,K316))</f>
        <v/>
      </c>
      <c r="K316" s="72" t="str">
        <f>IFERROR(IF(A316&lt;=INDEX(Perioade!$D$6:$D$40,MATCH(A316,Perioade!$C$6:$C$40,1)),MATCH(A316,Perioade!$C$6:$C$40,1),""),"")</f>
        <v/>
      </c>
    </row>
    <row r="317" spans="1:11" x14ac:dyDescent="0.2">
      <c r="A317" s="61">
        <f t="shared" si="8"/>
        <v>46632</v>
      </c>
      <c r="B317" s="71" t="str">
        <f t="shared" si="9"/>
        <v>Jo</v>
      </c>
      <c r="C317" t="str">
        <f>IF(K317="","⚠ fără perioadă",INDEX(Perioade!$A$6:$A$40,K317))</f>
        <v>⚠ fără perioadă</v>
      </c>
      <c r="D317" s="71" t="str">
        <f>IF(K317="","",INDEX(Calcule!$C$6:$C$40,K317))</f>
        <v/>
      </c>
      <c r="E317" s="71" t="str">
        <f>IF(K317="","",INDEX(Calcule!$B$6:$B$40,K317))</f>
        <v/>
      </c>
      <c r="F317" s="12" t="str">
        <f>IF(K317="","",INDEX(Calcule!$R$6:$R$40,K317))</f>
        <v/>
      </c>
      <c r="G317" s="12" t="str">
        <f>IF(K317="","",INDEX(Calcule!$Y$6:$Y$40,K317))</f>
        <v/>
      </c>
      <c r="H317" s="12" t="str">
        <f>IF(K317="","",INDEX(Calcule!$AE$6:$AE$40,K317))</f>
        <v/>
      </c>
      <c r="I317" s="12" t="str">
        <f>IF(K317="","",INDEX(Calcule!$AI$6:$AI$40,K317))</f>
        <v/>
      </c>
      <c r="J317" s="12" t="str">
        <f>IF(K317="","",INDEX(Calcule!$U$6:$U$40,K317))</f>
        <v/>
      </c>
      <c r="K317" s="72" t="str">
        <f>IFERROR(IF(A317&lt;=INDEX(Perioade!$D$6:$D$40,MATCH(A317,Perioade!$C$6:$C$40,1)),MATCH(A317,Perioade!$C$6:$C$40,1),""),"")</f>
        <v/>
      </c>
    </row>
    <row r="318" spans="1:11" x14ac:dyDescent="0.2">
      <c r="A318" s="61">
        <f t="shared" si="8"/>
        <v>46633</v>
      </c>
      <c r="B318" s="71" t="str">
        <f t="shared" si="9"/>
        <v>Vi</v>
      </c>
      <c r="C318" t="str">
        <f>IF(K318="","⚠ fără perioadă",INDEX(Perioade!$A$6:$A$40,K318))</f>
        <v>⚠ fără perioadă</v>
      </c>
      <c r="D318" s="71" t="str">
        <f>IF(K318="","",INDEX(Calcule!$C$6:$C$40,K318))</f>
        <v/>
      </c>
      <c r="E318" s="71" t="str">
        <f>IF(K318="","",INDEX(Calcule!$B$6:$B$40,K318))</f>
        <v/>
      </c>
      <c r="F318" s="12" t="str">
        <f>IF(K318="","",INDEX(Calcule!$R$6:$R$40,K318))</f>
        <v/>
      </c>
      <c r="G318" s="12" t="str">
        <f>IF(K318="","",INDEX(Calcule!$Y$6:$Y$40,K318))</f>
        <v/>
      </c>
      <c r="H318" s="12" t="str">
        <f>IF(K318="","",INDEX(Calcule!$AE$6:$AE$40,K318))</f>
        <v/>
      </c>
      <c r="I318" s="12" t="str">
        <f>IF(K318="","",INDEX(Calcule!$AI$6:$AI$40,K318))</f>
        <v/>
      </c>
      <c r="J318" s="12" t="str">
        <f>IF(K318="","",INDEX(Calcule!$U$6:$U$40,K318))</f>
        <v/>
      </c>
      <c r="K318" s="72" t="str">
        <f>IFERROR(IF(A318&lt;=INDEX(Perioade!$D$6:$D$40,MATCH(A318,Perioade!$C$6:$C$40,1)),MATCH(A318,Perioade!$C$6:$C$40,1),""),"")</f>
        <v/>
      </c>
    </row>
    <row r="319" spans="1:11" x14ac:dyDescent="0.2">
      <c r="A319" s="61">
        <f t="shared" si="8"/>
        <v>46634</v>
      </c>
      <c r="B319" s="71" t="str">
        <f t="shared" si="9"/>
        <v>Sâ</v>
      </c>
      <c r="C319" t="str">
        <f>IF(K319="","⚠ fără perioadă",INDEX(Perioade!$A$6:$A$40,K319))</f>
        <v>⚠ fără perioadă</v>
      </c>
      <c r="D319" s="71" t="str">
        <f>IF(K319="","",INDEX(Calcule!$C$6:$C$40,K319))</f>
        <v/>
      </c>
      <c r="E319" s="71" t="str">
        <f>IF(K319="","",INDEX(Calcule!$B$6:$B$40,K319))</f>
        <v/>
      </c>
      <c r="F319" s="12" t="str">
        <f>IF(K319="","",INDEX(Calcule!$R$6:$R$40,K319))</f>
        <v/>
      </c>
      <c r="G319" s="12" t="str">
        <f>IF(K319="","",INDEX(Calcule!$Y$6:$Y$40,K319))</f>
        <v/>
      </c>
      <c r="H319" s="12" t="str">
        <f>IF(K319="","",INDEX(Calcule!$AE$6:$AE$40,K319))</f>
        <v/>
      </c>
      <c r="I319" s="12" t="str">
        <f>IF(K319="","",INDEX(Calcule!$AI$6:$AI$40,K319))</f>
        <v/>
      </c>
      <c r="J319" s="12" t="str">
        <f>IF(K319="","",INDEX(Calcule!$U$6:$U$40,K319))</f>
        <v/>
      </c>
      <c r="K319" s="72" t="str">
        <f>IFERROR(IF(A319&lt;=INDEX(Perioade!$D$6:$D$40,MATCH(A319,Perioade!$C$6:$C$40,1)),MATCH(A319,Perioade!$C$6:$C$40,1),""),"")</f>
        <v/>
      </c>
    </row>
    <row r="320" spans="1:11" x14ac:dyDescent="0.2">
      <c r="A320" s="61">
        <f t="shared" si="8"/>
        <v>46635</v>
      </c>
      <c r="B320" s="71" t="str">
        <f t="shared" si="9"/>
        <v>Du</v>
      </c>
      <c r="C320" t="str">
        <f>IF(K320="","⚠ fără perioadă",INDEX(Perioade!$A$6:$A$40,K320))</f>
        <v>⚠ fără perioadă</v>
      </c>
      <c r="D320" s="71" t="str">
        <f>IF(K320="","",INDEX(Calcule!$C$6:$C$40,K320))</f>
        <v/>
      </c>
      <c r="E320" s="71" t="str">
        <f>IF(K320="","",INDEX(Calcule!$B$6:$B$40,K320))</f>
        <v/>
      </c>
      <c r="F320" s="12" t="str">
        <f>IF(K320="","",INDEX(Calcule!$R$6:$R$40,K320))</f>
        <v/>
      </c>
      <c r="G320" s="12" t="str">
        <f>IF(K320="","",INDEX(Calcule!$Y$6:$Y$40,K320))</f>
        <v/>
      </c>
      <c r="H320" s="12" t="str">
        <f>IF(K320="","",INDEX(Calcule!$AE$6:$AE$40,K320))</f>
        <v/>
      </c>
      <c r="I320" s="12" t="str">
        <f>IF(K320="","",INDEX(Calcule!$AI$6:$AI$40,K320))</f>
        <v/>
      </c>
      <c r="J320" s="12" t="str">
        <f>IF(K320="","",INDEX(Calcule!$U$6:$U$40,K320))</f>
        <v/>
      </c>
      <c r="K320" s="72" t="str">
        <f>IFERROR(IF(A320&lt;=INDEX(Perioade!$D$6:$D$40,MATCH(A320,Perioade!$C$6:$C$40,1)),MATCH(A320,Perioade!$C$6:$C$40,1),""),"")</f>
        <v/>
      </c>
    </row>
    <row r="321" spans="1:11" x14ac:dyDescent="0.2">
      <c r="A321" s="61">
        <f t="shared" si="8"/>
        <v>46636</v>
      </c>
      <c r="B321" s="71" t="str">
        <f t="shared" si="9"/>
        <v>Lu</v>
      </c>
      <c r="C321" t="str">
        <f>IF(K321="","⚠ fără perioadă",INDEX(Perioade!$A$6:$A$40,K321))</f>
        <v>⚠ fără perioadă</v>
      </c>
      <c r="D321" s="71" t="str">
        <f>IF(K321="","",INDEX(Calcule!$C$6:$C$40,K321))</f>
        <v/>
      </c>
      <c r="E321" s="71" t="str">
        <f>IF(K321="","",INDEX(Calcule!$B$6:$B$40,K321))</f>
        <v/>
      </c>
      <c r="F321" s="12" t="str">
        <f>IF(K321="","",INDEX(Calcule!$R$6:$R$40,K321))</f>
        <v/>
      </c>
      <c r="G321" s="12" t="str">
        <f>IF(K321="","",INDEX(Calcule!$Y$6:$Y$40,K321))</f>
        <v/>
      </c>
      <c r="H321" s="12" t="str">
        <f>IF(K321="","",INDEX(Calcule!$AE$6:$AE$40,K321))</f>
        <v/>
      </c>
      <c r="I321" s="12" t="str">
        <f>IF(K321="","",INDEX(Calcule!$AI$6:$AI$40,K321))</f>
        <v/>
      </c>
      <c r="J321" s="12" t="str">
        <f>IF(K321="","",INDEX(Calcule!$U$6:$U$40,K321))</f>
        <v/>
      </c>
      <c r="K321" s="72" t="str">
        <f>IFERROR(IF(A321&lt;=INDEX(Perioade!$D$6:$D$40,MATCH(A321,Perioade!$C$6:$C$40,1)),MATCH(A321,Perioade!$C$6:$C$40,1),""),"")</f>
        <v/>
      </c>
    </row>
    <row r="322" spans="1:11" x14ac:dyDescent="0.2">
      <c r="A322" s="61">
        <f t="shared" si="8"/>
        <v>46637</v>
      </c>
      <c r="B322" s="71" t="str">
        <f t="shared" si="9"/>
        <v>Ma</v>
      </c>
      <c r="C322" t="str">
        <f>IF(K322="","⚠ fără perioadă",INDEX(Perioade!$A$6:$A$40,K322))</f>
        <v>⚠ fără perioadă</v>
      </c>
      <c r="D322" s="71" t="str">
        <f>IF(K322="","",INDEX(Calcule!$C$6:$C$40,K322))</f>
        <v/>
      </c>
      <c r="E322" s="71" t="str">
        <f>IF(K322="","",INDEX(Calcule!$B$6:$B$40,K322))</f>
        <v/>
      </c>
      <c r="F322" s="12" t="str">
        <f>IF(K322="","",INDEX(Calcule!$R$6:$R$40,K322))</f>
        <v/>
      </c>
      <c r="G322" s="12" t="str">
        <f>IF(K322="","",INDEX(Calcule!$Y$6:$Y$40,K322))</f>
        <v/>
      </c>
      <c r="H322" s="12" t="str">
        <f>IF(K322="","",INDEX(Calcule!$AE$6:$AE$40,K322))</f>
        <v/>
      </c>
      <c r="I322" s="12" t="str">
        <f>IF(K322="","",INDEX(Calcule!$AI$6:$AI$40,K322))</f>
        <v/>
      </c>
      <c r="J322" s="12" t="str">
        <f>IF(K322="","",INDEX(Calcule!$U$6:$U$40,K322))</f>
        <v/>
      </c>
      <c r="K322" s="72" t="str">
        <f>IFERROR(IF(A322&lt;=INDEX(Perioade!$D$6:$D$40,MATCH(A322,Perioade!$C$6:$C$40,1)),MATCH(A322,Perioade!$C$6:$C$40,1),""),"")</f>
        <v/>
      </c>
    </row>
    <row r="323" spans="1:11" x14ac:dyDescent="0.2">
      <c r="A323" s="61">
        <f t="shared" si="8"/>
        <v>46638</v>
      </c>
      <c r="B323" s="71" t="str">
        <f t="shared" si="9"/>
        <v>Mi</v>
      </c>
      <c r="C323" t="str">
        <f>IF(K323="","⚠ fără perioadă",INDEX(Perioade!$A$6:$A$40,K323))</f>
        <v>⚠ fără perioadă</v>
      </c>
      <c r="D323" s="71" t="str">
        <f>IF(K323="","",INDEX(Calcule!$C$6:$C$40,K323))</f>
        <v/>
      </c>
      <c r="E323" s="71" t="str">
        <f>IF(K323="","",INDEX(Calcule!$B$6:$B$40,K323))</f>
        <v/>
      </c>
      <c r="F323" s="12" t="str">
        <f>IF(K323="","",INDEX(Calcule!$R$6:$R$40,K323))</f>
        <v/>
      </c>
      <c r="G323" s="12" t="str">
        <f>IF(K323="","",INDEX(Calcule!$Y$6:$Y$40,K323))</f>
        <v/>
      </c>
      <c r="H323" s="12" t="str">
        <f>IF(K323="","",INDEX(Calcule!$AE$6:$AE$40,K323))</f>
        <v/>
      </c>
      <c r="I323" s="12" t="str">
        <f>IF(K323="","",INDEX(Calcule!$AI$6:$AI$40,K323))</f>
        <v/>
      </c>
      <c r="J323" s="12" t="str">
        <f>IF(K323="","",INDEX(Calcule!$U$6:$U$40,K323))</f>
        <v/>
      </c>
      <c r="K323" s="72" t="str">
        <f>IFERROR(IF(A323&lt;=INDEX(Perioade!$D$6:$D$40,MATCH(A323,Perioade!$C$6:$C$40,1)),MATCH(A323,Perioade!$C$6:$C$40,1),""),"")</f>
        <v/>
      </c>
    </row>
    <row r="324" spans="1:11" x14ac:dyDescent="0.2">
      <c r="A324" s="61">
        <f t="shared" si="8"/>
        <v>46639</v>
      </c>
      <c r="B324" s="71" t="str">
        <f t="shared" si="9"/>
        <v>Jo</v>
      </c>
      <c r="C324" t="str">
        <f>IF(K324="","⚠ fără perioadă",INDEX(Perioade!$A$6:$A$40,K324))</f>
        <v>⚠ fără perioadă</v>
      </c>
      <c r="D324" s="71" t="str">
        <f>IF(K324="","",INDEX(Calcule!$C$6:$C$40,K324))</f>
        <v/>
      </c>
      <c r="E324" s="71" t="str">
        <f>IF(K324="","",INDEX(Calcule!$B$6:$B$40,K324))</f>
        <v/>
      </c>
      <c r="F324" s="12" t="str">
        <f>IF(K324="","",INDEX(Calcule!$R$6:$R$40,K324))</f>
        <v/>
      </c>
      <c r="G324" s="12" t="str">
        <f>IF(K324="","",INDEX(Calcule!$Y$6:$Y$40,K324))</f>
        <v/>
      </c>
      <c r="H324" s="12" t="str">
        <f>IF(K324="","",INDEX(Calcule!$AE$6:$AE$40,K324))</f>
        <v/>
      </c>
      <c r="I324" s="12" t="str">
        <f>IF(K324="","",INDEX(Calcule!$AI$6:$AI$40,K324))</f>
        <v/>
      </c>
      <c r="J324" s="12" t="str">
        <f>IF(K324="","",INDEX(Calcule!$U$6:$U$40,K324))</f>
        <v/>
      </c>
      <c r="K324" s="72" t="str">
        <f>IFERROR(IF(A324&lt;=INDEX(Perioade!$D$6:$D$40,MATCH(A324,Perioade!$C$6:$C$40,1)),MATCH(A324,Perioade!$C$6:$C$40,1),""),"")</f>
        <v/>
      </c>
    </row>
    <row r="325" spans="1:11" x14ac:dyDescent="0.2">
      <c r="A325" s="61">
        <f t="shared" ref="A325:A369" si="10">$B$2+ROW()-5</f>
        <v>46640</v>
      </c>
      <c r="B325" s="71" t="str">
        <f t="shared" ref="B325:B369" si="11">CHOOSE(WEEKDAY(A325,2),"Lu","Ma","Mi","Jo","Vi","Sâ","Du")</f>
        <v>Vi</v>
      </c>
      <c r="C325" t="str">
        <f>IF(K325="","⚠ fără perioadă",INDEX(Perioade!$A$6:$A$40,K325))</f>
        <v>⚠ fără perioadă</v>
      </c>
      <c r="D325" s="71" t="str">
        <f>IF(K325="","",INDEX(Calcule!$C$6:$C$40,K325))</f>
        <v/>
      </c>
      <c r="E325" s="71" t="str">
        <f>IF(K325="","",INDEX(Calcule!$B$6:$B$40,K325))</f>
        <v/>
      </c>
      <c r="F325" s="12" t="str">
        <f>IF(K325="","",INDEX(Calcule!$R$6:$R$40,K325))</f>
        <v/>
      </c>
      <c r="G325" s="12" t="str">
        <f>IF(K325="","",INDEX(Calcule!$Y$6:$Y$40,K325))</f>
        <v/>
      </c>
      <c r="H325" s="12" t="str">
        <f>IF(K325="","",INDEX(Calcule!$AE$6:$AE$40,K325))</f>
        <v/>
      </c>
      <c r="I325" s="12" t="str">
        <f>IF(K325="","",INDEX(Calcule!$AI$6:$AI$40,K325))</f>
        <v/>
      </c>
      <c r="J325" s="12" t="str">
        <f>IF(K325="","",INDEX(Calcule!$U$6:$U$40,K325))</f>
        <v/>
      </c>
      <c r="K325" s="72" t="str">
        <f>IFERROR(IF(A325&lt;=INDEX(Perioade!$D$6:$D$40,MATCH(A325,Perioade!$C$6:$C$40,1)),MATCH(A325,Perioade!$C$6:$C$40,1),""),"")</f>
        <v/>
      </c>
    </row>
    <row r="326" spans="1:11" x14ac:dyDescent="0.2">
      <c r="A326" s="61">
        <f t="shared" si="10"/>
        <v>46641</v>
      </c>
      <c r="B326" s="71" t="str">
        <f t="shared" si="11"/>
        <v>Sâ</v>
      </c>
      <c r="C326" t="str">
        <f>IF(K326="","⚠ fără perioadă",INDEX(Perioade!$A$6:$A$40,K326))</f>
        <v>⚠ fără perioadă</v>
      </c>
      <c r="D326" s="71" t="str">
        <f>IF(K326="","",INDEX(Calcule!$C$6:$C$40,K326))</f>
        <v/>
      </c>
      <c r="E326" s="71" t="str">
        <f>IF(K326="","",INDEX(Calcule!$B$6:$B$40,K326))</f>
        <v/>
      </c>
      <c r="F326" s="12" t="str">
        <f>IF(K326="","",INDEX(Calcule!$R$6:$R$40,K326))</f>
        <v/>
      </c>
      <c r="G326" s="12" t="str">
        <f>IF(K326="","",INDEX(Calcule!$Y$6:$Y$40,K326))</f>
        <v/>
      </c>
      <c r="H326" s="12" t="str">
        <f>IF(K326="","",INDEX(Calcule!$AE$6:$AE$40,K326))</f>
        <v/>
      </c>
      <c r="I326" s="12" t="str">
        <f>IF(K326="","",INDEX(Calcule!$AI$6:$AI$40,K326))</f>
        <v/>
      </c>
      <c r="J326" s="12" t="str">
        <f>IF(K326="","",INDEX(Calcule!$U$6:$U$40,K326))</f>
        <v/>
      </c>
      <c r="K326" s="72" t="str">
        <f>IFERROR(IF(A326&lt;=INDEX(Perioade!$D$6:$D$40,MATCH(A326,Perioade!$C$6:$C$40,1)),MATCH(A326,Perioade!$C$6:$C$40,1),""),"")</f>
        <v/>
      </c>
    </row>
    <row r="327" spans="1:11" x14ac:dyDescent="0.2">
      <c r="A327" s="61">
        <f t="shared" si="10"/>
        <v>46642</v>
      </c>
      <c r="B327" s="71" t="str">
        <f t="shared" si="11"/>
        <v>Du</v>
      </c>
      <c r="C327" t="str">
        <f>IF(K327="","⚠ fără perioadă",INDEX(Perioade!$A$6:$A$40,K327))</f>
        <v>⚠ fără perioadă</v>
      </c>
      <c r="D327" s="71" t="str">
        <f>IF(K327="","",INDEX(Calcule!$C$6:$C$40,K327))</f>
        <v/>
      </c>
      <c r="E327" s="71" t="str">
        <f>IF(K327="","",INDEX(Calcule!$B$6:$B$40,K327))</f>
        <v/>
      </c>
      <c r="F327" s="12" t="str">
        <f>IF(K327="","",INDEX(Calcule!$R$6:$R$40,K327))</f>
        <v/>
      </c>
      <c r="G327" s="12" t="str">
        <f>IF(K327="","",INDEX(Calcule!$Y$6:$Y$40,K327))</f>
        <v/>
      </c>
      <c r="H327" s="12" t="str">
        <f>IF(K327="","",INDEX(Calcule!$AE$6:$AE$40,K327))</f>
        <v/>
      </c>
      <c r="I327" s="12" t="str">
        <f>IF(K327="","",INDEX(Calcule!$AI$6:$AI$40,K327))</f>
        <v/>
      </c>
      <c r="J327" s="12" t="str">
        <f>IF(K327="","",INDEX(Calcule!$U$6:$U$40,K327))</f>
        <v/>
      </c>
      <c r="K327" s="72" t="str">
        <f>IFERROR(IF(A327&lt;=INDEX(Perioade!$D$6:$D$40,MATCH(A327,Perioade!$C$6:$C$40,1)),MATCH(A327,Perioade!$C$6:$C$40,1),""),"")</f>
        <v/>
      </c>
    </row>
    <row r="328" spans="1:11" x14ac:dyDescent="0.2">
      <c r="A328" s="61">
        <f t="shared" si="10"/>
        <v>46643</v>
      </c>
      <c r="B328" s="71" t="str">
        <f t="shared" si="11"/>
        <v>Lu</v>
      </c>
      <c r="C328" t="str">
        <f>IF(K328="","⚠ fără perioadă",INDEX(Perioade!$A$6:$A$40,K328))</f>
        <v>⚠ fără perioadă</v>
      </c>
      <c r="D328" s="71" t="str">
        <f>IF(K328="","",INDEX(Calcule!$C$6:$C$40,K328))</f>
        <v/>
      </c>
      <c r="E328" s="71" t="str">
        <f>IF(K328="","",INDEX(Calcule!$B$6:$B$40,K328))</f>
        <v/>
      </c>
      <c r="F328" s="12" t="str">
        <f>IF(K328="","",INDEX(Calcule!$R$6:$R$40,K328))</f>
        <v/>
      </c>
      <c r="G328" s="12" t="str">
        <f>IF(K328="","",INDEX(Calcule!$Y$6:$Y$40,K328))</f>
        <v/>
      </c>
      <c r="H328" s="12" t="str">
        <f>IF(K328="","",INDEX(Calcule!$AE$6:$AE$40,K328))</f>
        <v/>
      </c>
      <c r="I328" s="12" t="str">
        <f>IF(K328="","",INDEX(Calcule!$AI$6:$AI$40,K328))</f>
        <v/>
      </c>
      <c r="J328" s="12" t="str">
        <f>IF(K328="","",INDEX(Calcule!$U$6:$U$40,K328))</f>
        <v/>
      </c>
      <c r="K328" s="72" t="str">
        <f>IFERROR(IF(A328&lt;=INDEX(Perioade!$D$6:$D$40,MATCH(A328,Perioade!$C$6:$C$40,1)),MATCH(A328,Perioade!$C$6:$C$40,1),""),"")</f>
        <v/>
      </c>
    </row>
    <row r="329" spans="1:11" x14ac:dyDescent="0.2">
      <c r="A329" s="61">
        <f t="shared" si="10"/>
        <v>46644</v>
      </c>
      <c r="B329" s="71" t="str">
        <f t="shared" si="11"/>
        <v>Ma</v>
      </c>
      <c r="C329" t="str">
        <f>IF(K329="","⚠ fără perioadă",INDEX(Perioade!$A$6:$A$40,K329))</f>
        <v>⚠ fără perioadă</v>
      </c>
      <c r="D329" s="71" t="str">
        <f>IF(K329="","",INDEX(Calcule!$C$6:$C$40,K329))</f>
        <v/>
      </c>
      <c r="E329" s="71" t="str">
        <f>IF(K329="","",INDEX(Calcule!$B$6:$B$40,K329))</f>
        <v/>
      </c>
      <c r="F329" s="12" t="str">
        <f>IF(K329="","",INDEX(Calcule!$R$6:$R$40,K329))</f>
        <v/>
      </c>
      <c r="G329" s="12" t="str">
        <f>IF(K329="","",INDEX(Calcule!$Y$6:$Y$40,K329))</f>
        <v/>
      </c>
      <c r="H329" s="12" t="str">
        <f>IF(K329="","",INDEX(Calcule!$AE$6:$AE$40,K329))</f>
        <v/>
      </c>
      <c r="I329" s="12" t="str">
        <f>IF(K329="","",INDEX(Calcule!$AI$6:$AI$40,K329))</f>
        <v/>
      </c>
      <c r="J329" s="12" t="str">
        <f>IF(K329="","",INDEX(Calcule!$U$6:$U$40,K329))</f>
        <v/>
      </c>
      <c r="K329" s="72" t="str">
        <f>IFERROR(IF(A329&lt;=INDEX(Perioade!$D$6:$D$40,MATCH(A329,Perioade!$C$6:$C$40,1)),MATCH(A329,Perioade!$C$6:$C$40,1),""),"")</f>
        <v/>
      </c>
    </row>
    <row r="330" spans="1:11" x14ac:dyDescent="0.2">
      <c r="A330" s="61">
        <f t="shared" si="10"/>
        <v>46645</v>
      </c>
      <c r="B330" s="71" t="str">
        <f t="shared" si="11"/>
        <v>Mi</v>
      </c>
      <c r="C330" t="str">
        <f>IF(K330="","⚠ fără perioadă",INDEX(Perioade!$A$6:$A$40,K330))</f>
        <v>⚠ fără perioadă</v>
      </c>
      <c r="D330" s="71" t="str">
        <f>IF(K330="","",INDEX(Calcule!$C$6:$C$40,K330))</f>
        <v/>
      </c>
      <c r="E330" s="71" t="str">
        <f>IF(K330="","",INDEX(Calcule!$B$6:$B$40,K330))</f>
        <v/>
      </c>
      <c r="F330" s="12" t="str">
        <f>IF(K330="","",INDEX(Calcule!$R$6:$R$40,K330))</f>
        <v/>
      </c>
      <c r="G330" s="12" t="str">
        <f>IF(K330="","",INDEX(Calcule!$Y$6:$Y$40,K330))</f>
        <v/>
      </c>
      <c r="H330" s="12" t="str">
        <f>IF(K330="","",INDEX(Calcule!$AE$6:$AE$40,K330))</f>
        <v/>
      </c>
      <c r="I330" s="12" t="str">
        <f>IF(K330="","",INDEX(Calcule!$AI$6:$AI$40,K330))</f>
        <v/>
      </c>
      <c r="J330" s="12" t="str">
        <f>IF(K330="","",INDEX(Calcule!$U$6:$U$40,K330))</f>
        <v/>
      </c>
      <c r="K330" s="72" t="str">
        <f>IFERROR(IF(A330&lt;=INDEX(Perioade!$D$6:$D$40,MATCH(A330,Perioade!$C$6:$C$40,1)),MATCH(A330,Perioade!$C$6:$C$40,1),""),"")</f>
        <v/>
      </c>
    </row>
    <row r="331" spans="1:11" x14ac:dyDescent="0.2">
      <c r="A331" s="61">
        <f t="shared" si="10"/>
        <v>46646</v>
      </c>
      <c r="B331" s="71" t="str">
        <f t="shared" si="11"/>
        <v>Jo</v>
      </c>
      <c r="C331" t="str">
        <f>IF(K331="","⚠ fără perioadă",INDEX(Perioade!$A$6:$A$40,K331))</f>
        <v>⚠ fără perioadă</v>
      </c>
      <c r="D331" s="71" t="str">
        <f>IF(K331="","",INDEX(Calcule!$C$6:$C$40,K331))</f>
        <v/>
      </c>
      <c r="E331" s="71" t="str">
        <f>IF(K331="","",INDEX(Calcule!$B$6:$B$40,K331))</f>
        <v/>
      </c>
      <c r="F331" s="12" t="str">
        <f>IF(K331="","",INDEX(Calcule!$R$6:$R$40,K331))</f>
        <v/>
      </c>
      <c r="G331" s="12" t="str">
        <f>IF(K331="","",INDEX(Calcule!$Y$6:$Y$40,K331))</f>
        <v/>
      </c>
      <c r="H331" s="12" t="str">
        <f>IF(K331="","",INDEX(Calcule!$AE$6:$AE$40,K331))</f>
        <v/>
      </c>
      <c r="I331" s="12" t="str">
        <f>IF(K331="","",INDEX(Calcule!$AI$6:$AI$40,K331))</f>
        <v/>
      </c>
      <c r="J331" s="12" t="str">
        <f>IF(K331="","",INDEX(Calcule!$U$6:$U$40,K331))</f>
        <v/>
      </c>
      <c r="K331" s="72" t="str">
        <f>IFERROR(IF(A331&lt;=INDEX(Perioade!$D$6:$D$40,MATCH(A331,Perioade!$C$6:$C$40,1)),MATCH(A331,Perioade!$C$6:$C$40,1),""),"")</f>
        <v/>
      </c>
    </row>
    <row r="332" spans="1:11" x14ac:dyDescent="0.2">
      <c r="A332" s="61">
        <f t="shared" si="10"/>
        <v>46647</v>
      </c>
      <c r="B332" s="71" t="str">
        <f t="shared" si="11"/>
        <v>Vi</v>
      </c>
      <c r="C332" t="str">
        <f>IF(K332="","⚠ fără perioadă",INDEX(Perioade!$A$6:$A$40,K332))</f>
        <v>⚠ fără perioadă</v>
      </c>
      <c r="D332" s="71" t="str">
        <f>IF(K332="","",INDEX(Calcule!$C$6:$C$40,K332))</f>
        <v/>
      </c>
      <c r="E332" s="71" t="str">
        <f>IF(K332="","",INDEX(Calcule!$B$6:$B$40,K332))</f>
        <v/>
      </c>
      <c r="F332" s="12" t="str">
        <f>IF(K332="","",INDEX(Calcule!$R$6:$R$40,K332))</f>
        <v/>
      </c>
      <c r="G332" s="12" t="str">
        <f>IF(K332="","",INDEX(Calcule!$Y$6:$Y$40,K332))</f>
        <v/>
      </c>
      <c r="H332" s="12" t="str">
        <f>IF(K332="","",INDEX(Calcule!$AE$6:$AE$40,K332))</f>
        <v/>
      </c>
      <c r="I332" s="12" t="str">
        <f>IF(K332="","",INDEX(Calcule!$AI$6:$AI$40,K332))</f>
        <v/>
      </c>
      <c r="J332" s="12" t="str">
        <f>IF(K332="","",INDEX(Calcule!$U$6:$U$40,K332))</f>
        <v/>
      </c>
      <c r="K332" s="72" t="str">
        <f>IFERROR(IF(A332&lt;=INDEX(Perioade!$D$6:$D$40,MATCH(A332,Perioade!$C$6:$C$40,1)),MATCH(A332,Perioade!$C$6:$C$40,1),""),"")</f>
        <v/>
      </c>
    </row>
    <row r="333" spans="1:11" x14ac:dyDescent="0.2">
      <c r="A333" s="61">
        <f t="shared" si="10"/>
        <v>46648</v>
      </c>
      <c r="B333" s="71" t="str">
        <f t="shared" si="11"/>
        <v>Sâ</v>
      </c>
      <c r="C333" t="str">
        <f>IF(K333="","⚠ fără perioadă",INDEX(Perioade!$A$6:$A$40,K333))</f>
        <v>⚠ fără perioadă</v>
      </c>
      <c r="D333" s="71" t="str">
        <f>IF(K333="","",INDEX(Calcule!$C$6:$C$40,K333))</f>
        <v/>
      </c>
      <c r="E333" s="71" t="str">
        <f>IF(K333="","",INDEX(Calcule!$B$6:$B$40,K333))</f>
        <v/>
      </c>
      <c r="F333" s="12" t="str">
        <f>IF(K333="","",INDEX(Calcule!$R$6:$R$40,K333))</f>
        <v/>
      </c>
      <c r="G333" s="12" t="str">
        <f>IF(K333="","",INDEX(Calcule!$Y$6:$Y$40,K333))</f>
        <v/>
      </c>
      <c r="H333" s="12" t="str">
        <f>IF(K333="","",INDEX(Calcule!$AE$6:$AE$40,K333))</f>
        <v/>
      </c>
      <c r="I333" s="12" t="str">
        <f>IF(K333="","",INDEX(Calcule!$AI$6:$AI$40,K333))</f>
        <v/>
      </c>
      <c r="J333" s="12" t="str">
        <f>IF(K333="","",INDEX(Calcule!$U$6:$U$40,K333))</f>
        <v/>
      </c>
      <c r="K333" s="72" t="str">
        <f>IFERROR(IF(A333&lt;=INDEX(Perioade!$D$6:$D$40,MATCH(A333,Perioade!$C$6:$C$40,1)),MATCH(A333,Perioade!$C$6:$C$40,1),""),"")</f>
        <v/>
      </c>
    </row>
    <row r="334" spans="1:11" x14ac:dyDescent="0.2">
      <c r="A334" s="61">
        <f t="shared" si="10"/>
        <v>46649</v>
      </c>
      <c r="B334" s="71" t="str">
        <f t="shared" si="11"/>
        <v>Du</v>
      </c>
      <c r="C334" t="str">
        <f>IF(K334="","⚠ fără perioadă",INDEX(Perioade!$A$6:$A$40,K334))</f>
        <v>⚠ fără perioadă</v>
      </c>
      <c r="D334" s="71" t="str">
        <f>IF(K334="","",INDEX(Calcule!$C$6:$C$40,K334))</f>
        <v/>
      </c>
      <c r="E334" s="71" t="str">
        <f>IF(K334="","",INDEX(Calcule!$B$6:$B$40,K334))</f>
        <v/>
      </c>
      <c r="F334" s="12" t="str">
        <f>IF(K334="","",INDEX(Calcule!$R$6:$R$40,K334))</f>
        <v/>
      </c>
      <c r="G334" s="12" t="str">
        <f>IF(K334="","",INDEX(Calcule!$Y$6:$Y$40,K334))</f>
        <v/>
      </c>
      <c r="H334" s="12" t="str">
        <f>IF(K334="","",INDEX(Calcule!$AE$6:$AE$40,K334))</f>
        <v/>
      </c>
      <c r="I334" s="12" t="str">
        <f>IF(K334="","",INDEX(Calcule!$AI$6:$AI$40,K334))</f>
        <v/>
      </c>
      <c r="J334" s="12" t="str">
        <f>IF(K334="","",INDEX(Calcule!$U$6:$U$40,K334))</f>
        <v/>
      </c>
      <c r="K334" s="72" t="str">
        <f>IFERROR(IF(A334&lt;=INDEX(Perioade!$D$6:$D$40,MATCH(A334,Perioade!$C$6:$C$40,1)),MATCH(A334,Perioade!$C$6:$C$40,1),""),"")</f>
        <v/>
      </c>
    </row>
    <row r="335" spans="1:11" x14ac:dyDescent="0.2">
      <c r="A335" s="61">
        <f t="shared" si="10"/>
        <v>46650</v>
      </c>
      <c r="B335" s="71" t="str">
        <f t="shared" si="11"/>
        <v>Lu</v>
      </c>
      <c r="C335" t="str">
        <f>IF(K335="","⚠ fără perioadă",INDEX(Perioade!$A$6:$A$40,K335))</f>
        <v>⚠ fără perioadă</v>
      </c>
      <c r="D335" s="71" t="str">
        <f>IF(K335="","",INDEX(Calcule!$C$6:$C$40,K335))</f>
        <v/>
      </c>
      <c r="E335" s="71" t="str">
        <f>IF(K335="","",INDEX(Calcule!$B$6:$B$40,K335))</f>
        <v/>
      </c>
      <c r="F335" s="12" t="str">
        <f>IF(K335="","",INDEX(Calcule!$R$6:$R$40,K335))</f>
        <v/>
      </c>
      <c r="G335" s="12" t="str">
        <f>IF(K335="","",INDEX(Calcule!$Y$6:$Y$40,K335))</f>
        <v/>
      </c>
      <c r="H335" s="12" t="str">
        <f>IF(K335="","",INDEX(Calcule!$AE$6:$AE$40,K335))</f>
        <v/>
      </c>
      <c r="I335" s="12" t="str">
        <f>IF(K335="","",INDEX(Calcule!$AI$6:$AI$40,K335))</f>
        <v/>
      </c>
      <c r="J335" s="12" t="str">
        <f>IF(K335="","",INDEX(Calcule!$U$6:$U$40,K335))</f>
        <v/>
      </c>
      <c r="K335" s="72" t="str">
        <f>IFERROR(IF(A335&lt;=INDEX(Perioade!$D$6:$D$40,MATCH(A335,Perioade!$C$6:$C$40,1)),MATCH(A335,Perioade!$C$6:$C$40,1),""),"")</f>
        <v/>
      </c>
    </row>
    <row r="336" spans="1:11" x14ac:dyDescent="0.2">
      <c r="A336" s="61">
        <f t="shared" si="10"/>
        <v>46651</v>
      </c>
      <c r="B336" s="71" t="str">
        <f t="shared" si="11"/>
        <v>Ma</v>
      </c>
      <c r="C336" t="str">
        <f>IF(K336="","⚠ fără perioadă",INDEX(Perioade!$A$6:$A$40,K336))</f>
        <v>⚠ fără perioadă</v>
      </c>
      <c r="D336" s="71" t="str">
        <f>IF(K336="","",INDEX(Calcule!$C$6:$C$40,K336))</f>
        <v/>
      </c>
      <c r="E336" s="71" t="str">
        <f>IF(K336="","",INDEX(Calcule!$B$6:$B$40,K336))</f>
        <v/>
      </c>
      <c r="F336" s="12" t="str">
        <f>IF(K336="","",INDEX(Calcule!$R$6:$R$40,K336))</f>
        <v/>
      </c>
      <c r="G336" s="12" t="str">
        <f>IF(K336="","",INDEX(Calcule!$Y$6:$Y$40,K336))</f>
        <v/>
      </c>
      <c r="H336" s="12" t="str">
        <f>IF(K336="","",INDEX(Calcule!$AE$6:$AE$40,K336))</f>
        <v/>
      </c>
      <c r="I336" s="12" t="str">
        <f>IF(K336="","",INDEX(Calcule!$AI$6:$AI$40,K336))</f>
        <v/>
      </c>
      <c r="J336" s="12" t="str">
        <f>IF(K336="","",INDEX(Calcule!$U$6:$U$40,K336))</f>
        <v/>
      </c>
      <c r="K336" s="72" t="str">
        <f>IFERROR(IF(A336&lt;=INDEX(Perioade!$D$6:$D$40,MATCH(A336,Perioade!$C$6:$C$40,1)),MATCH(A336,Perioade!$C$6:$C$40,1),""),"")</f>
        <v/>
      </c>
    </row>
    <row r="337" spans="1:11" x14ac:dyDescent="0.2">
      <c r="A337" s="61">
        <f t="shared" si="10"/>
        <v>46652</v>
      </c>
      <c r="B337" s="71" t="str">
        <f t="shared" si="11"/>
        <v>Mi</v>
      </c>
      <c r="C337" t="str">
        <f>IF(K337="","⚠ fără perioadă",INDEX(Perioade!$A$6:$A$40,K337))</f>
        <v>⚠ fără perioadă</v>
      </c>
      <c r="D337" s="71" t="str">
        <f>IF(K337="","",INDEX(Calcule!$C$6:$C$40,K337))</f>
        <v/>
      </c>
      <c r="E337" s="71" t="str">
        <f>IF(K337="","",INDEX(Calcule!$B$6:$B$40,K337))</f>
        <v/>
      </c>
      <c r="F337" s="12" t="str">
        <f>IF(K337="","",INDEX(Calcule!$R$6:$R$40,K337))</f>
        <v/>
      </c>
      <c r="G337" s="12" t="str">
        <f>IF(K337="","",INDEX(Calcule!$Y$6:$Y$40,K337))</f>
        <v/>
      </c>
      <c r="H337" s="12" t="str">
        <f>IF(K337="","",INDEX(Calcule!$AE$6:$AE$40,K337))</f>
        <v/>
      </c>
      <c r="I337" s="12" t="str">
        <f>IF(K337="","",INDEX(Calcule!$AI$6:$AI$40,K337))</f>
        <v/>
      </c>
      <c r="J337" s="12" t="str">
        <f>IF(K337="","",INDEX(Calcule!$U$6:$U$40,K337))</f>
        <v/>
      </c>
      <c r="K337" s="72" t="str">
        <f>IFERROR(IF(A337&lt;=INDEX(Perioade!$D$6:$D$40,MATCH(A337,Perioade!$C$6:$C$40,1)),MATCH(A337,Perioade!$C$6:$C$40,1),""),"")</f>
        <v/>
      </c>
    </row>
    <row r="338" spans="1:11" x14ac:dyDescent="0.2">
      <c r="A338" s="61">
        <f t="shared" si="10"/>
        <v>46653</v>
      </c>
      <c r="B338" s="71" t="str">
        <f t="shared" si="11"/>
        <v>Jo</v>
      </c>
      <c r="C338" t="str">
        <f>IF(K338="","⚠ fără perioadă",INDEX(Perioade!$A$6:$A$40,K338))</f>
        <v>⚠ fără perioadă</v>
      </c>
      <c r="D338" s="71" t="str">
        <f>IF(K338="","",INDEX(Calcule!$C$6:$C$40,K338))</f>
        <v/>
      </c>
      <c r="E338" s="71" t="str">
        <f>IF(K338="","",INDEX(Calcule!$B$6:$B$40,K338))</f>
        <v/>
      </c>
      <c r="F338" s="12" t="str">
        <f>IF(K338="","",INDEX(Calcule!$R$6:$R$40,K338))</f>
        <v/>
      </c>
      <c r="G338" s="12" t="str">
        <f>IF(K338="","",INDEX(Calcule!$Y$6:$Y$40,K338))</f>
        <v/>
      </c>
      <c r="H338" s="12" t="str">
        <f>IF(K338="","",INDEX(Calcule!$AE$6:$AE$40,K338))</f>
        <v/>
      </c>
      <c r="I338" s="12" t="str">
        <f>IF(K338="","",INDEX(Calcule!$AI$6:$AI$40,K338))</f>
        <v/>
      </c>
      <c r="J338" s="12" t="str">
        <f>IF(K338="","",INDEX(Calcule!$U$6:$U$40,K338))</f>
        <v/>
      </c>
      <c r="K338" s="72" t="str">
        <f>IFERROR(IF(A338&lt;=INDEX(Perioade!$D$6:$D$40,MATCH(A338,Perioade!$C$6:$C$40,1)),MATCH(A338,Perioade!$C$6:$C$40,1),""),"")</f>
        <v/>
      </c>
    </row>
    <row r="339" spans="1:11" x14ac:dyDescent="0.2">
      <c r="A339" s="61">
        <f t="shared" si="10"/>
        <v>46654</v>
      </c>
      <c r="B339" s="71" t="str">
        <f t="shared" si="11"/>
        <v>Vi</v>
      </c>
      <c r="C339" t="str">
        <f>IF(K339="","⚠ fără perioadă",INDEX(Perioade!$A$6:$A$40,K339))</f>
        <v>⚠ fără perioadă</v>
      </c>
      <c r="D339" s="71" t="str">
        <f>IF(K339="","",INDEX(Calcule!$C$6:$C$40,K339))</f>
        <v/>
      </c>
      <c r="E339" s="71" t="str">
        <f>IF(K339="","",INDEX(Calcule!$B$6:$B$40,K339))</f>
        <v/>
      </c>
      <c r="F339" s="12" t="str">
        <f>IF(K339="","",INDEX(Calcule!$R$6:$R$40,K339))</f>
        <v/>
      </c>
      <c r="G339" s="12" t="str">
        <f>IF(K339="","",INDEX(Calcule!$Y$6:$Y$40,K339))</f>
        <v/>
      </c>
      <c r="H339" s="12" t="str">
        <f>IF(K339="","",INDEX(Calcule!$AE$6:$AE$40,K339))</f>
        <v/>
      </c>
      <c r="I339" s="12" t="str">
        <f>IF(K339="","",INDEX(Calcule!$AI$6:$AI$40,K339))</f>
        <v/>
      </c>
      <c r="J339" s="12" t="str">
        <f>IF(K339="","",INDEX(Calcule!$U$6:$U$40,K339))</f>
        <v/>
      </c>
      <c r="K339" s="72" t="str">
        <f>IFERROR(IF(A339&lt;=INDEX(Perioade!$D$6:$D$40,MATCH(A339,Perioade!$C$6:$C$40,1)),MATCH(A339,Perioade!$C$6:$C$40,1),""),"")</f>
        <v/>
      </c>
    </row>
    <row r="340" spans="1:11" x14ac:dyDescent="0.2">
      <c r="A340" s="61">
        <f t="shared" si="10"/>
        <v>46655</v>
      </c>
      <c r="B340" s="71" t="str">
        <f t="shared" si="11"/>
        <v>Sâ</v>
      </c>
      <c r="C340" t="str">
        <f>IF(K340="","⚠ fără perioadă",INDEX(Perioade!$A$6:$A$40,K340))</f>
        <v>⚠ fără perioadă</v>
      </c>
      <c r="D340" s="71" t="str">
        <f>IF(K340="","",INDEX(Calcule!$C$6:$C$40,K340))</f>
        <v/>
      </c>
      <c r="E340" s="71" t="str">
        <f>IF(K340="","",INDEX(Calcule!$B$6:$B$40,K340))</f>
        <v/>
      </c>
      <c r="F340" s="12" t="str">
        <f>IF(K340="","",INDEX(Calcule!$R$6:$R$40,K340))</f>
        <v/>
      </c>
      <c r="G340" s="12" t="str">
        <f>IF(K340="","",INDEX(Calcule!$Y$6:$Y$40,K340))</f>
        <v/>
      </c>
      <c r="H340" s="12" t="str">
        <f>IF(K340="","",INDEX(Calcule!$AE$6:$AE$40,K340))</f>
        <v/>
      </c>
      <c r="I340" s="12" t="str">
        <f>IF(K340="","",INDEX(Calcule!$AI$6:$AI$40,K340))</f>
        <v/>
      </c>
      <c r="J340" s="12" t="str">
        <f>IF(K340="","",INDEX(Calcule!$U$6:$U$40,K340))</f>
        <v/>
      </c>
      <c r="K340" s="72" t="str">
        <f>IFERROR(IF(A340&lt;=INDEX(Perioade!$D$6:$D$40,MATCH(A340,Perioade!$C$6:$C$40,1)),MATCH(A340,Perioade!$C$6:$C$40,1),""),"")</f>
        <v/>
      </c>
    </row>
    <row r="341" spans="1:11" x14ac:dyDescent="0.2">
      <c r="A341" s="61">
        <f t="shared" si="10"/>
        <v>46656</v>
      </c>
      <c r="B341" s="71" t="str">
        <f t="shared" si="11"/>
        <v>Du</v>
      </c>
      <c r="C341" t="str">
        <f>IF(K341="","⚠ fără perioadă",INDEX(Perioade!$A$6:$A$40,K341))</f>
        <v>⚠ fără perioadă</v>
      </c>
      <c r="D341" s="71" t="str">
        <f>IF(K341="","",INDEX(Calcule!$C$6:$C$40,K341))</f>
        <v/>
      </c>
      <c r="E341" s="71" t="str">
        <f>IF(K341="","",INDEX(Calcule!$B$6:$B$40,K341))</f>
        <v/>
      </c>
      <c r="F341" s="12" t="str">
        <f>IF(K341="","",INDEX(Calcule!$R$6:$R$40,K341))</f>
        <v/>
      </c>
      <c r="G341" s="12" t="str">
        <f>IF(K341="","",INDEX(Calcule!$Y$6:$Y$40,K341))</f>
        <v/>
      </c>
      <c r="H341" s="12" t="str">
        <f>IF(K341="","",INDEX(Calcule!$AE$6:$AE$40,K341))</f>
        <v/>
      </c>
      <c r="I341" s="12" t="str">
        <f>IF(K341="","",INDEX(Calcule!$AI$6:$AI$40,K341))</f>
        <v/>
      </c>
      <c r="J341" s="12" t="str">
        <f>IF(K341="","",INDEX(Calcule!$U$6:$U$40,K341))</f>
        <v/>
      </c>
      <c r="K341" s="72" t="str">
        <f>IFERROR(IF(A341&lt;=INDEX(Perioade!$D$6:$D$40,MATCH(A341,Perioade!$C$6:$C$40,1)),MATCH(A341,Perioade!$C$6:$C$40,1),""),"")</f>
        <v/>
      </c>
    </row>
    <row r="342" spans="1:11" x14ac:dyDescent="0.2">
      <c r="A342" s="61">
        <f t="shared" si="10"/>
        <v>46657</v>
      </c>
      <c r="B342" s="71" t="str">
        <f t="shared" si="11"/>
        <v>Lu</v>
      </c>
      <c r="C342" t="str">
        <f>IF(K342="","⚠ fără perioadă",INDEX(Perioade!$A$6:$A$40,K342))</f>
        <v>⚠ fără perioadă</v>
      </c>
      <c r="D342" s="71" t="str">
        <f>IF(K342="","",INDEX(Calcule!$C$6:$C$40,K342))</f>
        <v/>
      </c>
      <c r="E342" s="71" t="str">
        <f>IF(K342="","",INDEX(Calcule!$B$6:$B$40,K342))</f>
        <v/>
      </c>
      <c r="F342" s="12" t="str">
        <f>IF(K342="","",INDEX(Calcule!$R$6:$R$40,K342))</f>
        <v/>
      </c>
      <c r="G342" s="12" t="str">
        <f>IF(K342="","",INDEX(Calcule!$Y$6:$Y$40,K342))</f>
        <v/>
      </c>
      <c r="H342" s="12" t="str">
        <f>IF(K342="","",INDEX(Calcule!$AE$6:$AE$40,K342))</f>
        <v/>
      </c>
      <c r="I342" s="12" t="str">
        <f>IF(K342="","",INDEX(Calcule!$AI$6:$AI$40,K342))</f>
        <v/>
      </c>
      <c r="J342" s="12" t="str">
        <f>IF(K342="","",INDEX(Calcule!$U$6:$U$40,K342))</f>
        <v/>
      </c>
      <c r="K342" s="72" t="str">
        <f>IFERROR(IF(A342&lt;=INDEX(Perioade!$D$6:$D$40,MATCH(A342,Perioade!$C$6:$C$40,1)),MATCH(A342,Perioade!$C$6:$C$40,1),""),"")</f>
        <v/>
      </c>
    </row>
    <row r="343" spans="1:11" x14ac:dyDescent="0.2">
      <c r="A343" s="61">
        <f t="shared" si="10"/>
        <v>46658</v>
      </c>
      <c r="B343" s="71" t="str">
        <f t="shared" si="11"/>
        <v>Ma</v>
      </c>
      <c r="C343" t="str">
        <f>IF(K343="","⚠ fără perioadă",INDEX(Perioade!$A$6:$A$40,K343))</f>
        <v>⚠ fără perioadă</v>
      </c>
      <c r="D343" s="71" t="str">
        <f>IF(K343="","",INDEX(Calcule!$C$6:$C$40,K343))</f>
        <v/>
      </c>
      <c r="E343" s="71" t="str">
        <f>IF(K343="","",INDEX(Calcule!$B$6:$B$40,K343))</f>
        <v/>
      </c>
      <c r="F343" s="12" t="str">
        <f>IF(K343="","",INDEX(Calcule!$R$6:$R$40,K343))</f>
        <v/>
      </c>
      <c r="G343" s="12" t="str">
        <f>IF(K343="","",INDEX(Calcule!$Y$6:$Y$40,K343))</f>
        <v/>
      </c>
      <c r="H343" s="12" t="str">
        <f>IF(K343="","",INDEX(Calcule!$AE$6:$AE$40,K343))</f>
        <v/>
      </c>
      <c r="I343" s="12" t="str">
        <f>IF(K343="","",INDEX(Calcule!$AI$6:$AI$40,K343))</f>
        <v/>
      </c>
      <c r="J343" s="12" t="str">
        <f>IF(K343="","",INDEX(Calcule!$U$6:$U$40,K343))</f>
        <v/>
      </c>
      <c r="K343" s="72" t="str">
        <f>IFERROR(IF(A343&lt;=INDEX(Perioade!$D$6:$D$40,MATCH(A343,Perioade!$C$6:$C$40,1)),MATCH(A343,Perioade!$C$6:$C$40,1),""),"")</f>
        <v/>
      </c>
    </row>
    <row r="344" spans="1:11" x14ac:dyDescent="0.2">
      <c r="A344" s="61">
        <f t="shared" si="10"/>
        <v>46659</v>
      </c>
      <c r="B344" s="71" t="str">
        <f t="shared" si="11"/>
        <v>Mi</v>
      </c>
      <c r="C344" t="str">
        <f>IF(K344="","⚠ fără perioadă",INDEX(Perioade!$A$6:$A$40,K344))</f>
        <v>⚠ fără perioadă</v>
      </c>
      <c r="D344" s="71" t="str">
        <f>IF(K344="","",INDEX(Calcule!$C$6:$C$40,K344))</f>
        <v/>
      </c>
      <c r="E344" s="71" t="str">
        <f>IF(K344="","",INDEX(Calcule!$B$6:$B$40,K344))</f>
        <v/>
      </c>
      <c r="F344" s="12" t="str">
        <f>IF(K344="","",INDEX(Calcule!$R$6:$R$40,K344))</f>
        <v/>
      </c>
      <c r="G344" s="12" t="str">
        <f>IF(K344="","",INDEX(Calcule!$Y$6:$Y$40,K344))</f>
        <v/>
      </c>
      <c r="H344" s="12" t="str">
        <f>IF(K344="","",INDEX(Calcule!$AE$6:$AE$40,K344))</f>
        <v/>
      </c>
      <c r="I344" s="12" t="str">
        <f>IF(K344="","",INDEX(Calcule!$AI$6:$AI$40,K344))</f>
        <v/>
      </c>
      <c r="J344" s="12" t="str">
        <f>IF(K344="","",INDEX(Calcule!$U$6:$U$40,K344))</f>
        <v/>
      </c>
      <c r="K344" s="72" t="str">
        <f>IFERROR(IF(A344&lt;=INDEX(Perioade!$D$6:$D$40,MATCH(A344,Perioade!$C$6:$C$40,1)),MATCH(A344,Perioade!$C$6:$C$40,1),""),"")</f>
        <v/>
      </c>
    </row>
    <row r="345" spans="1:11" x14ac:dyDescent="0.2">
      <c r="A345" s="61">
        <f t="shared" si="10"/>
        <v>46660</v>
      </c>
      <c r="B345" s="71" t="str">
        <f t="shared" si="11"/>
        <v>Jo</v>
      </c>
      <c r="C345" t="str">
        <f>IF(K345="","⚠ fără perioadă",INDEX(Perioade!$A$6:$A$40,K345))</f>
        <v>⚠ fără perioadă</v>
      </c>
      <c r="D345" s="71" t="str">
        <f>IF(K345="","",INDEX(Calcule!$C$6:$C$40,K345))</f>
        <v/>
      </c>
      <c r="E345" s="71" t="str">
        <f>IF(K345="","",INDEX(Calcule!$B$6:$B$40,K345))</f>
        <v/>
      </c>
      <c r="F345" s="12" t="str">
        <f>IF(K345="","",INDEX(Calcule!$R$6:$R$40,K345))</f>
        <v/>
      </c>
      <c r="G345" s="12" t="str">
        <f>IF(K345="","",INDEX(Calcule!$Y$6:$Y$40,K345))</f>
        <v/>
      </c>
      <c r="H345" s="12" t="str">
        <f>IF(K345="","",INDEX(Calcule!$AE$6:$AE$40,K345))</f>
        <v/>
      </c>
      <c r="I345" s="12" t="str">
        <f>IF(K345="","",INDEX(Calcule!$AI$6:$AI$40,K345))</f>
        <v/>
      </c>
      <c r="J345" s="12" t="str">
        <f>IF(K345="","",INDEX(Calcule!$U$6:$U$40,K345))</f>
        <v/>
      </c>
      <c r="K345" s="72" t="str">
        <f>IFERROR(IF(A345&lt;=INDEX(Perioade!$D$6:$D$40,MATCH(A345,Perioade!$C$6:$C$40,1)),MATCH(A345,Perioade!$C$6:$C$40,1),""),"")</f>
        <v/>
      </c>
    </row>
    <row r="346" spans="1:11" x14ac:dyDescent="0.2">
      <c r="A346" s="61">
        <f t="shared" si="10"/>
        <v>46661</v>
      </c>
      <c r="B346" s="71" t="str">
        <f t="shared" si="11"/>
        <v>Vi</v>
      </c>
      <c r="C346" t="str">
        <f>IF(K346="","⚠ fără perioadă",INDEX(Perioade!$A$6:$A$40,K346))</f>
        <v>⚠ fără perioadă</v>
      </c>
      <c r="D346" s="71" t="str">
        <f>IF(K346="","",INDEX(Calcule!$C$6:$C$40,K346))</f>
        <v/>
      </c>
      <c r="E346" s="71" t="str">
        <f>IF(K346="","",INDEX(Calcule!$B$6:$B$40,K346))</f>
        <v/>
      </c>
      <c r="F346" s="12" t="str">
        <f>IF(K346="","",INDEX(Calcule!$R$6:$R$40,K346))</f>
        <v/>
      </c>
      <c r="G346" s="12" t="str">
        <f>IF(K346="","",INDEX(Calcule!$Y$6:$Y$40,K346))</f>
        <v/>
      </c>
      <c r="H346" s="12" t="str">
        <f>IF(K346="","",INDEX(Calcule!$AE$6:$AE$40,K346))</f>
        <v/>
      </c>
      <c r="I346" s="12" t="str">
        <f>IF(K346="","",INDEX(Calcule!$AI$6:$AI$40,K346))</f>
        <v/>
      </c>
      <c r="J346" s="12" t="str">
        <f>IF(K346="","",INDEX(Calcule!$U$6:$U$40,K346))</f>
        <v/>
      </c>
      <c r="K346" s="72" t="str">
        <f>IFERROR(IF(A346&lt;=INDEX(Perioade!$D$6:$D$40,MATCH(A346,Perioade!$C$6:$C$40,1)),MATCH(A346,Perioade!$C$6:$C$40,1),""),"")</f>
        <v/>
      </c>
    </row>
    <row r="347" spans="1:11" x14ac:dyDescent="0.2">
      <c r="A347" s="61">
        <f t="shared" si="10"/>
        <v>46662</v>
      </c>
      <c r="B347" s="71" t="str">
        <f t="shared" si="11"/>
        <v>Sâ</v>
      </c>
      <c r="C347" t="str">
        <f>IF(K347="","⚠ fără perioadă",INDEX(Perioade!$A$6:$A$40,K347))</f>
        <v>⚠ fără perioadă</v>
      </c>
      <c r="D347" s="71" t="str">
        <f>IF(K347="","",INDEX(Calcule!$C$6:$C$40,K347))</f>
        <v/>
      </c>
      <c r="E347" s="71" t="str">
        <f>IF(K347="","",INDEX(Calcule!$B$6:$B$40,K347))</f>
        <v/>
      </c>
      <c r="F347" s="12" t="str">
        <f>IF(K347="","",INDEX(Calcule!$R$6:$R$40,K347))</f>
        <v/>
      </c>
      <c r="G347" s="12" t="str">
        <f>IF(K347="","",INDEX(Calcule!$Y$6:$Y$40,K347))</f>
        <v/>
      </c>
      <c r="H347" s="12" t="str">
        <f>IF(K347="","",INDEX(Calcule!$AE$6:$AE$40,K347))</f>
        <v/>
      </c>
      <c r="I347" s="12" t="str">
        <f>IF(K347="","",INDEX(Calcule!$AI$6:$AI$40,K347))</f>
        <v/>
      </c>
      <c r="J347" s="12" t="str">
        <f>IF(K347="","",INDEX(Calcule!$U$6:$U$40,K347))</f>
        <v/>
      </c>
      <c r="K347" s="72" t="str">
        <f>IFERROR(IF(A347&lt;=INDEX(Perioade!$D$6:$D$40,MATCH(A347,Perioade!$C$6:$C$40,1)),MATCH(A347,Perioade!$C$6:$C$40,1),""),"")</f>
        <v/>
      </c>
    </row>
    <row r="348" spans="1:11" x14ac:dyDescent="0.2">
      <c r="A348" s="61">
        <f t="shared" si="10"/>
        <v>46663</v>
      </c>
      <c r="B348" s="71" t="str">
        <f t="shared" si="11"/>
        <v>Du</v>
      </c>
      <c r="C348" t="str">
        <f>IF(K348="","⚠ fără perioadă",INDEX(Perioade!$A$6:$A$40,K348))</f>
        <v>⚠ fără perioadă</v>
      </c>
      <c r="D348" s="71" t="str">
        <f>IF(K348="","",INDEX(Calcule!$C$6:$C$40,K348))</f>
        <v/>
      </c>
      <c r="E348" s="71" t="str">
        <f>IF(K348="","",INDEX(Calcule!$B$6:$B$40,K348))</f>
        <v/>
      </c>
      <c r="F348" s="12" t="str">
        <f>IF(K348="","",INDEX(Calcule!$R$6:$R$40,K348))</f>
        <v/>
      </c>
      <c r="G348" s="12" t="str">
        <f>IF(K348="","",INDEX(Calcule!$Y$6:$Y$40,K348))</f>
        <v/>
      </c>
      <c r="H348" s="12" t="str">
        <f>IF(K348="","",INDEX(Calcule!$AE$6:$AE$40,K348))</f>
        <v/>
      </c>
      <c r="I348" s="12" t="str">
        <f>IF(K348="","",INDEX(Calcule!$AI$6:$AI$40,K348))</f>
        <v/>
      </c>
      <c r="J348" s="12" t="str">
        <f>IF(K348="","",INDEX(Calcule!$U$6:$U$40,K348))</f>
        <v/>
      </c>
      <c r="K348" s="72" t="str">
        <f>IFERROR(IF(A348&lt;=INDEX(Perioade!$D$6:$D$40,MATCH(A348,Perioade!$C$6:$C$40,1)),MATCH(A348,Perioade!$C$6:$C$40,1),""),"")</f>
        <v/>
      </c>
    </row>
    <row r="349" spans="1:11" x14ac:dyDescent="0.2">
      <c r="A349" s="61">
        <f t="shared" si="10"/>
        <v>46664</v>
      </c>
      <c r="B349" s="71" t="str">
        <f t="shared" si="11"/>
        <v>Lu</v>
      </c>
      <c r="C349" t="str">
        <f>IF(K349="","⚠ fără perioadă",INDEX(Perioade!$A$6:$A$40,K349))</f>
        <v>⚠ fără perioadă</v>
      </c>
      <c r="D349" s="71" t="str">
        <f>IF(K349="","",INDEX(Calcule!$C$6:$C$40,K349))</f>
        <v/>
      </c>
      <c r="E349" s="71" t="str">
        <f>IF(K349="","",INDEX(Calcule!$B$6:$B$40,K349))</f>
        <v/>
      </c>
      <c r="F349" s="12" t="str">
        <f>IF(K349="","",INDEX(Calcule!$R$6:$R$40,K349))</f>
        <v/>
      </c>
      <c r="G349" s="12" t="str">
        <f>IF(K349="","",INDEX(Calcule!$Y$6:$Y$40,K349))</f>
        <v/>
      </c>
      <c r="H349" s="12" t="str">
        <f>IF(K349="","",INDEX(Calcule!$AE$6:$AE$40,K349))</f>
        <v/>
      </c>
      <c r="I349" s="12" t="str">
        <f>IF(K349="","",INDEX(Calcule!$AI$6:$AI$40,K349))</f>
        <v/>
      </c>
      <c r="J349" s="12" t="str">
        <f>IF(K349="","",INDEX(Calcule!$U$6:$U$40,K349))</f>
        <v/>
      </c>
      <c r="K349" s="72" t="str">
        <f>IFERROR(IF(A349&lt;=INDEX(Perioade!$D$6:$D$40,MATCH(A349,Perioade!$C$6:$C$40,1)),MATCH(A349,Perioade!$C$6:$C$40,1),""),"")</f>
        <v/>
      </c>
    </row>
    <row r="350" spans="1:11" x14ac:dyDescent="0.2">
      <c r="A350" s="61">
        <f t="shared" si="10"/>
        <v>46665</v>
      </c>
      <c r="B350" s="71" t="str">
        <f t="shared" si="11"/>
        <v>Ma</v>
      </c>
      <c r="C350" t="str">
        <f>IF(K350="","⚠ fără perioadă",INDEX(Perioade!$A$6:$A$40,K350))</f>
        <v>⚠ fără perioadă</v>
      </c>
      <c r="D350" s="71" t="str">
        <f>IF(K350="","",INDEX(Calcule!$C$6:$C$40,K350))</f>
        <v/>
      </c>
      <c r="E350" s="71" t="str">
        <f>IF(K350="","",INDEX(Calcule!$B$6:$B$40,K350))</f>
        <v/>
      </c>
      <c r="F350" s="12" t="str">
        <f>IF(K350="","",INDEX(Calcule!$R$6:$R$40,K350))</f>
        <v/>
      </c>
      <c r="G350" s="12" t="str">
        <f>IF(K350="","",INDEX(Calcule!$Y$6:$Y$40,K350))</f>
        <v/>
      </c>
      <c r="H350" s="12" t="str">
        <f>IF(K350="","",INDEX(Calcule!$AE$6:$AE$40,K350))</f>
        <v/>
      </c>
      <c r="I350" s="12" t="str">
        <f>IF(K350="","",INDEX(Calcule!$AI$6:$AI$40,K350))</f>
        <v/>
      </c>
      <c r="J350" s="12" t="str">
        <f>IF(K350="","",INDEX(Calcule!$U$6:$U$40,K350))</f>
        <v/>
      </c>
      <c r="K350" s="72" t="str">
        <f>IFERROR(IF(A350&lt;=INDEX(Perioade!$D$6:$D$40,MATCH(A350,Perioade!$C$6:$C$40,1)),MATCH(A350,Perioade!$C$6:$C$40,1),""),"")</f>
        <v/>
      </c>
    </row>
    <row r="351" spans="1:11" x14ac:dyDescent="0.2">
      <c r="A351" s="61">
        <f t="shared" si="10"/>
        <v>46666</v>
      </c>
      <c r="B351" s="71" t="str">
        <f t="shared" si="11"/>
        <v>Mi</v>
      </c>
      <c r="C351" t="str">
        <f>IF(K351="","⚠ fără perioadă",INDEX(Perioade!$A$6:$A$40,K351))</f>
        <v>⚠ fără perioadă</v>
      </c>
      <c r="D351" s="71" t="str">
        <f>IF(K351="","",INDEX(Calcule!$C$6:$C$40,K351))</f>
        <v/>
      </c>
      <c r="E351" s="71" t="str">
        <f>IF(K351="","",INDEX(Calcule!$B$6:$B$40,K351))</f>
        <v/>
      </c>
      <c r="F351" s="12" t="str">
        <f>IF(K351="","",INDEX(Calcule!$R$6:$R$40,K351))</f>
        <v/>
      </c>
      <c r="G351" s="12" t="str">
        <f>IF(K351="","",INDEX(Calcule!$Y$6:$Y$40,K351))</f>
        <v/>
      </c>
      <c r="H351" s="12" t="str">
        <f>IF(K351="","",INDEX(Calcule!$AE$6:$AE$40,K351))</f>
        <v/>
      </c>
      <c r="I351" s="12" t="str">
        <f>IF(K351="","",INDEX(Calcule!$AI$6:$AI$40,K351))</f>
        <v/>
      </c>
      <c r="J351" s="12" t="str">
        <f>IF(K351="","",INDEX(Calcule!$U$6:$U$40,K351))</f>
        <v/>
      </c>
      <c r="K351" s="72" t="str">
        <f>IFERROR(IF(A351&lt;=INDEX(Perioade!$D$6:$D$40,MATCH(A351,Perioade!$C$6:$C$40,1)),MATCH(A351,Perioade!$C$6:$C$40,1),""),"")</f>
        <v/>
      </c>
    </row>
    <row r="352" spans="1:11" x14ac:dyDescent="0.2">
      <c r="A352" s="61">
        <f t="shared" si="10"/>
        <v>46667</v>
      </c>
      <c r="B352" s="71" t="str">
        <f t="shared" si="11"/>
        <v>Jo</v>
      </c>
      <c r="C352" t="str">
        <f>IF(K352="","⚠ fără perioadă",INDEX(Perioade!$A$6:$A$40,K352))</f>
        <v>⚠ fără perioadă</v>
      </c>
      <c r="D352" s="71" t="str">
        <f>IF(K352="","",INDEX(Calcule!$C$6:$C$40,K352))</f>
        <v/>
      </c>
      <c r="E352" s="71" t="str">
        <f>IF(K352="","",INDEX(Calcule!$B$6:$B$40,K352))</f>
        <v/>
      </c>
      <c r="F352" s="12" t="str">
        <f>IF(K352="","",INDEX(Calcule!$R$6:$R$40,K352))</f>
        <v/>
      </c>
      <c r="G352" s="12" t="str">
        <f>IF(K352="","",INDEX(Calcule!$Y$6:$Y$40,K352))</f>
        <v/>
      </c>
      <c r="H352" s="12" t="str">
        <f>IF(K352="","",INDEX(Calcule!$AE$6:$AE$40,K352))</f>
        <v/>
      </c>
      <c r="I352" s="12" t="str">
        <f>IF(K352="","",INDEX(Calcule!$AI$6:$AI$40,K352))</f>
        <v/>
      </c>
      <c r="J352" s="12" t="str">
        <f>IF(K352="","",INDEX(Calcule!$U$6:$U$40,K352))</f>
        <v/>
      </c>
      <c r="K352" s="72" t="str">
        <f>IFERROR(IF(A352&lt;=INDEX(Perioade!$D$6:$D$40,MATCH(A352,Perioade!$C$6:$C$40,1)),MATCH(A352,Perioade!$C$6:$C$40,1),""),"")</f>
        <v/>
      </c>
    </row>
    <row r="353" spans="1:11" x14ac:dyDescent="0.2">
      <c r="A353" s="61">
        <f t="shared" si="10"/>
        <v>46668</v>
      </c>
      <c r="B353" s="71" t="str">
        <f t="shared" si="11"/>
        <v>Vi</v>
      </c>
      <c r="C353" t="str">
        <f>IF(K353="","⚠ fără perioadă",INDEX(Perioade!$A$6:$A$40,K353))</f>
        <v>⚠ fără perioadă</v>
      </c>
      <c r="D353" s="71" t="str">
        <f>IF(K353="","",INDEX(Calcule!$C$6:$C$40,K353))</f>
        <v/>
      </c>
      <c r="E353" s="71" t="str">
        <f>IF(K353="","",INDEX(Calcule!$B$6:$B$40,K353))</f>
        <v/>
      </c>
      <c r="F353" s="12" t="str">
        <f>IF(K353="","",INDEX(Calcule!$R$6:$R$40,K353))</f>
        <v/>
      </c>
      <c r="G353" s="12" t="str">
        <f>IF(K353="","",INDEX(Calcule!$Y$6:$Y$40,K353))</f>
        <v/>
      </c>
      <c r="H353" s="12" t="str">
        <f>IF(K353="","",INDEX(Calcule!$AE$6:$AE$40,K353))</f>
        <v/>
      </c>
      <c r="I353" s="12" t="str">
        <f>IF(K353="","",INDEX(Calcule!$AI$6:$AI$40,K353))</f>
        <v/>
      </c>
      <c r="J353" s="12" t="str">
        <f>IF(K353="","",INDEX(Calcule!$U$6:$U$40,K353))</f>
        <v/>
      </c>
      <c r="K353" s="72" t="str">
        <f>IFERROR(IF(A353&lt;=INDEX(Perioade!$D$6:$D$40,MATCH(A353,Perioade!$C$6:$C$40,1)),MATCH(A353,Perioade!$C$6:$C$40,1),""),"")</f>
        <v/>
      </c>
    </row>
    <row r="354" spans="1:11" x14ac:dyDescent="0.2">
      <c r="A354" s="61">
        <f t="shared" si="10"/>
        <v>46669</v>
      </c>
      <c r="B354" s="71" t="str">
        <f t="shared" si="11"/>
        <v>Sâ</v>
      </c>
      <c r="C354" t="str">
        <f>IF(K354="","⚠ fără perioadă",INDEX(Perioade!$A$6:$A$40,K354))</f>
        <v>⚠ fără perioadă</v>
      </c>
      <c r="D354" s="71" t="str">
        <f>IF(K354="","",INDEX(Calcule!$C$6:$C$40,K354))</f>
        <v/>
      </c>
      <c r="E354" s="71" t="str">
        <f>IF(K354="","",INDEX(Calcule!$B$6:$B$40,K354))</f>
        <v/>
      </c>
      <c r="F354" s="12" t="str">
        <f>IF(K354="","",INDEX(Calcule!$R$6:$R$40,K354))</f>
        <v/>
      </c>
      <c r="G354" s="12" t="str">
        <f>IF(K354="","",INDEX(Calcule!$Y$6:$Y$40,K354))</f>
        <v/>
      </c>
      <c r="H354" s="12" t="str">
        <f>IF(K354="","",INDEX(Calcule!$AE$6:$AE$40,K354))</f>
        <v/>
      </c>
      <c r="I354" s="12" t="str">
        <f>IF(K354="","",INDEX(Calcule!$AI$6:$AI$40,K354))</f>
        <v/>
      </c>
      <c r="J354" s="12" t="str">
        <f>IF(K354="","",INDEX(Calcule!$U$6:$U$40,K354))</f>
        <v/>
      </c>
      <c r="K354" s="72" t="str">
        <f>IFERROR(IF(A354&lt;=INDEX(Perioade!$D$6:$D$40,MATCH(A354,Perioade!$C$6:$C$40,1)),MATCH(A354,Perioade!$C$6:$C$40,1),""),"")</f>
        <v/>
      </c>
    </row>
    <row r="355" spans="1:11" x14ac:dyDescent="0.2">
      <c r="A355" s="61">
        <f t="shared" si="10"/>
        <v>46670</v>
      </c>
      <c r="B355" s="71" t="str">
        <f t="shared" si="11"/>
        <v>Du</v>
      </c>
      <c r="C355" t="str">
        <f>IF(K355="","⚠ fără perioadă",INDEX(Perioade!$A$6:$A$40,K355))</f>
        <v>⚠ fără perioadă</v>
      </c>
      <c r="D355" s="71" t="str">
        <f>IF(K355="","",INDEX(Calcule!$C$6:$C$40,K355))</f>
        <v/>
      </c>
      <c r="E355" s="71" t="str">
        <f>IF(K355="","",INDEX(Calcule!$B$6:$B$40,K355))</f>
        <v/>
      </c>
      <c r="F355" s="12" t="str">
        <f>IF(K355="","",INDEX(Calcule!$R$6:$R$40,K355))</f>
        <v/>
      </c>
      <c r="G355" s="12" t="str">
        <f>IF(K355="","",INDEX(Calcule!$Y$6:$Y$40,K355))</f>
        <v/>
      </c>
      <c r="H355" s="12" t="str">
        <f>IF(K355="","",INDEX(Calcule!$AE$6:$AE$40,K355))</f>
        <v/>
      </c>
      <c r="I355" s="12" t="str">
        <f>IF(K355="","",INDEX(Calcule!$AI$6:$AI$40,K355))</f>
        <v/>
      </c>
      <c r="J355" s="12" t="str">
        <f>IF(K355="","",INDEX(Calcule!$U$6:$U$40,K355))</f>
        <v/>
      </c>
      <c r="K355" s="72" t="str">
        <f>IFERROR(IF(A355&lt;=INDEX(Perioade!$D$6:$D$40,MATCH(A355,Perioade!$C$6:$C$40,1)),MATCH(A355,Perioade!$C$6:$C$40,1),""),"")</f>
        <v/>
      </c>
    </row>
    <row r="356" spans="1:11" x14ac:dyDescent="0.2">
      <c r="A356" s="61">
        <f t="shared" si="10"/>
        <v>46671</v>
      </c>
      <c r="B356" s="71" t="str">
        <f t="shared" si="11"/>
        <v>Lu</v>
      </c>
      <c r="C356" t="str">
        <f>IF(K356="","⚠ fără perioadă",INDEX(Perioade!$A$6:$A$40,K356))</f>
        <v>⚠ fără perioadă</v>
      </c>
      <c r="D356" s="71" t="str">
        <f>IF(K356="","",INDEX(Calcule!$C$6:$C$40,K356))</f>
        <v/>
      </c>
      <c r="E356" s="71" t="str">
        <f>IF(K356="","",INDEX(Calcule!$B$6:$B$40,K356))</f>
        <v/>
      </c>
      <c r="F356" s="12" t="str">
        <f>IF(K356="","",INDEX(Calcule!$R$6:$R$40,K356))</f>
        <v/>
      </c>
      <c r="G356" s="12" t="str">
        <f>IF(K356="","",INDEX(Calcule!$Y$6:$Y$40,K356))</f>
        <v/>
      </c>
      <c r="H356" s="12" t="str">
        <f>IF(K356="","",INDEX(Calcule!$AE$6:$AE$40,K356))</f>
        <v/>
      </c>
      <c r="I356" s="12" t="str">
        <f>IF(K356="","",INDEX(Calcule!$AI$6:$AI$40,K356))</f>
        <v/>
      </c>
      <c r="J356" s="12" t="str">
        <f>IF(K356="","",INDEX(Calcule!$U$6:$U$40,K356))</f>
        <v/>
      </c>
      <c r="K356" s="72" t="str">
        <f>IFERROR(IF(A356&lt;=INDEX(Perioade!$D$6:$D$40,MATCH(A356,Perioade!$C$6:$C$40,1)),MATCH(A356,Perioade!$C$6:$C$40,1),""),"")</f>
        <v/>
      </c>
    </row>
    <row r="357" spans="1:11" x14ac:dyDescent="0.2">
      <c r="A357" s="61">
        <f t="shared" si="10"/>
        <v>46672</v>
      </c>
      <c r="B357" s="71" t="str">
        <f t="shared" si="11"/>
        <v>Ma</v>
      </c>
      <c r="C357" t="str">
        <f>IF(K357="","⚠ fără perioadă",INDEX(Perioade!$A$6:$A$40,K357))</f>
        <v>⚠ fără perioadă</v>
      </c>
      <c r="D357" s="71" t="str">
        <f>IF(K357="","",INDEX(Calcule!$C$6:$C$40,K357))</f>
        <v/>
      </c>
      <c r="E357" s="71" t="str">
        <f>IF(K357="","",INDEX(Calcule!$B$6:$B$40,K357))</f>
        <v/>
      </c>
      <c r="F357" s="12" t="str">
        <f>IF(K357="","",INDEX(Calcule!$R$6:$R$40,K357))</f>
        <v/>
      </c>
      <c r="G357" s="12" t="str">
        <f>IF(K357="","",INDEX(Calcule!$Y$6:$Y$40,K357))</f>
        <v/>
      </c>
      <c r="H357" s="12" t="str">
        <f>IF(K357="","",INDEX(Calcule!$AE$6:$AE$40,K357))</f>
        <v/>
      </c>
      <c r="I357" s="12" t="str">
        <f>IF(K357="","",INDEX(Calcule!$AI$6:$AI$40,K357))</f>
        <v/>
      </c>
      <c r="J357" s="12" t="str">
        <f>IF(K357="","",INDEX(Calcule!$U$6:$U$40,K357))</f>
        <v/>
      </c>
      <c r="K357" s="72" t="str">
        <f>IFERROR(IF(A357&lt;=INDEX(Perioade!$D$6:$D$40,MATCH(A357,Perioade!$C$6:$C$40,1)),MATCH(A357,Perioade!$C$6:$C$40,1),""),"")</f>
        <v/>
      </c>
    </row>
    <row r="358" spans="1:11" x14ac:dyDescent="0.2">
      <c r="A358" s="61">
        <f t="shared" si="10"/>
        <v>46673</v>
      </c>
      <c r="B358" s="71" t="str">
        <f t="shared" si="11"/>
        <v>Mi</v>
      </c>
      <c r="C358" t="str">
        <f>IF(K358="","⚠ fără perioadă",INDEX(Perioade!$A$6:$A$40,K358))</f>
        <v>⚠ fără perioadă</v>
      </c>
      <c r="D358" s="71" t="str">
        <f>IF(K358="","",INDEX(Calcule!$C$6:$C$40,K358))</f>
        <v/>
      </c>
      <c r="E358" s="71" t="str">
        <f>IF(K358="","",INDEX(Calcule!$B$6:$B$40,K358))</f>
        <v/>
      </c>
      <c r="F358" s="12" t="str">
        <f>IF(K358="","",INDEX(Calcule!$R$6:$R$40,K358))</f>
        <v/>
      </c>
      <c r="G358" s="12" t="str">
        <f>IF(K358="","",INDEX(Calcule!$Y$6:$Y$40,K358))</f>
        <v/>
      </c>
      <c r="H358" s="12" t="str">
        <f>IF(K358="","",INDEX(Calcule!$AE$6:$AE$40,K358))</f>
        <v/>
      </c>
      <c r="I358" s="12" t="str">
        <f>IF(K358="","",INDEX(Calcule!$AI$6:$AI$40,K358))</f>
        <v/>
      </c>
      <c r="J358" s="12" t="str">
        <f>IF(K358="","",INDEX(Calcule!$U$6:$U$40,K358))</f>
        <v/>
      </c>
      <c r="K358" s="72" t="str">
        <f>IFERROR(IF(A358&lt;=INDEX(Perioade!$D$6:$D$40,MATCH(A358,Perioade!$C$6:$C$40,1)),MATCH(A358,Perioade!$C$6:$C$40,1),""),"")</f>
        <v/>
      </c>
    </row>
    <row r="359" spans="1:11" x14ac:dyDescent="0.2">
      <c r="A359" s="61">
        <f t="shared" si="10"/>
        <v>46674</v>
      </c>
      <c r="B359" s="71" t="str">
        <f t="shared" si="11"/>
        <v>Jo</v>
      </c>
      <c r="C359" t="str">
        <f>IF(K359="","⚠ fără perioadă",INDEX(Perioade!$A$6:$A$40,K359))</f>
        <v>⚠ fără perioadă</v>
      </c>
      <c r="D359" s="71" t="str">
        <f>IF(K359="","",INDEX(Calcule!$C$6:$C$40,K359))</f>
        <v/>
      </c>
      <c r="E359" s="71" t="str">
        <f>IF(K359="","",INDEX(Calcule!$B$6:$B$40,K359))</f>
        <v/>
      </c>
      <c r="F359" s="12" t="str">
        <f>IF(K359="","",INDEX(Calcule!$R$6:$R$40,K359))</f>
        <v/>
      </c>
      <c r="G359" s="12" t="str">
        <f>IF(K359="","",INDEX(Calcule!$Y$6:$Y$40,K359))</f>
        <v/>
      </c>
      <c r="H359" s="12" t="str">
        <f>IF(K359="","",INDEX(Calcule!$AE$6:$AE$40,K359))</f>
        <v/>
      </c>
      <c r="I359" s="12" t="str">
        <f>IF(K359="","",INDEX(Calcule!$AI$6:$AI$40,K359))</f>
        <v/>
      </c>
      <c r="J359" s="12" t="str">
        <f>IF(K359="","",INDEX(Calcule!$U$6:$U$40,K359))</f>
        <v/>
      </c>
      <c r="K359" s="72" t="str">
        <f>IFERROR(IF(A359&lt;=INDEX(Perioade!$D$6:$D$40,MATCH(A359,Perioade!$C$6:$C$40,1)),MATCH(A359,Perioade!$C$6:$C$40,1),""),"")</f>
        <v/>
      </c>
    </row>
    <row r="360" spans="1:11" x14ac:dyDescent="0.2">
      <c r="A360" s="61">
        <f t="shared" si="10"/>
        <v>46675</v>
      </c>
      <c r="B360" s="71" t="str">
        <f t="shared" si="11"/>
        <v>Vi</v>
      </c>
      <c r="C360" t="str">
        <f>IF(K360="","⚠ fără perioadă",INDEX(Perioade!$A$6:$A$40,K360))</f>
        <v>⚠ fără perioadă</v>
      </c>
      <c r="D360" s="71" t="str">
        <f>IF(K360="","",INDEX(Calcule!$C$6:$C$40,K360))</f>
        <v/>
      </c>
      <c r="E360" s="71" t="str">
        <f>IF(K360="","",INDEX(Calcule!$B$6:$B$40,K360))</f>
        <v/>
      </c>
      <c r="F360" s="12" t="str">
        <f>IF(K360="","",INDEX(Calcule!$R$6:$R$40,K360))</f>
        <v/>
      </c>
      <c r="G360" s="12" t="str">
        <f>IF(K360="","",INDEX(Calcule!$Y$6:$Y$40,K360))</f>
        <v/>
      </c>
      <c r="H360" s="12" t="str">
        <f>IF(K360="","",INDEX(Calcule!$AE$6:$AE$40,K360))</f>
        <v/>
      </c>
      <c r="I360" s="12" t="str">
        <f>IF(K360="","",INDEX(Calcule!$AI$6:$AI$40,K360))</f>
        <v/>
      </c>
      <c r="J360" s="12" t="str">
        <f>IF(K360="","",INDEX(Calcule!$U$6:$U$40,K360))</f>
        <v/>
      </c>
      <c r="K360" s="72" t="str">
        <f>IFERROR(IF(A360&lt;=INDEX(Perioade!$D$6:$D$40,MATCH(A360,Perioade!$C$6:$C$40,1)),MATCH(A360,Perioade!$C$6:$C$40,1),""),"")</f>
        <v/>
      </c>
    </row>
    <row r="361" spans="1:11" x14ac:dyDescent="0.2">
      <c r="A361" s="61">
        <f t="shared" si="10"/>
        <v>46676</v>
      </c>
      <c r="B361" s="71" t="str">
        <f t="shared" si="11"/>
        <v>Sâ</v>
      </c>
      <c r="C361" t="str">
        <f>IF(K361="","⚠ fără perioadă",INDEX(Perioade!$A$6:$A$40,K361))</f>
        <v>⚠ fără perioadă</v>
      </c>
      <c r="D361" s="71" t="str">
        <f>IF(K361="","",INDEX(Calcule!$C$6:$C$40,K361))</f>
        <v/>
      </c>
      <c r="E361" s="71" t="str">
        <f>IF(K361="","",INDEX(Calcule!$B$6:$B$40,K361))</f>
        <v/>
      </c>
      <c r="F361" s="12" t="str">
        <f>IF(K361="","",INDEX(Calcule!$R$6:$R$40,K361))</f>
        <v/>
      </c>
      <c r="G361" s="12" t="str">
        <f>IF(K361="","",INDEX(Calcule!$Y$6:$Y$40,K361))</f>
        <v/>
      </c>
      <c r="H361" s="12" t="str">
        <f>IF(K361="","",INDEX(Calcule!$AE$6:$AE$40,K361))</f>
        <v/>
      </c>
      <c r="I361" s="12" t="str">
        <f>IF(K361="","",INDEX(Calcule!$AI$6:$AI$40,K361))</f>
        <v/>
      </c>
      <c r="J361" s="12" t="str">
        <f>IF(K361="","",INDEX(Calcule!$U$6:$U$40,K361))</f>
        <v/>
      </c>
      <c r="K361" s="72" t="str">
        <f>IFERROR(IF(A361&lt;=INDEX(Perioade!$D$6:$D$40,MATCH(A361,Perioade!$C$6:$C$40,1)),MATCH(A361,Perioade!$C$6:$C$40,1),""),"")</f>
        <v/>
      </c>
    </row>
    <row r="362" spans="1:11" x14ac:dyDescent="0.2">
      <c r="A362" s="61">
        <f t="shared" si="10"/>
        <v>46677</v>
      </c>
      <c r="B362" s="71" t="str">
        <f t="shared" si="11"/>
        <v>Du</v>
      </c>
      <c r="C362" t="str">
        <f>IF(K362="","⚠ fără perioadă",INDEX(Perioade!$A$6:$A$40,K362))</f>
        <v>⚠ fără perioadă</v>
      </c>
      <c r="D362" s="71" t="str">
        <f>IF(K362="","",INDEX(Calcule!$C$6:$C$40,K362))</f>
        <v/>
      </c>
      <c r="E362" s="71" t="str">
        <f>IF(K362="","",INDEX(Calcule!$B$6:$B$40,K362))</f>
        <v/>
      </c>
      <c r="F362" s="12" t="str">
        <f>IF(K362="","",INDEX(Calcule!$R$6:$R$40,K362))</f>
        <v/>
      </c>
      <c r="G362" s="12" t="str">
        <f>IF(K362="","",INDEX(Calcule!$Y$6:$Y$40,K362))</f>
        <v/>
      </c>
      <c r="H362" s="12" t="str">
        <f>IF(K362="","",INDEX(Calcule!$AE$6:$AE$40,K362))</f>
        <v/>
      </c>
      <c r="I362" s="12" t="str">
        <f>IF(K362="","",INDEX(Calcule!$AI$6:$AI$40,K362))</f>
        <v/>
      </c>
      <c r="J362" s="12" t="str">
        <f>IF(K362="","",INDEX(Calcule!$U$6:$U$40,K362))</f>
        <v/>
      </c>
      <c r="K362" s="72" t="str">
        <f>IFERROR(IF(A362&lt;=INDEX(Perioade!$D$6:$D$40,MATCH(A362,Perioade!$C$6:$C$40,1)),MATCH(A362,Perioade!$C$6:$C$40,1),""),"")</f>
        <v/>
      </c>
    </row>
    <row r="363" spans="1:11" x14ac:dyDescent="0.2">
      <c r="A363" s="61">
        <f t="shared" si="10"/>
        <v>46678</v>
      </c>
      <c r="B363" s="71" t="str">
        <f t="shared" si="11"/>
        <v>Lu</v>
      </c>
      <c r="C363" t="str">
        <f>IF(K363="","⚠ fără perioadă",INDEX(Perioade!$A$6:$A$40,K363))</f>
        <v>⚠ fără perioadă</v>
      </c>
      <c r="D363" s="71" t="str">
        <f>IF(K363="","",INDEX(Calcule!$C$6:$C$40,K363))</f>
        <v/>
      </c>
      <c r="E363" s="71" t="str">
        <f>IF(K363="","",INDEX(Calcule!$B$6:$B$40,K363))</f>
        <v/>
      </c>
      <c r="F363" s="12" t="str">
        <f>IF(K363="","",INDEX(Calcule!$R$6:$R$40,K363))</f>
        <v/>
      </c>
      <c r="G363" s="12" t="str">
        <f>IF(K363="","",INDEX(Calcule!$Y$6:$Y$40,K363))</f>
        <v/>
      </c>
      <c r="H363" s="12" t="str">
        <f>IF(K363="","",INDEX(Calcule!$AE$6:$AE$40,K363))</f>
        <v/>
      </c>
      <c r="I363" s="12" t="str">
        <f>IF(K363="","",INDEX(Calcule!$AI$6:$AI$40,K363))</f>
        <v/>
      </c>
      <c r="J363" s="12" t="str">
        <f>IF(K363="","",INDEX(Calcule!$U$6:$U$40,K363))</f>
        <v/>
      </c>
      <c r="K363" s="72" t="str">
        <f>IFERROR(IF(A363&lt;=INDEX(Perioade!$D$6:$D$40,MATCH(A363,Perioade!$C$6:$C$40,1)),MATCH(A363,Perioade!$C$6:$C$40,1),""),"")</f>
        <v/>
      </c>
    </row>
    <row r="364" spans="1:11" x14ac:dyDescent="0.2">
      <c r="A364" s="61">
        <f t="shared" si="10"/>
        <v>46679</v>
      </c>
      <c r="B364" s="71" t="str">
        <f t="shared" si="11"/>
        <v>Ma</v>
      </c>
      <c r="C364" t="str">
        <f>IF(K364="","⚠ fără perioadă",INDEX(Perioade!$A$6:$A$40,K364))</f>
        <v>⚠ fără perioadă</v>
      </c>
      <c r="D364" s="71" t="str">
        <f>IF(K364="","",INDEX(Calcule!$C$6:$C$40,K364))</f>
        <v/>
      </c>
      <c r="E364" s="71" t="str">
        <f>IF(K364="","",INDEX(Calcule!$B$6:$B$40,K364))</f>
        <v/>
      </c>
      <c r="F364" s="12" t="str">
        <f>IF(K364="","",INDEX(Calcule!$R$6:$R$40,K364))</f>
        <v/>
      </c>
      <c r="G364" s="12" t="str">
        <f>IF(K364="","",INDEX(Calcule!$Y$6:$Y$40,K364))</f>
        <v/>
      </c>
      <c r="H364" s="12" t="str">
        <f>IF(K364="","",INDEX(Calcule!$AE$6:$AE$40,K364))</f>
        <v/>
      </c>
      <c r="I364" s="12" t="str">
        <f>IF(K364="","",INDEX(Calcule!$AI$6:$AI$40,K364))</f>
        <v/>
      </c>
      <c r="J364" s="12" t="str">
        <f>IF(K364="","",INDEX(Calcule!$U$6:$U$40,K364))</f>
        <v/>
      </c>
      <c r="K364" s="72" t="str">
        <f>IFERROR(IF(A364&lt;=INDEX(Perioade!$D$6:$D$40,MATCH(A364,Perioade!$C$6:$C$40,1)),MATCH(A364,Perioade!$C$6:$C$40,1),""),"")</f>
        <v/>
      </c>
    </row>
    <row r="365" spans="1:11" x14ac:dyDescent="0.2">
      <c r="A365" s="61">
        <f t="shared" si="10"/>
        <v>46680</v>
      </c>
      <c r="B365" s="71" t="str">
        <f t="shared" si="11"/>
        <v>Mi</v>
      </c>
      <c r="C365" t="str">
        <f>IF(K365="","⚠ fără perioadă",INDEX(Perioade!$A$6:$A$40,K365))</f>
        <v>⚠ fără perioadă</v>
      </c>
      <c r="D365" s="71" t="str">
        <f>IF(K365="","",INDEX(Calcule!$C$6:$C$40,K365))</f>
        <v/>
      </c>
      <c r="E365" s="71" t="str">
        <f>IF(K365="","",INDEX(Calcule!$B$6:$B$40,K365))</f>
        <v/>
      </c>
      <c r="F365" s="12" t="str">
        <f>IF(K365="","",INDEX(Calcule!$R$6:$R$40,K365))</f>
        <v/>
      </c>
      <c r="G365" s="12" t="str">
        <f>IF(K365="","",INDEX(Calcule!$Y$6:$Y$40,K365))</f>
        <v/>
      </c>
      <c r="H365" s="12" t="str">
        <f>IF(K365="","",INDEX(Calcule!$AE$6:$AE$40,K365))</f>
        <v/>
      </c>
      <c r="I365" s="12" t="str">
        <f>IF(K365="","",INDEX(Calcule!$AI$6:$AI$40,K365))</f>
        <v/>
      </c>
      <c r="J365" s="12" t="str">
        <f>IF(K365="","",INDEX(Calcule!$U$6:$U$40,K365))</f>
        <v/>
      </c>
      <c r="K365" s="72" t="str">
        <f>IFERROR(IF(A365&lt;=INDEX(Perioade!$D$6:$D$40,MATCH(A365,Perioade!$C$6:$C$40,1)),MATCH(A365,Perioade!$C$6:$C$40,1),""),"")</f>
        <v/>
      </c>
    </row>
    <row r="366" spans="1:11" x14ac:dyDescent="0.2">
      <c r="A366" s="61">
        <f t="shared" si="10"/>
        <v>46681</v>
      </c>
      <c r="B366" s="71" t="str">
        <f t="shared" si="11"/>
        <v>Jo</v>
      </c>
      <c r="C366" t="str">
        <f>IF(K366="","⚠ fără perioadă",INDEX(Perioade!$A$6:$A$40,K366))</f>
        <v>⚠ fără perioadă</v>
      </c>
      <c r="D366" s="71" t="str">
        <f>IF(K366="","",INDEX(Calcule!$C$6:$C$40,K366))</f>
        <v/>
      </c>
      <c r="E366" s="71" t="str">
        <f>IF(K366="","",INDEX(Calcule!$B$6:$B$40,K366))</f>
        <v/>
      </c>
      <c r="F366" s="12" t="str">
        <f>IF(K366="","",INDEX(Calcule!$R$6:$R$40,K366))</f>
        <v/>
      </c>
      <c r="G366" s="12" t="str">
        <f>IF(K366="","",INDEX(Calcule!$Y$6:$Y$40,K366))</f>
        <v/>
      </c>
      <c r="H366" s="12" t="str">
        <f>IF(K366="","",INDEX(Calcule!$AE$6:$AE$40,K366))</f>
        <v/>
      </c>
      <c r="I366" s="12" t="str">
        <f>IF(K366="","",INDEX(Calcule!$AI$6:$AI$40,K366))</f>
        <v/>
      </c>
      <c r="J366" s="12" t="str">
        <f>IF(K366="","",INDEX(Calcule!$U$6:$U$40,K366))</f>
        <v/>
      </c>
      <c r="K366" s="72" t="str">
        <f>IFERROR(IF(A366&lt;=INDEX(Perioade!$D$6:$D$40,MATCH(A366,Perioade!$C$6:$C$40,1)),MATCH(A366,Perioade!$C$6:$C$40,1),""),"")</f>
        <v/>
      </c>
    </row>
    <row r="367" spans="1:11" x14ac:dyDescent="0.2">
      <c r="A367" s="61">
        <f t="shared" si="10"/>
        <v>46682</v>
      </c>
      <c r="B367" s="71" t="str">
        <f t="shared" si="11"/>
        <v>Vi</v>
      </c>
      <c r="C367" t="str">
        <f>IF(K367="","⚠ fără perioadă",INDEX(Perioade!$A$6:$A$40,K367))</f>
        <v>⚠ fără perioadă</v>
      </c>
      <c r="D367" s="71" t="str">
        <f>IF(K367="","",INDEX(Calcule!$C$6:$C$40,K367))</f>
        <v/>
      </c>
      <c r="E367" s="71" t="str">
        <f>IF(K367="","",INDEX(Calcule!$B$6:$B$40,K367))</f>
        <v/>
      </c>
      <c r="F367" s="12" t="str">
        <f>IF(K367="","",INDEX(Calcule!$R$6:$R$40,K367))</f>
        <v/>
      </c>
      <c r="G367" s="12" t="str">
        <f>IF(K367="","",INDEX(Calcule!$Y$6:$Y$40,K367))</f>
        <v/>
      </c>
      <c r="H367" s="12" t="str">
        <f>IF(K367="","",INDEX(Calcule!$AE$6:$AE$40,K367))</f>
        <v/>
      </c>
      <c r="I367" s="12" t="str">
        <f>IF(K367="","",INDEX(Calcule!$AI$6:$AI$40,K367))</f>
        <v/>
      </c>
      <c r="J367" s="12" t="str">
        <f>IF(K367="","",INDEX(Calcule!$U$6:$U$40,K367))</f>
        <v/>
      </c>
      <c r="K367" s="72" t="str">
        <f>IFERROR(IF(A367&lt;=INDEX(Perioade!$D$6:$D$40,MATCH(A367,Perioade!$C$6:$C$40,1)),MATCH(A367,Perioade!$C$6:$C$40,1),""),"")</f>
        <v/>
      </c>
    </row>
    <row r="368" spans="1:11" x14ac:dyDescent="0.2">
      <c r="A368" s="61">
        <f t="shared" si="10"/>
        <v>46683</v>
      </c>
      <c r="B368" s="71" t="str">
        <f t="shared" si="11"/>
        <v>Sâ</v>
      </c>
      <c r="C368" t="str">
        <f>IF(K368="","⚠ fără perioadă",INDEX(Perioade!$A$6:$A$40,K368))</f>
        <v>⚠ fără perioadă</v>
      </c>
      <c r="D368" s="71" t="str">
        <f>IF(K368="","",INDEX(Calcule!$C$6:$C$40,K368))</f>
        <v/>
      </c>
      <c r="E368" s="71" t="str">
        <f>IF(K368="","",INDEX(Calcule!$B$6:$B$40,K368))</f>
        <v/>
      </c>
      <c r="F368" s="12" t="str">
        <f>IF(K368="","",INDEX(Calcule!$R$6:$R$40,K368))</f>
        <v/>
      </c>
      <c r="G368" s="12" t="str">
        <f>IF(K368="","",INDEX(Calcule!$Y$6:$Y$40,K368))</f>
        <v/>
      </c>
      <c r="H368" s="12" t="str">
        <f>IF(K368="","",INDEX(Calcule!$AE$6:$AE$40,K368))</f>
        <v/>
      </c>
      <c r="I368" s="12" t="str">
        <f>IF(K368="","",INDEX(Calcule!$AI$6:$AI$40,K368))</f>
        <v/>
      </c>
      <c r="J368" s="12" t="str">
        <f>IF(K368="","",INDEX(Calcule!$U$6:$U$40,K368))</f>
        <v/>
      </c>
      <c r="K368" s="72" t="str">
        <f>IFERROR(IF(A368&lt;=INDEX(Perioade!$D$6:$D$40,MATCH(A368,Perioade!$C$6:$C$40,1)),MATCH(A368,Perioade!$C$6:$C$40,1),""),"")</f>
        <v/>
      </c>
    </row>
    <row r="369" spans="1:11" x14ac:dyDescent="0.2">
      <c r="A369" s="61">
        <f t="shared" si="10"/>
        <v>46684</v>
      </c>
      <c r="B369" s="71" t="str">
        <f t="shared" si="11"/>
        <v>Du</v>
      </c>
      <c r="C369" t="str">
        <f>IF(K369="","⚠ fără perioadă",INDEX(Perioade!$A$6:$A$40,K369))</f>
        <v>⚠ fără perioadă</v>
      </c>
      <c r="D369" s="71" t="str">
        <f>IF(K369="","",INDEX(Calcule!$C$6:$C$40,K369))</f>
        <v/>
      </c>
      <c r="E369" s="71" t="str">
        <f>IF(K369="","",INDEX(Calcule!$B$6:$B$40,K369))</f>
        <v/>
      </c>
      <c r="F369" s="12" t="str">
        <f>IF(K369="","",INDEX(Calcule!$R$6:$R$40,K369))</f>
        <v/>
      </c>
      <c r="G369" s="12" t="str">
        <f>IF(K369="","",INDEX(Calcule!$Y$6:$Y$40,K369))</f>
        <v/>
      </c>
      <c r="H369" s="12" t="str">
        <f>IF(K369="","",INDEX(Calcule!$AE$6:$AE$40,K369))</f>
        <v/>
      </c>
      <c r="I369" s="12" t="str">
        <f>IF(K369="","",INDEX(Calcule!$AI$6:$AI$40,K369))</f>
        <v/>
      </c>
      <c r="J369" s="12" t="str">
        <f>IF(K369="","",INDEX(Calcule!$U$6:$U$40,K369))</f>
        <v/>
      </c>
      <c r="K369" s="72" t="str">
        <f>IFERROR(IF(A369&lt;=INDEX(Perioade!$D$6:$D$40,MATCH(A369,Perioade!$C$6:$C$40,1)),MATCH(A369,Perioade!$C$6:$C$40,1),""),"")</f>
        <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2820E-39DE-4316-ABD4-36E0CE357B88}">
  <dimension ref="A1:E21"/>
  <sheetViews>
    <sheetView workbookViewId="0"/>
  </sheetViews>
  <sheetFormatPr defaultRowHeight="12.75" x14ac:dyDescent="0.2"/>
  <cols>
    <col min="1" max="1" width="13.7109375" customWidth="1"/>
    <col min="2" max="2" width="38.7109375" customWidth="1"/>
    <col min="3" max="3" width="44.7109375" customWidth="1"/>
    <col min="4" max="4" width="70.7109375" customWidth="1"/>
    <col min="5" max="5" width="11.7109375" customWidth="1"/>
  </cols>
  <sheetData>
    <row r="1" spans="1:5" ht="18" x14ac:dyDescent="0.25">
      <c r="A1" s="9" t="s">
        <v>279</v>
      </c>
    </row>
    <row r="2" spans="1:5" x14ac:dyDescent="0.2">
      <c r="A2" s="10" t="s">
        <v>280</v>
      </c>
    </row>
    <row r="4" spans="1:5" x14ac:dyDescent="0.2">
      <c r="A4" s="13" t="s">
        <v>281</v>
      </c>
      <c r="B4" s="13" t="s">
        <v>282</v>
      </c>
      <c r="C4" s="13" t="s">
        <v>283</v>
      </c>
      <c r="D4" s="13" t="s">
        <v>284</v>
      </c>
      <c r="E4" s="13" t="s">
        <v>122</v>
      </c>
    </row>
    <row r="5" spans="1:5" ht="25.5" x14ac:dyDescent="0.2">
      <c r="A5" s="74" t="s">
        <v>227</v>
      </c>
      <c r="B5" s="74" t="s">
        <v>285</v>
      </c>
      <c r="C5" s="74" t="s">
        <v>286</v>
      </c>
      <c r="D5" s="74" t="s">
        <v>287</v>
      </c>
      <c r="E5" s="75" t="s">
        <v>288</v>
      </c>
    </row>
    <row r="6" spans="1:5" x14ac:dyDescent="0.2">
      <c r="A6" s="74" t="s">
        <v>58</v>
      </c>
      <c r="B6" s="74" t="s">
        <v>289</v>
      </c>
      <c r="C6" s="74" t="s">
        <v>290</v>
      </c>
      <c r="D6" s="74" t="s">
        <v>291</v>
      </c>
      <c r="E6" s="75" t="s">
        <v>288</v>
      </c>
    </row>
    <row r="7" spans="1:5" ht="25.5" x14ac:dyDescent="0.2">
      <c r="A7" s="74" t="s">
        <v>58</v>
      </c>
      <c r="B7" s="74" t="s">
        <v>292</v>
      </c>
      <c r="C7" s="74" t="s">
        <v>293</v>
      </c>
      <c r="D7" s="74" t="s">
        <v>294</v>
      </c>
      <c r="E7" s="75" t="s">
        <v>288</v>
      </c>
    </row>
    <row r="8" spans="1:5" x14ac:dyDescent="0.2">
      <c r="A8" s="74" t="s">
        <v>58</v>
      </c>
      <c r="B8" s="74" t="s">
        <v>295</v>
      </c>
      <c r="C8" s="74" t="s">
        <v>296</v>
      </c>
      <c r="D8" s="74" t="s">
        <v>297</v>
      </c>
      <c r="E8" s="75" t="s">
        <v>288</v>
      </c>
    </row>
    <row r="9" spans="1:5" ht="25.5" x14ac:dyDescent="0.2">
      <c r="A9" s="74" t="s">
        <v>58</v>
      </c>
      <c r="B9" s="74" t="s">
        <v>298</v>
      </c>
      <c r="C9" s="74" t="s">
        <v>293</v>
      </c>
      <c r="D9" s="74" t="s">
        <v>299</v>
      </c>
      <c r="E9" s="75" t="s">
        <v>288</v>
      </c>
    </row>
    <row r="10" spans="1:5" x14ac:dyDescent="0.2">
      <c r="A10" s="74" t="s">
        <v>58</v>
      </c>
      <c r="B10" s="74" t="s">
        <v>300</v>
      </c>
      <c r="C10" s="74" t="s">
        <v>301</v>
      </c>
      <c r="D10" s="74" t="s">
        <v>302</v>
      </c>
      <c r="E10" s="75" t="s">
        <v>288</v>
      </c>
    </row>
    <row r="11" spans="1:5" ht="25.5" x14ac:dyDescent="0.2">
      <c r="A11" s="74" t="s">
        <v>58</v>
      </c>
      <c r="B11" s="74" t="s">
        <v>303</v>
      </c>
      <c r="C11" s="74" t="s">
        <v>304</v>
      </c>
      <c r="D11" s="74" t="s">
        <v>305</v>
      </c>
      <c r="E11" s="75" t="s">
        <v>288</v>
      </c>
    </row>
    <row r="12" spans="1:5" ht="25.5" x14ac:dyDescent="0.2">
      <c r="A12" s="74" t="s">
        <v>59</v>
      </c>
      <c r="B12" s="74" t="s">
        <v>306</v>
      </c>
      <c r="C12" s="74" t="s">
        <v>307</v>
      </c>
      <c r="D12" s="74" t="s">
        <v>308</v>
      </c>
      <c r="E12" s="75" t="s">
        <v>288</v>
      </c>
    </row>
    <row r="13" spans="1:5" x14ac:dyDescent="0.2">
      <c r="A13" s="74" t="s">
        <v>59</v>
      </c>
      <c r="B13" s="74" t="s">
        <v>309</v>
      </c>
      <c r="C13" s="74" t="s">
        <v>310</v>
      </c>
      <c r="D13" s="74" t="s">
        <v>311</v>
      </c>
      <c r="E13" s="75" t="s">
        <v>288</v>
      </c>
    </row>
    <row r="14" spans="1:5" x14ac:dyDescent="0.2">
      <c r="A14" s="74" t="s">
        <v>59</v>
      </c>
      <c r="B14" s="74" t="s">
        <v>312</v>
      </c>
      <c r="C14" s="74" t="s">
        <v>313</v>
      </c>
      <c r="D14" s="74" t="s">
        <v>314</v>
      </c>
      <c r="E14" s="75" t="s">
        <v>288</v>
      </c>
    </row>
    <row r="15" spans="1:5" x14ac:dyDescent="0.2">
      <c r="A15" s="74" t="s">
        <v>59</v>
      </c>
      <c r="B15" s="74" t="s">
        <v>300</v>
      </c>
      <c r="C15" s="74" t="s">
        <v>315</v>
      </c>
      <c r="D15" s="74" t="s">
        <v>302</v>
      </c>
      <c r="E15" s="75" t="s">
        <v>288</v>
      </c>
    </row>
    <row r="16" spans="1:5" x14ac:dyDescent="0.2">
      <c r="A16" s="74" t="s">
        <v>60</v>
      </c>
      <c r="B16" s="74" t="s">
        <v>316</v>
      </c>
      <c r="C16" s="74" t="s">
        <v>317</v>
      </c>
      <c r="D16" s="74" t="s">
        <v>318</v>
      </c>
      <c r="E16" s="75" t="s">
        <v>288</v>
      </c>
    </row>
    <row r="17" spans="1:5" ht="25.5" x14ac:dyDescent="0.2">
      <c r="A17" s="74" t="s">
        <v>60</v>
      </c>
      <c r="B17" s="74" t="s">
        <v>319</v>
      </c>
      <c r="C17" s="74" t="s">
        <v>320</v>
      </c>
      <c r="D17" s="74" t="s">
        <v>321</v>
      </c>
      <c r="E17" s="75" t="s">
        <v>288</v>
      </c>
    </row>
    <row r="18" spans="1:5" x14ac:dyDescent="0.2">
      <c r="A18" s="74" t="s">
        <v>60</v>
      </c>
      <c r="B18" s="74" t="s">
        <v>300</v>
      </c>
      <c r="C18" s="74" t="s">
        <v>322</v>
      </c>
      <c r="D18" s="74" t="s">
        <v>302</v>
      </c>
      <c r="E18" s="75" t="s">
        <v>288</v>
      </c>
    </row>
    <row r="19" spans="1:5" x14ac:dyDescent="0.2">
      <c r="A19" s="74" t="s">
        <v>60</v>
      </c>
      <c r="B19" s="74" t="s">
        <v>323</v>
      </c>
      <c r="C19" s="74" t="s">
        <v>324</v>
      </c>
      <c r="D19" s="74" t="s">
        <v>325</v>
      </c>
      <c r="E19" s="75" t="s">
        <v>288</v>
      </c>
    </row>
    <row r="20" spans="1:5" ht="25.5" x14ac:dyDescent="0.2">
      <c r="A20" s="74" t="s">
        <v>326</v>
      </c>
      <c r="B20" s="74" t="s">
        <v>327</v>
      </c>
      <c r="C20" s="74" t="s">
        <v>328</v>
      </c>
      <c r="D20" s="74" t="s">
        <v>329</v>
      </c>
      <c r="E20" s="75" t="s">
        <v>288</v>
      </c>
    </row>
    <row r="21" spans="1:5" ht="25.5" x14ac:dyDescent="0.2">
      <c r="A21" s="74" t="s">
        <v>326</v>
      </c>
      <c r="B21" s="74" t="s">
        <v>330</v>
      </c>
      <c r="C21" s="74" t="s">
        <v>331</v>
      </c>
      <c r="D21" s="74" t="s">
        <v>332</v>
      </c>
      <c r="E21" s="75" t="s">
        <v>288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6B169-D2E2-454B-BA3F-A50F8CA9D6F0}">
  <dimension ref="A1:F21"/>
  <sheetViews>
    <sheetView showGridLines="0" zoomScaleNormal="100" workbookViewId="0"/>
  </sheetViews>
  <sheetFormatPr defaultColWidth="8.7109375" defaultRowHeight="15" x14ac:dyDescent="0.25"/>
  <cols>
    <col min="1" max="1" width="22" style="3" customWidth="1"/>
    <col min="2" max="2" width="24" style="3" customWidth="1"/>
    <col min="3" max="4" width="16" style="3" customWidth="1"/>
    <col min="5" max="5" width="18" style="3" customWidth="1"/>
    <col min="6" max="6" width="50" style="3" customWidth="1"/>
    <col min="7" max="16384" width="8.7109375" style="3"/>
  </cols>
  <sheetData>
    <row r="1" spans="1:6" ht="18" x14ac:dyDescent="0.25">
      <c r="A1" s="1" t="s">
        <v>404</v>
      </c>
      <c r="B1" s="2"/>
      <c r="C1" s="2"/>
      <c r="D1" s="2"/>
      <c r="E1" s="2"/>
      <c r="F1" s="2"/>
    </row>
    <row r="2" spans="1:6" x14ac:dyDescent="0.25">
      <c r="A2" s="4" t="s">
        <v>0</v>
      </c>
      <c r="B2" s="2"/>
      <c r="C2" s="2"/>
      <c r="D2" s="2"/>
      <c r="E2" s="2"/>
      <c r="F2" s="2"/>
    </row>
    <row r="3" spans="1:6" x14ac:dyDescent="0.25">
      <c r="A3" s="2"/>
      <c r="B3" s="2"/>
      <c r="C3" s="2"/>
      <c r="D3" s="2"/>
      <c r="E3" s="2"/>
      <c r="F3" s="2"/>
    </row>
    <row r="4" spans="1:6" x14ac:dyDescent="0.25">
      <c r="A4" s="2"/>
      <c r="B4" s="2"/>
      <c r="C4" s="2"/>
      <c r="D4" s="2"/>
      <c r="E4" s="2"/>
      <c r="F4" s="2"/>
    </row>
    <row r="5" spans="1:6" ht="33.75" customHeight="1" x14ac:dyDescent="0.25">
      <c r="A5" s="5" t="s">
        <v>1</v>
      </c>
      <c r="B5" s="5" t="s">
        <v>2</v>
      </c>
      <c r="C5" s="5" t="s">
        <v>3</v>
      </c>
      <c r="D5" s="5" t="s">
        <v>4</v>
      </c>
      <c r="E5" s="5" t="s">
        <v>5</v>
      </c>
      <c r="F5" s="5" t="s">
        <v>6</v>
      </c>
    </row>
    <row r="6" spans="1:6" x14ac:dyDescent="0.25">
      <c r="A6" s="6" t="s">
        <v>7</v>
      </c>
      <c r="B6" s="6" t="s">
        <v>8</v>
      </c>
      <c r="C6" s="7">
        <v>1160</v>
      </c>
      <c r="D6" s="7">
        <v>940</v>
      </c>
      <c r="E6" s="7">
        <v>1000</v>
      </c>
      <c r="F6" s="6" t="s">
        <v>405</v>
      </c>
    </row>
    <row r="7" spans="1:6" x14ac:dyDescent="0.25">
      <c r="A7" s="6" t="s">
        <v>9</v>
      </c>
      <c r="B7" s="6" t="s">
        <v>10</v>
      </c>
      <c r="C7" s="7">
        <v>1610</v>
      </c>
      <c r="D7" s="7">
        <v>1450</v>
      </c>
      <c r="E7" s="7">
        <v>1380</v>
      </c>
      <c r="F7" s="6" t="s">
        <v>406</v>
      </c>
    </row>
    <row r="8" spans="1:6" x14ac:dyDescent="0.25">
      <c r="A8" s="6" t="s">
        <v>11</v>
      </c>
      <c r="B8" s="6" t="s">
        <v>12</v>
      </c>
      <c r="C8" s="7">
        <v>1940</v>
      </c>
      <c r="D8" s="7">
        <v>1970</v>
      </c>
      <c r="E8" s="7">
        <v>1660</v>
      </c>
      <c r="F8" s="6" t="s">
        <v>407</v>
      </c>
    </row>
    <row r="9" spans="1:6" x14ac:dyDescent="0.25">
      <c r="A9" s="6" t="s">
        <v>13</v>
      </c>
      <c r="B9" s="6" t="s">
        <v>14</v>
      </c>
      <c r="C9" s="7">
        <v>2320</v>
      </c>
      <c r="D9" s="7">
        <v>2440</v>
      </c>
      <c r="E9" s="7">
        <v>1990</v>
      </c>
      <c r="F9" s="6" t="s">
        <v>408</v>
      </c>
    </row>
    <row r="10" spans="1:6" x14ac:dyDescent="0.25">
      <c r="A10" s="6" t="s">
        <v>15</v>
      </c>
      <c r="B10" s="6" t="s">
        <v>16</v>
      </c>
      <c r="C10" s="7">
        <v>1740</v>
      </c>
      <c r="D10" s="7">
        <v>1560</v>
      </c>
      <c r="E10" s="7">
        <v>1490</v>
      </c>
      <c r="F10" s="6" t="s">
        <v>409</v>
      </c>
    </row>
    <row r="11" spans="1:6" x14ac:dyDescent="0.25">
      <c r="A11" s="6" t="s">
        <v>17</v>
      </c>
      <c r="B11" s="6" t="s">
        <v>18</v>
      </c>
      <c r="C11" s="7">
        <v>1870</v>
      </c>
      <c r="D11" s="7">
        <v>1680</v>
      </c>
      <c r="E11" s="7">
        <v>1600</v>
      </c>
      <c r="F11" s="6" t="s">
        <v>410</v>
      </c>
    </row>
    <row r="12" spans="1:6" x14ac:dyDescent="0.25">
      <c r="A12" s="6" t="s">
        <v>19</v>
      </c>
      <c r="B12" s="6" t="s">
        <v>20</v>
      </c>
      <c r="C12" s="7">
        <v>1160</v>
      </c>
      <c r="D12" s="7">
        <v>1040</v>
      </c>
      <c r="E12" s="7">
        <v>1000</v>
      </c>
      <c r="F12" s="6" t="s">
        <v>411</v>
      </c>
    </row>
    <row r="13" spans="1:6" x14ac:dyDescent="0.25">
      <c r="A13" s="2"/>
      <c r="B13" s="2"/>
      <c r="C13" s="2"/>
      <c r="D13" s="2"/>
      <c r="E13" s="2"/>
      <c r="F13" s="2"/>
    </row>
    <row r="14" spans="1:6" x14ac:dyDescent="0.25">
      <c r="A14" s="2"/>
      <c r="B14" s="2"/>
      <c r="C14" s="2"/>
      <c r="D14" s="2"/>
      <c r="E14" s="2"/>
      <c r="F14" s="2"/>
    </row>
    <row r="15" spans="1:6" x14ac:dyDescent="0.25">
      <c r="A15" s="8" t="s">
        <v>21</v>
      </c>
      <c r="B15" s="2"/>
      <c r="C15" s="2"/>
      <c r="D15" s="2"/>
      <c r="E15" s="2"/>
      <c r="F15" s="2"/>
    </row>
    <row r="16" spans="1:6" ht="30" customHeight="1" x14ac:dyDescent="0.25">
      <c r="A16" s="90" t="s">
        <v>22</v>
      </c>
      <c r="B16" s="90"/>
      <c r="C16" s="90"/>
      <c r="D16" s="90"/>
      <c r="E16" s="90"/>
      <c r="F16" s="90"/>
    </row>
    <row r="17" spans="1:6" ht="30" customHeight="1" x14ac:dyDescent="0.25">
      <c r="A17" s="90" t="s">
        <v>23</v>
      </c>
      <c r="B17" s="90"/>
      <c r="C17" s="90"/>
      <c r="D17" s="90"/>
      <c r="E17" s="90"/>
      <c r="F17" s="90"/>
    </row>
    <row r="18" spans="1:6" ht="30" customHeight="1" x14ac:dyDescent="0.25">
      <c r="A18" s="90" t="s">
        <v>412</v>
      </c>
      <c r="B18" s="90"/>
      <c r="C18" s="90"/>
      <c r="D18" s="90"/>
      <c r="E18" s="90"/>
      <c r="F18" s="90"/>
    </row>
    <row r="19" spans="1:6" ht="30" customHeight="1" x14ac:dyDescent="0.25">
      <c r="A19" s="90" t="s">
        <v>403</v>
      </c>
      <c r="B19" s="90"/>
      <c r="C19" s="90"/>
      <c r="D19" s="90"/>
      <c r="E19" s="90"/>
      <c r="F19" s="90"/>
    </row>
    <row r="20" spans="1:6" ht="30" customHeight="1" x14ac:dyDescent="0.25">
      <c r="A20" s="90" t="s">
        <v>24</v>
      </c>
      <c r="B20" s="90"/>
      <c r="C20" s="90"/>
      <c r="D20" s="90"/>
      <c r="E20" s="90"/>
      <c r="F20" s="90"/>
    </row>
    <row r="21" spans="1:6" ht="30" customHeight="1" x14ac:dyDescent="0.25">
      <c r="A21" s="90" t="s">
        <v>25</v>
      </c>
      <c r="B21" s="90"/>
      <c r="C21" s="90"/>
      <c r="D21" s="90"/>
      <c r="E21" s="90"/>
      <c r="F21" s="90"/>
    </row>
  </sheetData>
  <mergeCells count="6">
    <mergeCell ref="A21:F21"/>
    <mergeCell ref="A16:F16"/>
    <mergeCell ref="A17:F17"/>
    <mergeCell ref="A18:F18"/>
    <mergeCell ref="A19:F19"/>
    <mergeCell ref="A20:F20"/>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6B0E1-73CF-447B-B2DE-694540A99241}">
  <dimension ref="A1:J40"/>
  <sheetViews>
    <sheetView workbookViewId="0"/>
  </sheetViews>
  <sheetFormatPr defaultRowHeight="12.75" x14ac:dyDescent="0.2"/>
  <cols>
    <col min="1" max="1" width="20.7109375" customWidth="1"/>
    <col min="2" max="3" width="11.7109375" customWidth="1"/>
    <col min="4" max="4" width="26.7109375" customWidth="1"/>
    <col min="5" max="5" width="14.7109375" customWidth="1"/>
    <col min="6" max="6" width="40.7109375" customWidth="1"/>
    <col min="7" max="7" width="16.7109375" customWidth="1"/>
    <col min="8" max="8" width="28.7109375" customWidth="1"/>
    <col min="9" max="9" width="3.7109375" customWidth="1"/>
    <col min="10" max="10" width="24.7109375" customWidth="1"/>
  </cols>
  <sheetData>
    <row r="1" spans="1:10" ht="18" x14ac:dyDescent="0.25">
      <c r="A1" s="9" t="s">
        <v>333</v>
      </c>
    </row>
    <row r="2" spans="1:10" x14ac:dyDescent="0.2">
      <c r="A2" s="10" t="s">
        <v>334</v>
      </c>
    </row>
    <row r="5" spans="1:10" ht="30" customHeight="1" x14ac:dyDescent="0.2">
      <c r="A5" s="13" t="s">
        <v>112</v>
      </c>
      <c r="B5" s="13" t="s">
        <v>335</v>
      </c>
      <c r="C5" s="13" t="s">
        <v>336</v>
      </c>
      <c r="D5" s="13" t="s">
        <v>337</v>
      </c>
      <c r="E5" s="13" t="s">
        <v>338</v>
      </c>
      <c r="F5" s="13" t="s">
        <v>339</v>
      </c>
      <c r="G5" s="13" t="s">
        <v>340</v>
      </c>
      <c r="H5" s="13" t="s">
        <v>122</v>
      </c>
      <c r="J5" s="13" t="s">
        <v>341</v>
      </c>
    </row>
    <row r="6" spans="1:10" x14ac:dyDescent="0.2">
      <c r="A6" s="53" t="str">
        <f>IF(Perioade!$A6="","",Perioade!$A6)</f>
        <v>vara-toamna-2026</v>
      </c>
      <c r="B6" s="76">
        <f>IF($A6="","",Perioade!$C6)</f>
        <v>46204</v>
      </c>
      <c r="C6" s="76">
        <f>IF($A6="","",Perioade!$D6)</f>
        <v>46356</v>
      </c>
      <c r="D6" s="52" t="str">
        <f>IF($A6="","",IF(Perioade!$D6&lt;Perioade!$C6,"⚠ sfârșit înainte de început",IF(Perioade!$A7="","OK",IF(Perioade!$C7&lt;=Perioade!$D6,"⚠ se suprapune / neordonat","OK"))))</f>
        <v>OK</v>
      </c>
      <c r="E6" s="77">
        <f>IF($A6="","",IF(Perioade!$A7="","ultima perioadă",Perioade!$C7-Perioade!$D6-1))</f>
        <v>0</v>
      </c>
      <c r="F6" s="52" t="str">
        <f>IF($A6="","",IF(OR(Calcule!$C6&lt;2,Calcule!$C6&gt;7),"⚠ nopți minime între 2 și 7",IF(AND(Perioade!$G6&lt;&gt;"",Perioade!$G6&lt;&gt;"Standard",Perioade!$G6&lt;&gt;"Preț fix",Perioade!$G6&lt;&gt;"Personalizat"),"⚠ alege Standard / Preț fix / Personalizat (acum se aplică Standard)",IF(AND(Calcule!$B6="Personalizat",COUNT(Perioade!$H6:$M6)=0),"⚠ completează reducerile (sau alege Preț fix)","OK"))))</f>
        <v>OK</v>
      </c>
      <c r="G6" s="52" t="str">
        <f>IF($A6="","",IF(Calcule!$R6&lt;=0,"⚠ lipsește prețul","OK"))</f>
        <v>OK</v>
      </c>
      <c r="H6" s="52" t="str">
        <f>IF($A6="","",IF(AND(D6="OK",OR(E6="ultima perioadă",E6=0),F6="OK",G6="OK"),IF(Calcule!$B6="Personalizat","OK · Booking: planuri separate","OK"),"⚠ verifică"))</f>
        <v>OK</v>
      </c>
      <c r="J6" s="78">
        <f>MAX(Perioade!$D$6:$D$40)</f>
        <v>46568</v>
      </c>
    </row>
    <row r="7" spans="1:10" x14ac:dyDescent="0.2">
      <c r="A7" s="53" t="str">
        <f>IF(Perioade!$A7="","",Perioade!$A7)</f>
        <v>iarna-2026</v>
      </c>
      <c r="B7" s="76">
        <f>IF($A7="","",Perioade!$C7)</f>
        <v>46357</v>
      </c>
      <c r="C7" s="76">
        <f>IF($A7="","",Perioade!$D7)</f>
        <v>46376</v>
      </c>
      <c r="D7" s="52" t="str">
        <f>IF($A7="","",IF(Perioade!$D7&lt;Perioade!$C7,"⚠ sfârșit înainte de început",IF(Perioade!$A8="","OK",IF(Perioade!$C8&lt;=Perioade!$D7,"⚠ se suprapune / neordonat","OK"))))</f>
        <v>OK</v>
      </c>
      <c r="E7" s="77">
        <f>IF($A7="","",IF(Perioade!$A8="","ultima perioadă",Perioade!$C8-Perioade!$D7-1))</f>
        <v>0</v>
      </c>
      <c r="F7" s="52" t="str">
        <f>IF($A7="","",IF(OR(Calcule!$C7&lt;2,Calcule!$C7&gt;7),"⚠ nopți minime între 2 și 7",IF(AND(Perioade!$G7&lt;&gt;"",Perioade!$G7&lt;&gt;"Standard",Perioade!$G7&lt;&gt;"Preț fix",Perioade!$G7&lt;&gt;"Personalizat"),"⚠ alege Standard / Preț fix / Personalizat (acum se aplică Standard)",IF(AND(Calcule!$B7="Personalizat",COUNT(Perioade!$H7:$M7)=0),"⚠ completează reducerile (sau alege Preț fix)","OK"))))</f>
        <v>OK</v>
      </c>
      <c r="G7" s="52" t="str">
        <f>IF($A7="","",IF(Calcule!$R7&lt;=0,"⚠ lipsește prețul","OK"))</f>
        <v>OK</v>
      </c>
      <c r="H7" s="52" t="str">
        <f>IF($A7="","",IF(AND(D7="OK",OR(E7="ultima perioadă",E7=0),F7="OK",G7="OK"),IF(Calcule!$B7="Personalizat","OK · Booking: planuri separate","OK"),"⚠ verifică"))</f>
        <v>OK</v>
      </c>
      <c r="J7" t="str">
        <f ca="1">IF(J6-TODAY()&lt;120,"⚠ Mai puțin de 4 luni de prețuri pe site – adaugă perioadele următoare","OK")</f>
        <v>OK</v>
      </c>
    </row>
    <row r="8" spans="1:10" x14ac:dyDescent="0.2">
      <c r="A8" s="53" t="str">
        <f>IF(Perioade!$A8="","",Perioade!$A8)</f>
        <v>Craciun-2026</v>
      </c>
      <c r="B8" s="76">
        <f>IF($A8="","",Perioade!$C8)</f>
        <v>46377</v>
      </c>
      <c r="C8" s="76">
        <f>IF($A8="","",Perioade!$D8)</f>
        <v>46383</v>
      </c>
      <c r="D8" s="52" t="str">
        <f>IF($A8="","",IF(Perioade!$D8&lt;Perioade!$C8,"⚠ sfârșit înainte de început",IF(Perioade!$A9="","OK",IF(Perioade!$C9&lt;=Perioade!$D8,"⚠ se suprapune / neordonat","OK"))))</f>
        <v>OK</v>
      </c>
      <c r="E8" s="77">
        <f>IF($A8="","",IF(Perioade!$A9="","ultima perioadă",Perioade!$C9-Perioade!$D8-1))</f>
        <v>0</v>
      </c>
      <c r="F8" s="52" t="str">
        <f>IF($A8="","",IF(OR(Calcule!$C8&lt;2,Calcule!$C8&gt;7),"⚠ nopți minime între 2 și 7",IF(AND(Perioade!$G8&lt;&gt;"",Perioade!$G8&lt;&gt;"Standard",Perioade!$G8&lt;&gt;"Preț fix",Perioade!$G8&lt;&gt;"Personalizat"),"⚠ alege Standard / Preț fix / Personalizat (acum se aplică Standard)",IF(AND(Calcule!$B8="Personalizat",COUNT(Perioade!$H8:$M8)=0),"⚠ completează reducerile (sau alege Preț fix)","OK"))))</f>
        <v>OK</v>
      </c>
      <c r="G8" s="52" t="str">
        <f>IF($A8="","",IF(Calcule!$R8&lt;=0,"⚠ lipsește prețul","OK"))</f>
        <v>OK</v>
      </c>
      <c r="H8" s="52" t="str">
        <f>IF($A8="","",IF(AND(D8="OK",OR(E8="ultima perioadă",E8=0),F8="OK",G8="OK"),IF(Calcule!$B8="Personalizat","OK · Booking: planuri separate","OK"),"⚠ verifică"))</f>
        <v>OK</v>
      </c>
    </row>
    <row r="9" spans="1:10" x14ac:dyDescent="0.2">
      <c r="A9" s="53" t="str">
        <f>IF(Perioade!$A9="","",Perioade!$A9)</f>
        <v>Revelion-2026-2027</v>
      </c>
      <c r="B9" s="76">
        <f>IF($A9="","",Perioade!$C9)</f>
        <v>46384</v>
      </c>
      <c r="C9" s="76">
        <f>IF($A9="","",Perioade!$D9)</f>
        <v>46391</v>
      </c>
      <c r="D9" s="52" t="str">
        <f>IF($A9="","",IF(Perioade!$D9&lt;Perioade!$C9,"⚠ sfârșit înainte de început",IF(Perioade!$A10="","OK",IF(Perioade!$C10&lt;=Perioade!$D9,"⚠ se suprapune / neordonat","OK"))))</f>
        <v>OK</v>
      </c>
      <c r="E9" s="77">
        <f>IF($A9="","",IF(Perioade!$A10="","ultima perioadă",Perioade!$C10-Perioade!$D9-1))</f>
        <v>0</v>
      </c>
      <c r="F9" s="52" t="str">
        <f>IF($A9="","",IF(OR(Calcule!$C9&lt;2,Calcule!$C9&gt;7),"⚠ nopți minime între 2 și 7",IF(AND(Perioade!$G9&lt;&gt;"",Perioade!$G9&lt;&gt;"Standard",Perioade!$G9&lt;&gt;"Preț fix",Perioade!$G9&lt;&gt;"Personalizat"),"⚠ alege Standard / Preț fix / Personalizat (acum se aplică Standard)",IF(AND(Calcule!$B9="Personalizat",COUNT(Perioade!$H9:$M9)=0),"⚠ completează reducerile (sau alege Preț fix)","OK"))))</f>
        <v>OK</v>
      </c>
      <c r="G9" s="52" t="str">
        <f>IF($A9="","",IF(Calcule!$R9&lt;=0,"⚠ lipsește prețul","OK"))</f>
        <v>OK</v>
      </c>
      <c r="H9" s="52" t="str">
        <f>IF($A9="","",IF(AND(D9="OK",OR(E9="ultima perioadă",E9=0),F9="OK",G9="OK"),IF(Calcule!$B9="Personalizat","OK · Booking: planuri separate","OK"),"⚠ verifică"))</f>
        <v>OK</v>
      </c>
    </row>
    <row r="10" spans="1:10" x14ac:dyDescent="0.2">
      <c r="A10" s="53" t="str">
        <f>IF(Perioade!$A10="","",Perioade!$A10)</f>
        <v>iarna-2027</v>
      </c>
      <c r="B10" s="76">
        <f>IF($A10="","",Perioade!$C10)</f>
        <v>46392</v>
      </c>
      <c r="C10" s="76">
        <f>IF($A10="","",Perioade!$D10)</f>
        <v>46432</v>
      </c>
      <c r="D10" s="52" t="str">
        <f>IF($A10="","",IF(Perioade!$D10&lt;Perioade!$C10,"⚠ sfârșit înainte de început",IF(Perioade!$A11="","OK",IF(Perioade!$C11&lt;=Perioade!$D10,"⚠ se suprapune / neordonat","OK"))))</f>
        <v>OK</v>
      </c>
      <c r="E10" s="77">
        <f>IF($A10="","",IF(Perioade!$A11="","ultima perioadă",Perioade!$C11-Perioade!$D10-1))</f>
        <v>0</v>
      </c>
      <c r="F10" s="52" t="str">
        <f>IF($A10="","",IF(OR(Calcule!$C10&lt;2,Calcule!$C10&gt;7),"⚠ nopți minime între 2 și 7",IF(AND(Perioade!$G10&lt;&gt;"",Perioade!$G10&lt;&gt;"Standard",Perioade!$G10&lt;&gt;"Preț fix",Perioade!$G10&lt;&gt;"Personalizat"),"⚠ alege Standard / Preț fix / Personalizat (acum se aplică Standard)",IF(AND(Calcule!$B10="Personalizat",COUNT(Perioade!$H10:$M10)=0),"⚠ completează reducerile (sau alege Preț fix)","OK"))))</f>
        <v>OK</v>
      </c>
      <c r="G10" s="52" t="str">
        <f>IF($A10="","",IF(Calcule!$R10&lt;=0,"⚠ lipsește prețul","OK"))</f>
        <v>OK</v>
      </c>
      <c r="H10" s="52" t="str">
        <f>IF($A10="","",IF(AND(D10="OK",OR(E10="ultima perioadă",E10=0),F10="OK",G10="OK"),IF(Calcule!$B10="Personalizat","OK · Booking: planuri separate","OK"),"⚠ verifică"))</f>
        <v>OK</v>
      </c>
    </row>
    <row r="11" spans="1:10" x14ac:dyDescent="0.2">
      <c r="A11" s="53" t="str">
        <f>IF(Perioade!$A11="","",Perioade!$A11)</f>
        <v>Vacanta-schi-2027</v>
      </c>
      <c r="B11" s="76">
        <f>IF($A11="","",Perioade!$C11)</f>
        <v>46433</v>
      </c>
      <c r="C11" s="76">
        <f>IF($A11="","",Perioade!$D11)</f>
        <v>46453</v>
      </c>
      <c r="D11" s="52" t="str">
        <f>IF($A11="","",IF(Perioade!$D11&lt;Perioade!$C11,"⚠ sfârșit înainte de început",IF(Perioade!$A12="","OK",IF(Perioade!$C12&lt;=Perioade!$D11,"⚠ se suprapune / neordonat","OK"))))</f>
        <v>OK</v>
      </c>
      <c r="E11" s="77">
        <f>IF($A11="","",IF(Perioade!$A12="","ultima perioadă",Perioade!$C12-Perioade!$D11-1))</f>
        <v>0</v>
      </c>
      <c r="F11" s="52" t="str">
        <f>IF($A11="","",IF(OR(Calcule!$C11&lt;2,Calcule!$C11&gt;7),"⚠ nopți minime între 2 și 7",IF(AND(Perioade!$G11&lt;&gt;"",Perioade!$G11&lt;&gt;"Standard",Perioade!$G11&lt;&gt;"Preț fix",Perioade!$G11&lt;&gt;"Personalizat"),"⚠ alege Standard / Preț fix / Personalizat (acum se aplică Standard)",IF(AND(Calcule!$B11="Personalizat",COUNT(Perioade!$H11:$M11)=0),"⚠ completează reducerile (sau alege Preț fix)","OK"))))</f>
        <v>OK</v>
      </c>
      <c r="G11" s="52" t="str">
        <f>IF($A11="","",IF(Calcule!$R11&lt;=0,"⚠ lipsește prețul","OK"))</f>
        <v>OK</v>
      </c>
      <c r="H11" s="52" t="str">
        <f>IF($A11="","",IF(AND(D11="OK",OR(E11="ultima perioadă",E11=0),F11="OK",G11="OK"),IF(Calcule!$B11="Personalizat","OK · Booking: planuri separate","OK"),"⚠ verifică"))</f>
        <v>OK</v>
      </c>
    </row>
    <row r="12" spans="1:10" x14ac:dyDescent="0.2">
      <c r="A12" s="53" t="str">
        <f>IF(Perioade!$A12="","",Perioade!$A12)</f>
        <v>primavara-2027</v>
      </c>
      <c r="B12" s="76">
        <f>IF($A12="","",Perioade!$C12)</f>
        <v>46454</v>
      </c>
      <c r="C12" s="76">
        <f>IF($A12="","",Perioade!$D12)</f>
        <v>46568</v>
      </c>
      <c r="D12" s="52" t="str">
        <f>IF($A12="","",IF(Perioade!$D12&lt;Perioade!$C12,"⚠ sfârșit înainte de început",IF(Perioade!$A13="","OK",IF(Perioade!$C13&lt;=Perioade!$D12,"⚠ se suprapune / neordonat","OK"))))</f>
        <v>OK</v>
      </c>
      <c r="E12" s="77" t="str">
        <f>IF($A12="","",IF(Perioade!$A13="","ultima perioadă",Perioade!$C13-Perioade!$D12-1))</f>
        <v>ultima perioadă</v>
      </c>
      <c r="F12" s="52" t="str">
        <f>IF($A12="","",IF(OR(Calcule!$C12&lt;2,Calcule!$C12&gt;7),"⚠ nopți minime între 2 și 7",IF(AND(Perioade!$G12&lt;&gt;"",Perioade!$G12&lt;&gt;"Standard",Perioade!$G12&lt;&gt;"Preț fix",Perioade!$G12&lt;&gt;"Personalizat"),"⚠ alege Standard / Preț fix / Personalizat (acum se aplică Standard)",IF(AND(Calcule!$B12="Personalizat",COUNT(Perioade!$H12:$M12)=0),"⚠ completează reducerile (sau alege Preț fix)","OK"))))</f>
        <v>OK</v>
      </c>
      <c r="G12" s="52" t="str">
        <f>IF($A12="","",IF(Calcule!$R12&lt;=0,"⚠ lipsește prețul","OK"))</f>
        <v>OK</v>
      </c>
      <c r="H12" s="52" t="str">
        <f>IF($A12="","",IF(AND(D12="OK",OR(E12="ultima perioadă",E12=0),F12="OK",G12="OK"),IF(Calcule!$B12="Personalizat","OK · Booking: planuri separate","OK"),"⚠ verifică"))</f>
        <v>OK</v>
      </c>
    </row>
    <row r="13" spans="1:10" x14ac:dyDescent="0.2">
      <c r="A13" s="53" t="str">
        <f>IF(Perioade!$A13="","",Perioade!$A13)</f>
        <v/>
      </c>
      <c r="B13" s="76" t="str">
        <f>IF($A13="","",Perioade!$C13)</f>
        <v/>
      </c>
      <c r="C13" s="76" t="str">
        <f>IF($A13="","",Perioade!$D13)</f>
        <v/>
      </c>
      <c r="D13" s="52" t="str">
        <f>IF($A13="","",IF(Perioade!$D13&lt;Perioade!$C13,"⚠ sfârșit înainte de început",IF(Perioade!$A14="","OK",IF(Perioade!$C14&lt;=Perioade!$D13,"⚠ se suprapune / neordonat","OK"))))</f>
        <v/>
      </c>
      <c r="E13" s="77" t="str">
        <f>IF($A13="","",IF(Perioade!$A14="","ultima perioadă",Perioade!$C14-Perioade!$D13-1))</f>
        <v/>
      </c>
      <c r="F13" s="52" t="str">
        <f>IF($A13="","",IF(OR(Calcule!$C13&lt;2,Calcule!$C13&gt;7),"⚠ nopți minime între 2 și 7",IF(AND(Perioade!$G13&lt;&gt;"",Perioade!$G13&lt;&gt;"Standard",Perioade!$G13&lt;&gt;"Preț fix",Perioade!$G13&lt;&gt;"Personalizat"),"⚠ alege Standard / Preț fix / Personalizat (acum se aplică Standard)",IF(AND(Calcule!$B13="Personalizat",COUNT(Perioade!$H13:$M13)=0),"⚠ completează reducerile (sau alege Preț fix)","OK"))))</f>
        <v/>
      </c>
      <c r="G13" s="52" t="str">
        <f>IF($A13="","",IF(Calcule!$R13&lt;=0,"⚠ lipsește prețul","OK"))</f>
        <v/>
      </c>
      <c r="H13" s="52" t="str">
        <f>IF($A13="","",IF(AND(D13="OK",OR(E13="ultima perioadă",E13=0),F13="OK",G13="OK"),IF(Calcule!$B13="Personalizat","OK · Booking: planuri separate","OK"),"⚠ verifică"))</f>
        <v/>
      </c>
    </row>
    <row r="14" spans="1:10" x14ac:dyDescent="0.2">
      <c r="A14" s="53" t="str">
        <f>IF(Perioade!$A14="","",Perioade!$A14)</f>
        <v/>
      </c>
      <c r="B14" s="76" t="str">
        <f>IF($A14="","",Perioade!$C14)</f>
        <v/>
      </c>
      <c r="C14" s="76" t="str">
        <f>IF($A14="","",Perioade!$D14)</f>
        <v/>
      </c>
      <c r="D14" s="52" t="str">
        <f>IF($A14="","",IF(Perioade!$D14&lt;Perioade!$C14,"⚠ sfârșit înainte de început",IF(Perioade!$A15="","OK",IF(Perioade!$C15&lt;=Perioade!$D14,"⚠ se suprapune / neordonat","OK"))))</f>
        <v/>
      </c>
      <c r="E14" s="77" t="str">
        <f>IF($A14="","",IF(Perioade!$A15="","ultima perioadă",Perioade!$C15-Perioade!$D14-1))</f>
        <v/>
      </c>
      <c r="F14" s="52" t="str">
        <f>IF($A14="","",IF(OR(Calcule!$C14&lt;2,Calcule!$C14&gt;7),"⚠ nopți minime între 2 și 7",IF(AND(Perioade!$G14&lt;&gt;"",Perioade!$G14&lt;&gt;"Standard",Perioade!$G14&lt;&gt;"Preț fix",Perioade!$G14&lt;&gt;"Personalizat"),"⚠ alege Standard / Preț fix / Personalizat (acum se aplică Standard)",IF(AND(Calcule!$B14="Personalizat",COUNT(Perioade!$H14:$M14)=0),"⚠ completează reducerile (sau alege Preț fix)","OK"))))</f>
        <v/>
      </c>
      <c r="G14" s="52" t="str">
        <f>IF($A14="","",IF(Calcule!$R14&lt;=0,"⚠ lipsește prețul","OK"))</f>
        <v/>
      </c>
      <c r="H14" s="52" t="str">
        <f>IF($A14="","",IF(AND(D14="OK",OR(E14="ultima perioadă",E14=0),F14="OK",G14="OK"),IF(Calcule!$B14="Personalizat","OK · Booking: planuri separate","OK"),"⚠ verifică"))</f>
        <v/>
      </c>
    </row>
    <row r="15" spans="1:10" x14ac:dyDescent="0.2">
      <c r="A15" s="53" t="str">
        <f>IF(Perioade!$A15="","",Perioade!$A15)</f>
        <v/>
      </c>
      <c r="B15" s="76" t="str">
        <f>IF($A15="","",Perioade!$C15)</f>
        <v/>
      </c>
      <c r="C15" s="76" t="str">
        <f>IF($A15="","",Perioade!$D15)</f>
        <v/>
      </c>
      <c r="D15" s="52" t="str">
        <f>IF($A15="","",IF(Perioade!$D15&lt;Perioade!$C15,"⚠ sfârșit înainte de început",IF(Perioade!$A16="","OK",IF(Perioade!$C16&lt;=Perioade!$D15,"⚠ se suprapune / neordonat","OK"))))</f>
        <v/>
      </c>
      <c r="E15" s="77" t="str">
        <f>IF($A15="","",IF(Perioade!$A16="","ultima perioadă",Perioade!$C16-Perioade!$D15-1))</f>
        <v/>
      </c>
      <c r="F15" s="52" t="str">
        <f>IF($A15="","",IF(OR(Calcule!$C15&lt;2,Calcule!$C15&gt;7),"⚠ nopți minime între 2 și 7",IF(AND(Perioade!$G15&lt;&gt;"",Perioade!$G15&lt;&gt;"Standard",Perioade!$G15&lt;&gt;"Preț fix",Perioade!$G15&lt;&gt;"Personalizat"),"⚠ alege Standard / Preț fix / Personalizat (acum se aplică Standard)",IF(AND(Calcule!$B15="Personalizat",COUNT(Perioade!$H15:$M15)=0),"⚠ completează reducerile (sau alege Preț fix)","OK"))))</f>
        <v/>
      </c>
      <c r="G15" s="52" t="str">
        <f>IF($A15="","",IF(Calcule!$R15&lt;=0,"⚠ lipsește prețul","OK"))</f>
        <v/>
      </c>
      <c r="H15" s="52" t="str">
        <f>IF($A15="","",IF(AND(D15="OK",OR(E15="ultima perioadă",E15=0),F15="OK",G15="OK"),IF(Calcule!$B15="Personalizat","OK · Booking: planuri separate","OK"),"⚠ verifică"))</f>
        <v/>
      </c>
    </row>
    <row r="16" spans="1:10" x14ac:dyDescent="0.2">
      <c r="A16" s="53" t="str">
        <f>IF(Perioade!$A16="","",Perioade!$A16)</f>
        <v/>
      </c>
      <c r="B16" s="76" t="str">
        <f>IF($A16="","",Perioade!$C16)</f>
        <v/>
      </c>
      <c r="C16" s="76" t="str">
        <f>IF($A16="","",Perioade!$D16)</f>
        <v/>
      </c>
      <c r="D16" s="52" t="str">
        <f>IF($A16="","",IF(Perioade!$D16&lt;Perioade!$C16,"⚠ sfârșit înainte de început",IF(Perioade!$A17="","OK",IF(Perioade!$C17&lt;=Perioade!$D16,"⚠ se suprapune / neordonat","OK"))))</f>
        <v/>
      </c>
      <c r="E16" s="77" t="str">
        <f>IF($A16="","",IF(Perioade!$A17="","ultima perioadă",Perioade!$C17-Perioade!$D16-1))</f>
        <v/>
      </c>
      <c r="F16" s="52" t="str">
        <f>IF($A16="","",IF(OR(Calcule!$C16&lt;2,Calcule!$C16&gt;7),"⚠ nopți minime între 2 și 7",IF(AND(Perioade!$G16&lt;&gt;"",Perioade!$G16&lt;&gt;"Standard",Perioade!$G16&lt;&gt;"Preț fix",Perioade!$G16&lt;&gt;"Personalizat"),"⚠ alege Standard / Preț fix / Personalizat (acum se aplică Standard)",IF(AND(Calcule!$B16="Personalizat",COUNT(Perioade!$H16:$M16)=0),"⚠ completează reducerile (sau alege Preț fix)","OK"))))</f>
        <v/>
      </c>
      <c r="G16" s="52" t="str">
        <f>IF($A16="","",IF(Calcule!$R16&lt;=0,"⚠ lipsește prețul","OK"))</f>
        <v/>
      </c>
      <c r="H16" s="52" t="str">
        <f>IF($A16="","",IF(AND(D16="OK",OR(E16="ultima perioadă",E16=0),F16="OK",G16="OK"),IF(Calcule!$B16="Personalizat","OK · Booking: planuri separate","OK"),"⚠ verifică"))</f>
        <v/>
      </c>
    </row>
    <row r="17" spans="1:8" x14ac:dyDescent="0.2">
      <c r="A17" s="53" t="str">
        <f>IF(Perioade!$A17="","",Perioade!$A17)</f>
        <v/>
      </c>
      <c r="B17" s="76" t="str">
        <f>IF($A17="","",Perioade!$C17)</f>
        <v/>
      </c>
      <c r="C17" s="76" t="str">
        <f>IF($A17="","",Perioade!$D17)</f>
        <v/>
      </c>
      <c r="D17" s="52" t="str">
        <f>IF($A17="","",IF(Perioade!$D17&lt;Perioade!$C17,"⚠ sfârșit înainte de început",IF(Perioade!$A18="","OK",IF(Perioade!$C18&lt;=Perioade!$D17,"⚠ se suprapune / neordonat","OK"))))</f>
        <v/>
      </c>
      <c r="E17" s="77" t="str">
        <f>IF($A17="","",IF(Perioade!$A18="","ultima perioadă",Perioade!$C18-Perioade!$D17-1))</f>
        <v/>
      </c>
      <c r="F17" s="52" t="str">
        <f>IF($A17="","",IF(OR(Calcule!$C17&lt;2,Calcule!$C17&gt;7),"⚠ nopți minime între 2 și 7",IF(AND(Perioade!$G17&lt;&gt;"",Perioade!$G17&lt;&gt;"Standard",Perioade!$G17&lt;&gt;"Preț fix",Perioade!$G17&lt;&gt;"Personalizat"),"⚠ alege Standard / Preț fix / Personalizat (acum se aplică Standard)",IF(AND(Calcule!$B17="Personalizat",COUNT(Perioade!$H17:$M17)=0),"⚠ completează reducerile (sau alege Preț fix)","OK"))))</f>
        <v/>
      </c>
      <c r="G17" s="52" t="str">
        <f>IF($A17="","",IF(Calcule!$R17&lt;=0,"⚠ lipsește prețul","OK"))</f>
        <v/>
      </c>
      <c r="H17" s="52" t="str">
        <f>IF($A17="","",IF(AND(D17="OK",OR(E17="ultima perioadă",E17=0),F17="OK",G17="OK"),IF(Calcule!$B17="Personalizat","OK · Booking: planuri separate","OK"),"⚠ verifică"))</f>
        <v/>
      </c>
    </row>
    <row r="18" spans="1:8" x14ac:dyDescent="0.2">
      <c r="A18" s="53" t="str">
        <f>IF(Perioade!$A18="","",Perioade!$A18)</f>
        <v/>
      </c>
      <c r="B18" s="76" t="str">
        <f>IF($A18="","",Perioade!$C18)</f>
        <v/>
      </c>
      <c r="C18" s="76" t="str">
        <f>IF($A18="","",Perioade!$D18)</f>
        <v/>
      </c>
      <c r="D18" s="52" t="str">
        <f>IF($A18="","",IF(Perioade!$D18&lt;Perioade!$C18,"⚠ sfârșit înainte de început",IF(Perioade!$A19="","OK",IF(Perioade!$C19&lt;=Perioade!$D18,"⚠ se suprapune / neordonat","OK"))))</f>
        <v/>
      </c>
      <c r="E18" s="77" t="str">
        <f>IF($A18="","",IF(Perioade!$A19="","ultima perioadă",Perioade!$C19-Perioade!$D18-1))</f>
        <v/>
      </c>
      <c r="F18" s="52" t="str">
        <f>IF($A18="","",IF(OR(Calcule!$C18&lt;2,Calcule!$C18&gt;7),"⚠ nopți minime între 2 și 7",IF(AND(Perioade!$G18&lt;&gt;"",Perioade!$G18&lt;&gt;"Standard",Perioade!$G18&lt;&gt;"Preț fix",Perioade!$G18&lt;&gt;"Personalizat"),"⚠ alege Standard / Preț fix / Personalizat (acum se aplică Standard)",IF(AND(Calcule!$B18="Personalizat",COUNT(Perioade!$H18:$M18)=0),"⚠ completează reducerile (sau alege Preț fix)","OK"))))</f>
        <v/>
      </c>
      <c r="G18" s="52" t="str">
        <f>IF($A18="","",IF(Calcule!$R18&lt;=0,"⚠ lipsește prețul","OK"))</f>
        <v/>
      </c>
      <c r="H18" s="52" t="str">
        <f>IF($A18="","",IF(AND(D18="OK",OR(E18="ultima perioadă",E18=0),F18="OK",G18="OK"),IF(Calcule!$B18="Personalizat","OK · Booking: planuri separate","OK"),"⚠ verifică"))</f>
        <v/>
      </c>
    </row>
    <row r="19" spans="1:8" x14ac:dyDescent="0.2">
      <c r="A19" s="53" t="str">
        <f>IF(Perioade!$A19="","",Perioade!$A19)</f>
        <v/>
      </c>
      <c r="B19" s="76" t="str">
        <f>IF($A19="","",Perioade!$C19)</f>
        <v/>
      </c>
      <c r="C19" s="76" t="str">
        <f>IF($A19="","",Perioade!$D19)</f>
        <v/>
      </c>
      <c r="D19" s="52" t="str">
        <f>IF($A19="","",IF(Perioade!$D19&lt;Perioade!$C19,"⚠ sfârșit înainte de început",IF(Perioade!$A20="","OK",IF(Perioade!$C20&lt;=Perioade!$D19,"⚠ se suprapune / neordonat","OK"))))</f>
        <v/>
      </c>
      <c r="E19" s="77" t="str">
        <f>IF($A19="","",IF(Perioade!$A20="","ultima perioadă",Perioade!$C20-Perioade!$D19-1))</f>
        <v/>
      </c>
      <c r="F19" s="52" t="str">
        <f>IF($A19="","",IF(OR(Calcule!$C19&lt;2,Calcule!$C19&gt;7),"⚠ nopți minime între 2 și 7",IF(AND(Perioade!$G19&lt;&gt;"",Perioade!$G19&lt;&gt;"Standard",Perioade!$G19&lt;&gt;"Preț fix",Perioade!$G19&lt;&gt;"Personalizat"),"⚠ alege Standard / Preț fix / Personalizat (acum se aplică Standard)",IF(AND(Calcule!$B19="Personalizat",COUNT(Perioade!$H19:$M19)=0),"⚠ completează reducerile (sau alege Preț fix)","OK"))))</f>
        <v/>
      </c>
      <c r="G19" s="52" t="str">
        <f>IF($A19="","",IF(Calcule!$R19&lt;=0,"⚠ lipsește prețul","OK"))</f>
        <v/>
      </c>
      <c r="H19" s="52" t="str">
        <f>IF($A19="","",IF(AND(D19="OK",OR(E19="ultima perioadă",E19=0),F19="OK",G19="OK"),IF(Calcule!$B19="Personalizat","OK · Booking: planuri separate","OK"),"⚠ verifică"))</f>
        <v/>
      </c>
    </row>
    <row r="20" spans="1:8" x14ac:dyDescent="0.2">
      <c r="A20" s="53" t="str">
        <f>IF(Perioade!$A20="","",Perioade!$A20)</f>
        <v/>
      </c>
      <c r="B20" s="76" t="str">
        <f>IF($A20="","",Perioade!$C20)</f>
        <v/>
      </c>
      <c r="C20" s="76" t="str">
        <f>IF($A20="","",Perioade!$D20)</f>
        <v/>
      </c>
      <c r="D20" s="52" t="str">
        <f>IF($A20="","",IF(Perioade!$D20&lt;Perioade!$C20,"⚠ sfârșit înainte de început",IF(Perioade!$A21="","OK",IF(Perioade!$C21&lt;=Perioade!$D20,"⚠ se suprapune / neordonat","OK"))))</f>
        <v/>
      </c>
      <c r="E20" s="77" t="str">
        <f>IF($A20="","",IF(Perioade!$A21="","ultima perioadă",Perioade!$C21-Perioade!$D20-1))</f>
        <v/>
      </c>
      <c r="F20" s="52" t="str">
        <f>IF($A20="","",IF(OR(Calcule!$C20&lt;2,Calcule!$C20&gt;7),"⚠ nopți minime între 2 și 7",IF(AND(Perioade!$G20&lt;&gt;"",Perioade!$G20&lt;&gt;"Standard",Perioade!$G20&lt;&gt;"Preț fix",Perioade!$G20&lt;&gt;"Personalizat"),"⚠ alege Standard / Preț fix / Personalizat (acum se aplică Standard)",IF(AND(Calcule!$B20="Personalizat",COUNT(Perioade!$H20:$M20)=0),"⚠ completează reducerile (sau alege Preț fix)","OK"))))</f>
        <v/>
      </c>
      <c r="G20" s="52" t="str">
        <f>IF($A20="","",IF(Calcule!$R20&lt;=0,"⚠ lipsește prețul","OK"))</f>
        <v/>
      </c>
      <c r="H20" s="52" t="str">
        <f>IF($A20="","",IF(AND(D20="OK",OR(E20="ultima perioadă",E20=0),F20="OK",G20="OK"),IF(Calcule!$B20="Personalizat","OK · Booking: planuri separate","OK"),"⚠ verifică"))</f>
        <v/>
      </c>
    </row>
    <row r="21" spans="1:8" x14ac:dyDescent="0.2">
      <c r="A21" s="53" t="str">
        <f>IF(Perioade!$A21="","",Perioade!$A21)</f>
        <v/>
      </c>
      <c r="B21" s="76" t="str">
        <f>IF($A21="","",Perioade!$C21)</f>
        <v/>
      </c>
      <c r="C21" s="76" t="str">
        <f>IF($A21="","",Perioade!$D21)</f>
        <v/>
      </c>
      <c r="D21" s="52" t="str">
        <f>IF($A21="","",IF(Perioade!$D21&lt;Perioade!$C21,"⚠ sfârșit înainte de început",IF(Perioade!$A22="","OK",IF(Perioade!$C22&lt;=Perioade!$D21,"⚠ se suprapune / neordonat","OK"))))</f>
        <v/>
      </c>
      <c r="E21" s="77" t="str">
        <f>IF($A21="","",IF(Perioade!$A22="","ultima perioadă",Perioade!$C22-Perioade!$D21-1))</f>
        <v/>
      </c>
      <c r="F21" s="52" t="str">
        <f>IF($A21="","",IF(OR(Calcule!$C21&lt;2,Calcule!$C21&gt;7),"⚠ nopți minime între 2 și 7",IF(AND(Perioade!$G21&lt;&gt;"",Perioade!$G21&lt;&gt;"Standard",Perioade!$G21&lt;&gt;"Preț fix",Perioade!$G21&lt;&gt;"Personalizat"),"⚠ alege Standard / Preț fix / Personalizat (acum se aplică Standard)",IF(AND(Calcule!$B21="Personalizat",COUNT(Perioade!$H21:$M21)=0),"⚠ completează reducerile (sau alege Preț fix)","OK"))))</f>
        <v/>
      </c>
      <c r="G21" s="52" t="str">
        <f>IF($A21="","",IF(Calcule!$R21&lt;=0,"⚠ lipsește prețul","OK"))</f>
        <v/>
      </c>
      <c r="H21" s="52" t="str">
        <f>IF($A21="","",IF(AND(D21="OK",OR(E21="ultima perioadă",E21=0),F21="OK",G21="OK"),IF(Calcule!$B21="Personalizat","OK · Booking: planuri separate","OK"),"⚠ verifică"))</f>
        <v/>
      </c>
    </row>
    <row r="22" spans="1:8" x14ac:dyDescent="0.2">
      <c r="A22" s="53" t="str">
        <f>IF(Perioade!$A22="","",Perioade!$A22)</f>
        <v/>
      </c>
      <c r="B22" s="76" t="str">
        <f>IF($A22="","",Perioade!$C22)</f>
        <v/>
      </c>
      <c r="C22" s="76" t="str">
        <f>IF($A22="","",Perioade!$D22)</f>
        <v/>
      </c>
      <c r="D22" s="52" t="str">
        <f>IF($A22="","",IF(Perioade!$D22&lt;Perioade!$C22,"⚠ sfârșit înainte de început",IF(Perioade!$A23="","OK",IF(Perioade!$C23&lt;=Perioade!$D22,"⚠ se suprapune / neordonat","OK"))))</f>
        <v/>
      </c>
      <c r="E22" s="77" t="str">
        <f>IF($A22="","",IF(Perioade!$A23="","ultima perioadă",Perioade!$C23-Perioade!$D22-1))</f>
        <v/>
      </c>
      <c r="F22" s="52" t="str">
        <f>IF($A22="","",IF(OR(Calcule!$C22&lt;2,Calcule!$C22&gt;7),"⚠ nopți minime între 2 și 7",IF(AND(Perioade!$G22&lt;&gt;"",Perioade!$G22&lt;&gt;"Standard",Perioade!$G22&lt;&gt;"Preț fix",Perioade!$G22&lt;&gt;"Personalizat"),"⚠ alege Standard / Preț fix / Personalizat (acum se aplică Standard)",IF(AND(Calcule!$B22="Personalizat",COUNT(Perioade!$H22:$M22)=0),"⚠ completează reducerile (sau alege Preț fix)","OK"))))</f>
        <v/>
      </c>
      <c r="G22" s="52" t="str">
        <f>IF($A22="","",IF(Calcule!$R22&lt;=0,"⚠ lipsește prețul","OK"))</f>
        <v/>
      </c>
      <c r="H22" s="52" t="str">
        <f>IF($A22="","",IF(AND(D22="OK",OR(E22="ultima perioadă",E22=0),F22="OK",G22="OK"),IF(Calcule!$B22="Personalizat","OK · Booking: planuri separate","OK"),"⚠ verifică"))</f>
        <v/>
      </c>
    </row>
    <row r="23" spans="1:8" x14ac:dyDescent="0.2">
      <c r="A23" s="53" t="str">
        <f>IF(Perioade!$A23="","",Perioade!$A23)</f>
        <v/>
      </c>
      <c r="B23" s="76" t="str">
        <f>IF($A23="","",Perioade!$C23)</f>
        <v/>
      </c>
      <c r="C23" s="76" t="str">
        <f>IF($A23="","",Perioade!$D23)</f>
        <v/>
      </c>
      <c r="D23" s="52" t="str">
        <f>IF($A23="","",IF(Perioade!$D23&lt;Perioade!$C23,"⚠ sfârșit înainte de început",IF(Perioade!$A24="","OK",IF(Perioade!$C24&lt;=Perioade!$D23,"⚠ se suprapune / neordonat","OK"))))</f>
        <v/>
      </c>
      <c r="E23" s="77" t="str">
        <f>IF($A23="","",IF(Perioade!$A24="","ultima perioadă",Perioade!$C24-Perioade!$D23-1))</f>
        <v/>
      </c>
      <c r="F23" s="52" t="str">
        <f>IF($A23="","",IF(OR(Calcule!$C23&lt;2,Calcule!$C23&gt;7),"⚠ nopți minime între 2 și 7",IF(AND(Perioade!$G23&lt;&gt;"",Perioade!$G23&lt;&gt;"Standard",Perioade!$G23&lt;&gt;"Preț fix",Perioade!$G23&lt;&gt;"Personalizat"),"⚠ alege Standard / Preț fix / Personalizat (acum se aplică Standard)",IF(AND(Calcule!$B23="Personalizat",COUNT(Perioade!$H23:$M23)=0),"⚠ completează reducerile (sau alege Preț fix)","OK"))))</f>
        <v/>
      </c>
      <c r="G23" s="52" t="str">
        <f>IF($A23="","",IF(Calcule!$R23&lt;=0,"⚠ lipsește prețul","OK"))</f>
        <v/>
      </c>
      <c r="H23" s="52" t="str">
        <f>IF($A23="","",IF(AND(D23="OK",OR(E23="ultima perioadă",E23=0),F23="OK",G23="OK"),IF(Calcule!$B23="Personalizat","OK · Booking: planuri separate","OK"),"⚠ verifică"))</f>
        <v/>
      </c>
    </row>
    <row r="24" spans="1:8" x14ac:dyDescent="0.2">
      <c r="A24" s="53" t="str">
        <f>IF(Perioade!$A24="","",Perioade!$A24)</f>
        <v/>
      </c>
      <c r="B24" s="76" t="str">
        <f>IF($A24="","",Perioade!$C24)</f>
        <v/>
      </c>
      <c r="C24" s="76" t="str">
        <f>IF($A24="","",Perioade!$D24)</f>
        <v/>
      </c>
      <c r="D24" s="52" t="str">
        <f>IF($A24="","",IF(Perioade!$D24&lt;Perioade!$C24,"⚠ sfârșit înainte de început",IF(Perioade!$A25="","OK",IF(Perioade!$C25&lt;=Perioade!$D24,"⚠ se suprapune / neordonat","OK"))))</f>
        <v/>
      </c>
      <c r="E24" s="77" t="str">
        <f>IF($A24="","",IF(Perioade!$A25="","ultima perioadă",Perioade!$C25-Perioade!$D24-1))</f>
        <v/>
      </c>
      <c r="F24" s="52" t="str">
        <f>IF($A24="","",IF(OR(Calcule!$C24&lt;2,Calcule!$C24&gt;7),"⚠ nopți minime între 2 și 7",IF(AND(Perioade!$G24&lt;&gt;"",Perioade!$G24&lt;&gt;"Standard",Perioade!$G24&lt;&gt;"Preț fix",Perioade!$G24&lt;&gt;"Personalizat"),"⚠ alege Standard / Preț fix / Personalizat (acum se aplică Standard)",IF(AND(Calcule!$B24="Personalizat",COUNT(Perioade!$H24:$M24)=0),"⚠ completează reducerile (sau alege Preț fix)","OK"))))</f>
        <v/>
      </c>
      <c r="G24" s="52" t="str">
        <f>IF($A24="","",IF(Calcule!$R24&lt;=0,"⚠ lipsește prețul","OK"))</f>
        <v/>
      </c>
      <c r="H24" s="52" t="str">
        <f>IF($A24="","",IF(AND(D24="OK",OR(E24="ultima perioadă",E24=0),F24="OK",G24="OK"),IF(Calcule!$B24="Personalizat","OK · Booking: planuri separate","OK"),"⚠ verifică"))</f>
        <v/>
      </c>
    </row>
    <row r="25" spans="1:8" x14ac:dyDescent="0.2">
      <c r="A25" s="53" t="str">
        <f>IF(Perioade!$A25="","",Perioade!$A25)</f>
        <v/>
      </c>
      <c r="B25" s="76" t="str">
        <f>IF($A25="","",Perioade!$C25)</f>
        <v/>
      </c>
      <c r="C25" s="76" t="str">
        <f>IF($A25="","",Perioade!$D25)</f>
        <v/>
      </c>
      <c r="D25" s="52" t="str">
        <f>IF($A25="","",IF(Perioade!$D25&lt;Perioade!$C25,"⚠ sfârșit înainte de început",IF(Perioade!$A26="","OK",IF(Perioade!$C26&lt;=Perioade!$D25,"⚠ se suprapune / neordonat","OK"))))</f>
        <v/>
      </c>
      <c r="E25" s="77" t="str">
        <f>IF($A25="","",IF(Perioade!$A26="","ultima perioadă",Perioade!$C26-Perioade!$D25-1))</f>
        <v/>
      </c>
      <c r="F25" s="52" t="str">
        <f>IF($A25="","",IF(OR(Calcule!$C25&lt;2,Calcule!$C25&gt;7),"⚠ nopți minime între 2 și 7",IF(AND(Perioade!$G25&lt;&gt;"",Perioade!$G25&lt;&gt;"Standard",Perioade!$G25&lt;&gt;"Preț fix",Perioade!$G25&lt;&gt;"Personalizat"),"⚠ alege Standard / Preț fix / Personalizat (acum se aplică Standard)",IF(AND(Calcule!$B25="Personalizat",COUNT(Perioade!$H25:$M25)=0),"⚠ completează reducerile (sau alege Preț fix)","OK"))))</f>
        <v/>
      </c>
      <c r="G25" s="52" t="str">
        <f>IF($A25="","",IF(Calcule!$R25&lt;=0,"⚠ lipsește prețul","OK"))</f>
        <v/>
      </c>
      <c r="H25" s="52" t="str">
        <f>IF($A25="","",IF(AND(D25="OK",OR(E25="ultima perioadă",E25=0),F25="OK",G25="OK"),IF(Calcule!$B25="Personalizat","OK · Booking: planuri separate","OK"),"⚠ verifică"))</f>
        <v/>
      </c>
    </row>
    <row r="26" spans="1:8" x14ac:dyDescent="0.2">
      <c r="A26" s="53" t="str">
        <f>IF(Perioade!$A26="","",Perioade!$A26)</f>
        <v/>
      </c>
      <c r="B26" s="76" t="str">
        <f>IF($A26="","",Perioade!$C26)</f>
        <v/>
      </c>
      <c r="C26" s="76" t="str">
        <f>IF($A26="","",Perioade!$D26)</f>
        <v/>
      </c>
      <c r="D26" s="52" t="str">
        <f>IF($A26="","",IF(Perioade!$D26&lt;Perioade!$C26,"⚠ sfârșit înainte de început",IF(Perioade!$A27="","OK",IF(Perioade!$C27&lt;=Perioade!$D26,"⚠ se suprapune / neordonat","OK"))))</f>
        <v/>
      </c>
      <c r="E26" s="77" t="str">
        <f>IF($A26="","",IF(Perioade!$A27="","ultima perioadă",Perioade!$C27-Perioade!$D26-1))</f>
        <v/>
      </c>
      <c r="F26" s="52" t="str">
        <f>IF($A26="","",IF(OR(Calcule!$C26&lt;2,Calcule!$C26&gt;7),"⚠ nopți minime între 2 și 7",IF(AND(Perioade!$G26&lt;&gt;"",Perioade!$G26&lt;&gt;"Standard",Perioade!$G26&lt;&gt;"Preț fix",Perioade!$G26&lt;&gt;"Personalizat"),"⚠ alege Standard / Preț fix / Personalizat (acum se aplică Standard)",IF(AND(Calcule!$B26="Personalizat",COUNT(Perioade!$H26:$M26)=0),"⚠ completează reducerile (sau alege Preț fix)","OK"))))</f>
        <v/>
      </c>
      <c r="G26" s="52" t="str">
        <f>IF($A26="","",IF(Calcule!$R26&lt;=0,"⚠ lipsește prețul","OK"))</f>
        <v/>
      </c>
      <c r="H26" s="52" t="str">
        <f>IF($A26="","",IF(AND(D26="OK",OR(E26="ultima perioadă",E26=0),F26="OK",G26="OK"),IF(Calcule!$B26="Personalizat","OK · Booking: planuri separate","OK"),"⚠ verifică"))</f>
        <v/>
      </c>
    </row>
    <row r="27" spans="1:8" x14ac:dyDescent="0.2">
      <c r="A27" s="53" t="str">
        <f>IF(Perioade!$A27="","",Perioade!$A27)</f>
        <v/>
      </c>
      <c r="B27" s="76" t="str">
        <f>IF($A27="","",Perioade!$C27)</f>
        <v/>
      </c>
      <c r="C27" s="76" t="str">
        <f>IF($A27="","",Perioade!$D27)</f>
        <v/>
      </c>
      <c r="D27" s="52" t="str">
        <f>IF($A27="","",IF(Perioade!$D27&lt;Perioade!$C27,"⚠ sfârșit înainte de început",IF(Perioade!$A28="","OK",IF(Perioade!$C28&lt;=Perioade!$D27,"⚠ se suprapune / neordonat","OK"))))</f>
        <v/>
      </c>
      <c r="E27" s="77" t="str">
        <f>IF($A27="","",IF(Perioade!$A28="","ultima perioadă",Perioade!$C28-Perioade!$D27-1))</f>
        <v/>
      </c>
      <c r="F27" s="52" t="str">
        <f>IF($A27="","",IF(OR(Calcule!$C27&lt;2,Calcule!$C27&gt;7),"⚠ nopți minime între 2 și 7",IF(AND(Perioade!$G27&lt;&gt;"",Perioade!$G27&lt;&gt;"Standard",Perioade!$G27&lt;&gt;"Preț fix",Perioade!$G27&lt;&gt;"Personalizat"),"⚠ alege Standard / Preț fix / Personalizat (acum se aplică Standard)",IF(AND(Calcule!$B27="Personalizat",COUNT(Perioade!$H27:$M27)=0),"⚠ completează reducerile (sau alege Preț fix)","OK"))))</f>
        <v/>
      </c>
      <c r="G27" s="52" t="str">
        <f>IF($A27="","",IF(Calcule!$R27&lt;=0,"⚠ lipsește prețul","OK"))</f>
        <v/>
      </c>
      <c r="H27" s="52" t="str">
        <f>IF($A27="","",IF(AND(D27="OK",OR(E27="ultima perioadă",E27=0),F27="OK",G27="OK"),IF(Calcule!$B27="Personalizat","OK · Booking: planuri separate","OK"),"⚠ verifică"))</f>
        <v/>
      </c>
    </row>
    <row r="28" spans="1:8" x14ac:dyDescent="0.2">
      <c r="A28" s="53" t="str">
        <f>IF(Perioade!$A28="","",Perioade!$A28)</f>
        <v/>
      </c>
      <c r="B28" s="76" t="str">
        <f>IF($A28="","",Perioade!$C28)</f>
        <v/>
      </c>
      <c r="C28" s="76" t="str">
        <f>IF($A28="","",Perioade!$D28)</f>
        <v/>
      </c>
      <c r="D28" s="52" t="str">
        <f>IF($A28="","",IF(Perioade!$D28&lt;Perioade!$C28,"⚠ sfârșit înainte de început",IF(Perioade!$A29="","OK",IF(Perioade!$C29&lt;=Perioade!$D28,"⚠ se suprapune / neordonat","OK"))))</f>
        <v/>
      </c>
      <c r="E28" s="77" t="str">
        <f>IF($A28="","",IF(Perioade!$A29="","ultima perioadă",Perioade!$C29-Perioade!$D28-1))</f>
        <v/>
      </c>
      <c r="F28" s="52" t="str">
        <f>IF($A28="","",IF(OR(Calcule!$C28&lt;2,Calcule!$C28&gt;7),"⚠ nopți minime între 2 și 7",IF(AND(Perioade!$G28&lt;&gt;"",Perioade!$G28&lt;&gt;"Standard",Perioade!$G28&lt;&gt;"Preț fix",Perioade!$G28&lt;&gt;"Personalizat"),"⚠ alege Standard / Preț fix / Personalizat (acum se aplică Standard)",IF(AND(Calcule!$B28="Personalizat",COUNT(Perioade!$H28:$M28)=0),"⚠ completează reducerile (sau alege Preț fix)","OK"))))</f>
        <v/>
      </c>
      <c r="G28" s="52" t="str">
        <f>IF($A28="","",IF(Calcule!$R28&lt;=0,"⚠ lipsește prețul","OK"))</f>
        <v/>
      </c>
      <c r="H28" s="52" t="str">
        <f>IF($A28="","",IF(AND(D28="OK",OR(E28="ultima perioadă",E28=0),F28="OK",G28="OK"),IF(Calcule!$B28="Personalizat","OK · Booking: planuri separate","OK"),"⚠ verifică"))</f>
        <v/>
      </c>
    </row>
    <row r="29" spans="1:8" x14ac:dyDescent="0.2">
      <c r="A29" s="53" t="str">
        <f>IF(Perioade!$A29="","",Perioade!$A29)</f>
        <v/>
      </c>
      <c r="B29" s="76" t="str">
        <f>IF($A29="","",Perioade!$C29)</f>
        <v/>
      </c>
      <c r="C29" s="76" t="str">
        <f>IF($A29="","",Perioade!$D29)</f>
        <v/>
      </c>
      <c r="D29" s="52" t="str">
        <f>IF($A29="","",IF(Perioade!$D29&lt;Perioade!$C29,"⚠ sfârșit înainte de început",IF(Perioade!$A30="","OK",IF(Perioade!$C30&lt;=Perioade!$D29,"⚠ se suprapune / neordonat","OK"))))</f>
        <v/>
      </c>
      <c r="E29" s="77" t="str">
        <f>IF($A29="","",IF(Perioade!$A30="","ultima perioadă",Perioade!$C30-Perioade!$D29-1))</f>
        <v/>
      </c>
      <c r="F29" s="52" t="str">
        <f>IF($A29="","",IF(OR(Calcule!$C29&lt;2,Calcule!$C29&gt;7),"⚠ nopți minime între 2 și 7",IF(AND(Perioade!$G29&lt;&gt;"",Perioade!$G29&lt;&gt;"Standard",Perioade!$G29&lt;&gt;"Preț fix",Perioade!$G29&lt;&gt;"Personalizat"),"⚠ alege Standard / Preț fix / Personalizat (acum se aplică Standard)",IF(AND(Calcule!$B29="Personalizat",COUNT(Perioade!$H29:$M29)=0),"⚠ completează reducerile (sau alege Preț fix)","OK"))))</f>
        <v/>
      </c>
      <c r="G29" s="52" t="str">
        <f>IF($A29="","",IF(Calcule!$R29&lt;=0,"⚠ lipsește prețul","OK"))</f>
        <v/>
      </c>
      <c r="H29" s="52" t="str">
        <f>IF($A29="","",IF(AND(D29="OK",OR(E29="ultima perioadă",E29=0),F29="OK",G29="OK"),IF(Calcule!$B29="Personalizat","OK · Booking: planuri separate","OK"),"⚠ verifică"))</f>
        <v/>
      </c>
    </row>
    <row r="30" spans="1:8" x14ac:dyDescent="0.2">
      <c r="A30" s="53" t="str">
        <f>IF(Perioade!$A30="","",Perioade!$A30)</f>
        <v/>
      </c>
      <c r="B30" s="76" t="str">
        <f>IF($A30="","",Perioade!$C30)</f>
        <v/>
      </c>
      <c r="C30" s="76" t="str">
        <f>IF($A30="","",Perioade!$D30)</f>
        <v/>
      </c>
      <c r="D30" s="52" t="str">
        <f>IF($A30="","",IF(Perioade!$D30&lt;Perioade!$C30,"⚠ sfârșit înainte de început",IF(Perioade!$A31="","OK",IF(Perioade!$C31&lt;=Perioade!$D30,"⚠ se suprapune / neordonat","OK"))))</f>
        <v/>
      </c>
      <c r="E30" s="77" t="str">
        <f>IF($A30="","",IF(Perioade!$A31="","ultima perioadă",Perioade!$C31-Perioade!$D30-1))</f>
        <v/>
      </c>
      <c r="F30" s="52" t="str">
        <f>IF($A30="","",IF(OR(Calcule!$C30&lt;2,Calcule!$C30&gt;7),"⚠ nopți minime între 2 și 7",IF(AND(Perioade!$G30&lt;&gt;"",Perioade!$G30&lt;&gt;"Standard",Perioade!$G30&lt;&gt;"Preț fix",Perioade!$G30&lt;&gt;"Personalizat"),"⚠ alege Standard / Preț fix / Personalizat (acum se aplică Standard)",IF(AND(Calcule!$B30="Personalizat",COUNT(Perioade!$H30:$M30)=0),"⚠ completează reducerile (sau alege Preț fix)","OK"))))</f>
        <v/>
      </c>
      <c r="G30" s="52" t="str">
        <f>IF($A30="","",IF(Calcule!$R30&lt;=0,"⚠ lipsește prețul","OK"))</f>
        <v/>
      </c>
      <c r="H30" s="52" t="str">
        <f>IF($A30="","",IF(AND(D30="OK",OR(E30="ultima perioadă",E30=0),F30="OK",G30="OK"),IF(Calcule!$B30="Personalizat","OK · Booking: planuri separate","OK"),"⚠ verifică"))</f>
        <v/>
      </c>
    </row>
    <row r="31" spans="1:8" x14ac:dyDescent="0.2">
      <c r="A31" s="53" t="str">
        <f>IF(Perioade!$A31="","",Perioade!$A31)</f>
        <v/>
      </c>
      <c r="B31" s="76" t="str">
        <f>IF($A31="","",Perioade!$C31)</f>
        <v/>
      </c>
      <c r="C31" s="76" t="str">
        <f>IF($A31="","",Perioade!$D31)</f>
        <v/>
      </c>
      <c r="D31" s="52" t="str">
        <f>IF($A31="","",IF(Perioade!$D31&lt;Perioade!$C31,"⚠ sfârșit înainte de început",IF(Perioade!$A32="","OK",IF(Perioade!$C32&lt;=Perioade!$D31,"⚠ se suprapune / neordonat","OK"))))</f>
        <v/>
      </c>
      <c r="E31" s="77" t="str">
        <f>IF($A31="","",IF(Perioade!$A32="","ultima perioadă",Perioade!$C32-Perioade!$D31-1))</f>
        <v/>
      </c>
      <c r="F31" s="52" t="str">
        <f>IF($A31="","",IF(OR(Calcule!$C31&lt;2,Calcule!$C31&gt;7),"⚠ nopți minime între 2 și 7",IF(AND(Perioade!$G31&lt;&gt;"",Perioade!$G31&lt;&gt;"Standard",Perioade!$G31&lt;&gt;"Preț fix",Perioade!$G31&lt;&gt;"Personalizat"),"⚠ alege Standard / Preț fix / Personalizat (acum se aplică Standard)",IF(AND(Calcule!$B31="Personalizat",COUNT(Perioade!$H31:$M31)=0),"⚠ completează reducerile (sau alege Preț fix)","OK"))))</f>
        <v/>
      </c>
      <c r="G31" s="52" t="str">
        <f>IF($A31="","",IF(Calcule!$R31&lt;=0,"⚠ lipsește prețul","OK"))</f>
        <v/>
      </c>
      <c r="H31" s="52" t="str">
        <f>IF($A31="","",IF(AND(D31="OK",OR(E31="ultima perioadă",E31=0),F31="OK",G31="OK"),IF(Calcule!$B31="Personalizat","OK · Booking: planuri separate","OK"),"⚠ verifică"))</f>
        <v/>
      </c>
    </row>
    <row r="32" spans="1:8" x14ac:dyDescent="0.2">
      <c r="A32" s="53" t="str">
        <f>IF(Perioade!$A32="","",Perioade!$A32)</f>
        <v/>
      </c>
      <c r="B32" s="76" t="str">
        <f>IF($A32="","",Perioade!$C32)</f>
        <v/>
      </c>
      <c r="C32" s="76" t="str">
        <f>IF($A32="","",Perioade!$D32)</f>
        <v/>
      </c>
      <c r="D32" s="52" t="str">
        <f>IF($A32="","",IF(Perioade!$D32&lt;Perioade!$C32,"⚠ sfârșit înainte de început",IF(Perioade!$A33="","OK",IF(Perioade!$C33&lt;=Perioade!$D32,"⚠ se suprapune / neordonat","OK"))))</f>
        <v/>
      </c>
      <c r="E32" s="77" t="str">
        <f>IF($A32="","",IF(Perioade!$A33="","ultima perioadă",Perioade!$C33-Perioade!$D32-1))</f>
        <v/>
      </c>
      <c r="F32" s="52" t="str">
        <f>IF($A32="","",IF(OR(Calcule!$C32&lt;2,Calcule!$C32&gt;7),"⚠ nopți minime între 2 și 7",IF(AND(Perioade!$G32&lt;&gt;"",Perioade!$G32&lt;&gt;"Standard",Perioade!$G32&lt;&gt;"Preț fix",Perioade!$G32&lt;&gt;"Personalizat"),"⚠ alege Standard / Preț fix / Personalizat (acum se aplică Standard)",IF(AND(Calcule!$B32="Personalizat",COUNT(Perioade!$H32:$M32)=0),"⚠ completează reducerile (sau alege Preț fix)","OK"))))</f>
        <v/>
      </c>
      <c r="G32" s="52" t="str">
        <f>IF($A32="","",IF(Calcule!$R32&lt;=0,"⚠ lipsește prețul","OK"))</f>
        <v/>
      </c>
      <c r="H32" s="52" t="str">
        <f>IF($A32="","",IF(AND(D32="OK",OR(E32="ultima perioadă",E32=0),F32="OK",G32="OK"),IF(Calcule!$B32="Personalizat","OK · Booking: planuri separate","OK"),"⚠ verifică"))</f>
        <v/>
      </c>
    </row>
    <row r="33" spans="1:8" x14ac:dyDescent="0.2">
      <c r="A33" s="53" t="str">
        <f>IF(Perioade!$A33="","",Perioade!$A33)</f>
        <v/>
      </c>
      <c r="B33" s="76" t="str">
        <f>IF($A33="","",Perioade!$C33)</f>
        <v/>
      </c>
      <c r="C33" s="76" t="str">
        <f>IF($A33="","",Perioade!$D33)</f>
        <v/>
      </c>
      <c r="D33" s="52" t="str">
        <f>IF($A33="","",IF(Perioade!$D33&lt;Perioade!$C33,"⚠ sfârșit înainte de început",IF(Perioade!$A34="","OK",IF(Perioade!$C34&lt;=Perioade!$D33,"⚠ se suprapune / neordonat","OK"))))</f>
        <v/>
      </c>
      <c r="E33" s="77" t="str">
        <f>IF($A33="","",IF(Perioade!$A34="","ultima perioadă",Perioade!$C34-Perioade!$D33-1))</f>
        <v/>
      </c>
      <c r="F33" s="52" t="str">
        <f>IF($A33="","",IF(OR(Calcule!$C33&lt;2,Calcule!$C33&gt;7),"⚠ nopți minime între 2 și 7",IF(AND(Perioade!$G33&lt;&gt;"",Perioade!$G33&lt;&gt;"Standard",Perioade!$G33&lt;&gt;"Preț fix",Perioade!$G33&lt;&gt;"Personalizat"),"⚠ alege Standard / Preț fix / Personalizat (acum se aplică Standard)",IF(AND(Calcule!$B33="Personalizat",COUNT(Perioade!$H33:$M33)=0),"⚠ completează reducerile (sau alege Preț fix)","OK"))))</f>
        <v/>
      </c>
      <c r="G33" s="52" t="str">
        <f>IF($A33="","",IF(Calcule!$R33&lt;=0,"⚠ lipsește prețul","OK"))</f>
        <v/>
      </c>
      <c r="H33" s="52" t="str">
        <f>IF($A33="","",IF(AND(D33="OK",OR(E33="ultima perioadă",E33=0),F33="OK",G33="OK"),IF(Calcule!$B33="Personalizat","OK · Booking: planuri separate","OK"),"⚠ verifică"))</f>
        <v/>
      </c>
    </row>
    <row r="34" spans="1:8" x14ac:dyDescent="0.2">
      <c r="A34" s="53" t="str">
        <f>IF(Perioade!$A34="","",Perioade!$A34)</f>
        <v/>
      </c>
      <c r="B34" s="76" t="str">
        <f>IF($A34="","",Perioade!$C34)</f>
        <v/>
      </c>
      <c r="C34" s="76" t="str">
        <f>IF($A34="","",Perioade!$D34)</f>
        <v/>
      </c>
      <c r="D34" s="52" t="str">
        <f>IF($A34="","",IF(Perioade!$D34&lt;Perioade!$C34,"⚠ sfârșit înainte de început",IF(Perioade!$A35="","OK",IF(Perioade!$C35&lt;=Perioade!$D34,"⚠ se suprapune / neordonat","OK"))))</f>
        <v/>
      </c>
      <c r="E34" s="77" t="str">
        <f>IF($A34="","",IF(Perioade!$A35="","ultima perioadă",Perioade!$C35-Perioade!$D34-1))</f>
        <v/>
      </c>
      <c r="F34" s="52" t="str">
        <f>IF($A34="","",IF(OR(Calcule!$C34&lt;2,Calcule!$C34&gt;7),"⚠ nopți minime între 2 și 7",IF(AND(Perioade!$G34&lt;&gt;"",Perioade!$G34&lt;&gt;"Standard",Perioade!$G34&lt;&gt;"Preț fix",Perioade!$G34&lt;&gt;"Personalizat"),"⚠ alege Standard / Preț fix / Personalizat (acum se aplică Standard)",IF(AND(Calcule!$B34="Personalizat",COUNT(Perioade!$H34:$M34)=0),"⚠ completează reducerile (sau alege Preț fix)","OK"))))</f>
        <v/>
      </c>
      <c r="G34" s="52" t="str">
        <f>IF($A34="","",IF(Calcule!$R34&lt;=0,"⚠ lipsește prețul","OK"))</f>
        <v/>
      </c>
      <c r="H34" s="52" t="str">
        <f>IF($A34="","",IF(AND(D34="OK",OR(E34="ultima perioadă",E34=0),F34="OK",G34="OK"),IF(Calcule!$B34="Personalizat","OK · Booking: planuri separate","OK"),"⚠ verifică"))</f>
        <v/>
      </c>
    </row>
    <row r="35" spans="1:8" x14ac:dyDescent="0.2">
      <c r="A35" s="53" t="str">
        <f>IF(Perioade!$A35="","",Perioade!$A35)</f>
        <v/>
      </c>
      <c r="B35" s="76" t="str">
        <f>IF($A35="","",Perioade!$C35)</f>
        <v/>
      </c>
      <c r="C35" s="76" t="str">
        <f>IF($A35="","",Perioade!$D35)</f>
        <v/>
      </c>
      <c r="D35" s="52" t="str">
        <f>IF($A35="","",IF(Perioade!$D35&lt;Perioade!$C35,"⚠ sfârșit înainte de început",IF(Perioade!$A36="","OK",IF(Perioade!$C36&lt;=Perioade!$D35,"⚠ se suprapune / neordonat","OK"))))</f>
        <v/>
      </c>
      <c r="E35" s="77" t="str">
        <f>IF($A35="","",IF(Perioade!$A36="","ultima perioadă",Perioade!$C36-Perioade!$D35-1))</f>
        <v/>
      </c>
      <c r="F35" s="52" t="str">
        <f>IF($A35="","",IF(OR(Calcule!$C35&lt;2,Calcule!$C35&gt;7),"⚠ nopți minime între 2 și 7",IF(AND(Perioade!$G35&lt;&gt;"",Perioade!$G35&lt;&gt;"Standard",Perioade!$G35&lt;&gt;"Preț fix",Perioade!$G35&lt;&gt;"Personalizat"),"⚠ alege Standard / Preț fix / Personalizat (acum se aplică Standard)",IF(AND(Calcule!$B35="Personalizat",COUNT(Perioade!$H35:$M35)=0),"⚠ completează reducerile (sau alege Preț fix)","OK"))))</f>
        <v/>
      </c>
      <c r="G35" s="52" t="str">
        <f>IF($A35="","",IF(Calcule!$R35&lt;=0,"⚠ lipsește prețul","OK"))</f>
        <v/>
      </c>
      <c r="H35" s="52" t="str">
        <f>IF($A35="","",IF(AND(D35="OK",OR(E35="ultima perioadă",E35=0),F35="OK",G35="OK"),IF(Calcule!$B35="Personalizat","OK · Booking: planuri separate","OK"),"⚠ verifică"))</f>
        <v/>
      </c>
    </row>
    <row r="36" spans="1:8" x14ac:dyDescent="0.2">
      <c r="A36" s="53" t="str">
        <f>IF(Perioade!$A36="","",Perioade!$A36)</f>
        <v/>
      </c>
      <c r="B36" s="76" t="str">
        <f>IF($A36="","",Perioade!$C36)</f>
        <v/>
      </c>
      <c r="C36" s="76" t="str">
        <f>IF($A36="","",Perioade!$D36)</f>
        <v/>
      </c>
      <c r="D36" s="52" t="str">
        <f>IF($A36="","",IF(Perioade!$D36&lt;Perioade!$C36,"⚠ sfârșit înainte de început",IF(Perioade!$A37="","OK",IF(Perioade!$C37&lt;=Perioade!$D36,"⚠ se suprapune / neordonat","OK"))))</f>
        <v/>
      </c>
      <c r="E36" s="77" t="str">
        <f>IF($A36="","",IF(Perioade!$A37="","ultima perioadă",Perioade!$C37-Perioade!$D36-1))</f>
        <v/>
      </c>
      <c r="F36" s="52" t="str">
        <f>IF($A36="","",IF(OR(Calcule!$C36&lt;2,Calcule!$C36&gt;7),"⚠ nopți minime între 2 și 7",IF(AND(Perioade!$G36&lt;&gt;"",Perioade!$G36&lt;&gt;"Standard",Perioade!$G36&lt;&gt;"Preț fix",Perioade!$G36&lt;&gt;"Personalizat"),"⚠ alege Standard / Preț fix / Personalizat (acum se aplică Standard)",IF(AND(Calcule!$B36="Personalizat",COUNT(Perioade!$H36:$M36)=0),"⚠ completează reducerile (sau alege Preț fix)","OK"))))</f>
        <v/>
      </c>
      <c r="G36" s="52" t="str">
        <f>IF($A36="","",IF(Calcule!$R36&lt;=0,"⚠ lipsește prețul","OK"))</f>
        <v/>
      </c>
      <c r="H36" s="52" t="str">
        <f>IF($A36="","",IF(AND(D36="OK",OR(E36="ultima perioadă",E36=0),F36="OK",G36="OK"),IF(Calcule!$B36="Personalizat","OK · Booking: planuri separate","OK"),"⚠ verifică"))</f>
        <v/>
      </c>
    </row>
    <row r="37" spans="1:8" x14ac:dyDescent="0.2">
      <c r="A37" s="53" t="str">
        <f>IF(Perioade!$A37="","",Perioade!$A37)</f>
        <v/>
      </c>
      <c r="B37" s="76" t="str">
        <f>IF($A37="","",Perioade!$C37)</f>
        <v/>
      </c>
      <c r="C37" s="76" t="str">
        <f>IF($A37="","",Perioade!$D37)</f>
        <v/>
      </c>
      <c r="D37" s="52" t="str">
        <f>IF($A37="","",IF(Perioade!$D37&lt;Perioade!$C37,"⚠ sfârșit înainte de început",IF(Perioade!$A38="","OK",IF(Perioade!$C38&lt;=Perioade!$D37,"⚠ se suprapune / neordonat","OK"))))</f>
        <v/>
      </c>
      <c r="E37" s="77" t="str">
        <f>IF($A37="","",IF(Perioade!$A38="","ultima perioadă",Perioade!$C38-Perioade!$D37-1))</f>
        <v/>
      </c>
      <c r="F37" s="52" t="str">
        <f>IF($A37="","",IF(OR(Calcule!$C37&lt;2,Calcule!$C37&gt;7),"⚠ nopți minime între 2 și 7",IF(AND(Perioade!$G37&lt;&gt;"",Perioade!$G37&lt;&gt;"Standard",Perioade!$G37&lt;&gt;"Preț fix",Perioade!$G37&lt;&gt;"Personalizat"),"⚠ alege Standard / Preț fix / Personalizat (acum se aplică Standard)",IF(AND(Calcule!$B37="Personalizat",COUNT(Perioade!$H37:$M37)=0),"⚠ completează reducerile (sau alege Preț fix)","OK"))))</f>
        <v/>
      </c>
      <c r="G37" s="52" t="str">
        <f>IF($A37="","",IF(Calcule!$R37&lt;=0,"⚠ lipsește prețul","OK"))</f>
        <v/>
      </c>
      <c r="H37" s="52" t="str">
        <f>IF($A37="","",IF(AND(D37="OK",OR(E37="ultima perioadă",E37=0),F37="OK",G37="OK"),IF(Calcule!$B37="Personalizat","OK · Booking: planuri separate","OK"),"⚠ verifică"))</f>
        <v/>
      </c>
    </row>
    <row r="38" spans="1:8" x14ac:dyDescent="0.2">
      <c r="A38" s="53" t="str">
        <f>IF(Perioade!$A38="","",Perioade!$A38)</f>
        <v/>
      </c>
      <c r="B38" s="76" t="str">
        <f>IF($A38="","",Perioade!$C38)</f>
        <v/>
      </c>
      <c r="C38" s="76" t="str">
        <f>IF($A38="","",Perioade!$D38)</f>
        <v/>
      </c>
      <c r="D38" s="52" t="str">
        <f>IF($A38="","",IF(Perioade!$D38&lt;Perioade!$C38,"⚠ sfârșit înainte de început",IF(Perioade!$A39="","OK",IF(Perioade!$C39&lt;=Perioade!$D38,"⚠ se suprapune / neordonat","OK"))))</f>
        <v/>
      </c>
      <c r="E38" s="77" t="str">
        <f>IF($A38="","",IF(Perioade!$A39="","ultima perioadă",Perioade!$C39-Perioade!$D38-1))</f>
        <v/>
      </c>
      <c r="F38" s="52" t="str">
        <f>IF($A38="","",IF(OR(Calcule!$C38&lt;2,Calcule!$C38&gt;7),"⚠ nopți minime între 2 și 7",IF(AND(Perioade!$G38&lt;&gt;"",Perioade!$G38&lt;&gt;"Standard",Perioade!$G38&lt;&gt;"Preț fix",Perioade!$G38&lt;&gt;"Personalizat"),"⚠ alege Standard / Preț fix / Personalizat (acum se aplică Standard)",IF(AND(Calcule!$B38="Personalizat",COUNT(Perioade!$H38:$M38)=0),"⚠ completează reducerile (sau alege Preț fix)","OK"))))</f>
        <v/>
      </c>
      <c r="G38" s="52" t="str">
        <f>IF($A38="","",IF(Calcule!$R38&lt;=0,"⚠ lipsește prețul","OK"))</f>
        <v/>
      </c>
      <c r="H38" s="52" t="str">
        <f>IF($A38="","",IF(AND(D38="OK",OR(E38="ultima perioadă",E38=0),F38="OK",G38="OK"),IF(Calcule!$B38="Personalizat","OK · Booking: planuri separate","OK"),"⚠ verifică"))</f>
        <v/>
      </c>
    </row>
    <row r="39" spans="1:8" x14ac:dyDescent="0.2">
      <c r="A39" s="53" t="str">
        <f>IF(Perioade!$A39="","",Perioade!$A39)</f>
        <v/>
      </c>
      <c r="B39" s="76" t="str">
        <f>IF($A39="","",Perioade!$C39)</f>
        <v/>
      </c>
      <c r="C39" s="76" t="str">
        <f>IF($A39="","",Perioade!$D39)</f>
        <v/>
      </c>
      <c r="D39" s="52" t="str">
        <f>IF($A39="","",IF(Perioade!$D39&lt;Perioade!$C39,"⚠ sfârșit înainte de început",IF(Perioade!$A40="","OK",IF(Perioade!$C40&lt;=Perioade!$D39,"⚠ se suprapune / neordonat","OK"))))</f>
        <v/>
      </c>
      <c r="E39" s="77" t="str">
        <f>IF($A39="","",IF(Perioade!$A40="","ultima perioadă",Perioade!$C40-Perioade!$D39-1))</f>
        <v/>
      </c>
      <c r="F39" s="52" t="str">
        <f>IF($A39="","",IF(OR(Calcule!$C39&lt;2,Calcule!$C39&gt;7),"⚠ nopți minime între 2 și 7",IF(AND(Perioade!$G39&lt;&gt;"",Perioade!$G39&lt;&gt;"Standard",Perioade!$G39&lt;&gt;"Preț fix",Perioade!$G39&lt;&gt;"Personalizat"),"⚠ alege Standard / Preț fix / Personalizat (acum se aplică Standard)",IF(AND(Calcule!$B39="Personalizat",COUNT(Perioade!$H39:$M39)=0),"⚠ completează reducerile (sau alege Preț fix)","OK"))))</f>
        <v/>
      </c>
      <c r="G39" s="52" t="str">
        <f>IF($A39="","",IF(Calcule!$R39&lt;=0,"⚠ lipsește prețul","OK"))</f>
        <v/>
      </c>
      <c r="H39" s="52" t="str">
        <f>IF($A39="","",IF(AND(D39="OK",OR(E39="ultima perioadă",E39=0),F39="OK",G39="OK"),IF(Calcule!$B39="Personalizat","OK · Booking: planuri separate","OK"),"⚠ verifică"))</f>
        <v/>
      </c>
    </row>
    <row r="40" spans="1:8" x14ac:dyDescent="0.2">
      <c r="A40" s="53" t="str">
        <f>IF(Perioade!$A40="","",Perioade!$A40)</f>
        <v/>
      </c>
      <c r="B40" s="76" t="str">
        <f>IF($A40="","",Perioade!$C40)</f>
        <v/>
      </c>
      <c r="C40" s="76" t="str">
        <f>IF($A40="","",Perioade!$D40)</f>
        <v/>
      </c>
      <c r="D40" s="52" t="str">
        <f>IF($A40="","",IF(Perioade!$D40&lt;Perioade!$C40,"⚠ sfârșit înainte de început",IF(Perioade!$A41="","OK",IF(Perioade!$C41&lt;=Perioade!$D40,"⚠ se suprapune / neordonat","OK"))))</f>
        <v/>
      </c>
      <c r="E40" s="77" t="str">
        <f>IF($A40="","",IF(Perioade!$A41="","ultima perioadă",Perioade!$C41-Perioade!$D40-1))</f>
        <v/>
      </c>
      <c r="F40" s="52" t="str">
        <f>IF($A40="","",IF(OR(Calcule!$C40&lt;2,Calcule!$C40&gt;7),"⚠ nopți minime între 2 și 7",IF(AND(Perioade!$G40&lt;&gt;"",Perioade!$G40&lt;&gt;"Standard",Perioade!$G40&lt;&gt;"Preț fix",Perioade!$G40&lt;&gt;"Personalizat"),"⚠ alege Standard / Preț fix / Personalizat (acum se aplică Standard)",IF(AND(Calcule!$B40="Personalizat",COUNT(Perioade!$H40:$M40)=0),"⚠ completează reducerile (sau alege Preț fix)","OK"))))</f>
        <v/>
      </c>
      <c r="G40" s="52" t="str">
        <f>IF($A40="","",IF(Calcule!$R40&lt;=0,"⚠ lipsește prețul","OK"))</f>
        <v/>
      </c>
      <c r="H40" s="52" t="str">
        <f>IF($A40="","",IF(AND(D40="OK",OR(E40="ultima perioadă",E40=0),F40="OK",G40="OK"),IF(Calcule!$B40="Personalizat","OK · Booking: planuri separate","OK"),"⚠ verifică"))</f>
        <v/>
      </c>
    </row>
  </sheetData>
  <conditionalFormatting sqref="D6:H40">
    <cfRule type="containsText" dxfId="0" priority="1" stopIfTrue="1" operator="containsText" text="⚠">
      <formula>NOT(ISERROR(SEARCH("⚠",D6)))</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4429B-EE9F-4C41-8F35-8338FAD6A473}">
  <sheetPr>
    <tabColor rgb="FF7F7F7F"/>
  </sheetPr>
  <dimension ref="A1:CB40"/>
  <sheetViews>
    <sheetView workbookViewId="0">
      <pane xSplit="1" ySplit="5" topLeftCell="B6" activePane="bottomRight" state="frozenSplit"/>
      <selection pane="topRight" activeCell="B1" sqref="B1"/>
      <selection pane="bottomLeft" activeCell="A6" sqref="A6"/>
      <selection pane="bottomRight"/>
    </sheetView>
  </sheetViews>
  <sheetFormatPr defaultRowHeight="12.75" x14ac:dyDescent="0.2"/>
  <cols>
    <col min="1" max="1" width="20.7109375" customWidth="1"/>
    <col min="2" max="80" width="12.7109375" customWidth="1"/>
  </cols>
  <sheetData>
    <row r="1" spans="1:80" ht="18" x14ac:dyDescent="0.25">
      <c r="A1" s="9" t="s">
        <v>128</v>
      </c>
    </row>
    <row r="2" spans="1:80" x14ac:dyDescent="0.2">
      <c r="AS2" s="45" t="s">
        <v>129</v>
      </c>
      <c r="AV2" s="44">
        <f>a_Durata*IF(2&gt;=28,a_Luna,IF(2&gt;=7,a_Sapt,INDEX(p_Std,1,1)))</f>
        <v>0.1</v>
      </c>
      <c r="BA2" s="44">
        <f>a_Durata*IF(3&gt;=28,a_Luna,IF(3&gt;=7,a_Sapt,INDEX(p_Std,1,2)))</f>
        <v>0.12</v>
      </c>
      <c r="BF2" s="44">
        <f>a_Durata*IF(4&gt;=28,a_Luna,IF(4&gt;=7,a_Sapt,INDEX(p_Std,1,3)))</f>
        <v>0.15</v>
      </c>
      <c r="BK2" s="44">
        <f>a_Durata*IF(5&gt;=28,a_Luna,IF(5&gt;=7,a_Sapt,INDEX(p_Std,1,4)))</f>
        <v>0.2</v>
      </c>
      <c r="BP2" s="44">
        <f>a_Durata*IF(6&gt;=28,a_Luna,IF(6&gt;=7,a_Sapt,INDEX(p_Std,1,5)))</f>
        <v>0.25</v>
      </c>
      <c r="BU2" s="44">
        <f>a_Durata*IF(7&gt;=28,a_Luna,IF(7&gt;=7,a_Sapt,INDEX(p_Std,1,6)))</f>
        <v>0.32</v>
      </c>
      <c r="BZ2" s="44">
        <f>a_Durata*IF(14&gt;=28,a_Luna,IF(14&gt;=7,a_Sapt,INDEX(p_Std,1,13)))</f>
        <v>0.32</v>
      </c>
    </row>
    <row r="5" spans="1:80" ht="66" customHeight="1" x14ac:dyDescent="0.2">
      <c r="A5" s="46" t="s">
        <v>112</v>
      </c>
      <c r="B5" s="46" t="s">
        <v>130</v>
      </c>
      <c r="C5" s="46" t="s">
        <v>117</v>
      </c>
      <c r="D5" s="46" t="s">
        <v>131</v>
      </c>
      <c r="E5" s="46" t="s">
        <v>132</v>
      </c>
      <c r="F5" s="46" t="s">
        <v>133</v>
      </c>
      <c r="G5" s="46" t="s">
        <v>134</v>
      </c>
      <c r="H5" s="46" t="s">
        <v>135</v>
      </c>
      <c r="I5" s="46" t="s">
        <v>136</v>
      </c>
      <c r="J5" s="46" t="s">
        <v>137</v>
      </c>
      <c r="K5" s="46" t="s">
        <v>138</v>
      </c>
      <c r="L5" s="46" t="s">
        <v>139</v>
      </c>
      <c r="M5" s="46" t="s">
        <v>140</v>
      </c>
      <c r="N5" s="46" t="s">
        <v>141</v>
      </c>
      <c r="O5" s="46" t="s">
        <v>142</v>
      </c>
      <c r="P5" s="46" t="s">
        <v>143</v>
      </c>
      <c r="Q5" s="46" t="s">
        <v>144</v>
      </c>
      <c r="R5" s="46" t="s">
        <v>116</v>
      </c>
      <c r="S5" s="46" t="s">
        <v>145</v>
      </c>
      <c r="T5" s="46" t="s">
        <v>146</v>
      </c>
      <c r="U5" s="46" t="s">
        <v>147</v>
      </c>
      <c r="V5" s="46" t="s">
        <v>148</v>
      </c>
      <c r="W5" s="46" t="s">
        <v>149</v>
      </c>
      <c r="X5" s="46" t="s">
        <v>150</v>
      </c>
      <c r="Y5" s="46" t="s">
        <v>151</v>
      </c>
      <c r="Z5" s="46" t="s">
        <v>152</v>
      </c>
      <c r="AA5" s="46" t="s">
        <v>153</v>
      </c>
      <c r="AB5" s="46" t="s">
        <v>154</v>
      </c>
      <c r="AC5" s="46" t="s">
        <v>155</v>
      </c>
      <c r="AD5" s="46" t="s">
        <v>156</v>
      </c>
      <c r="AE5" s="46" t="s">
        <v>157</v>
      </c>
      <c r="AF5" s="46" t="s">
        <v>158</v>
      </c>
      <c r="AG5" s="46" t="s">
        <v>159</v>
      </c>
      <c r="AH5" s="46" t="s">
        <v>160</v>
      </c>
      <c r="AI5" s="46" t="s">
        <v>161</v>
      </c>
      <c r="AJ5" s="46" t="s">
        <v>162</v>
      </c>
      <c r="AK5" s="46" t="s">
        <v>163</v>
      </c>
      <c r="AL5" s="46" t="s">
        <v>164</v>
      </c>
      <c r="AM5" s="46" t="s">
        <v>165</v>
      </c>
      <c r="AN5" s="46" t="s">
        <v>166</v>
      </c>
      <c r="AO5" s="46" t="s">
        <v>167</v>
      </c>
      <c r="AP5" s="46" t="s">
        <v>168</v>
      </c>
      <c r="AQ5" s="46" t="s">
        <v>169</v>
      </c>
      <c r="AR5" s="46" t="s">
        <v>170</v>
      </c>
      <c r="AS5" s="46" t="s">
        <v>171</v>
      </c>
      <c r="AT5" s="46" t="s">
        <v>172</v>
      </c>
      <c r="AU5" s="46" t="s">
        <v>173</v>
      </c>
      <c r="AV5" s="46" t="s">
        <v>174</v>
      </c>
      <c r="AW5" s="46" t="s">
        <v>175</v>
      </c>
      <c r="AX5" s="46" t="s">
        <v>176</v>
      </c>
      <c r="AY5" s="46" t="s">
        <v>177</v>
      </c>
      <c r="AZ5" s="46" t="s">
        <v>178</v>
      </c>
      <c r="BA5" s="46" t="s">
        <v>179</v>
      </c>
      <c r="BB5" s="46" t="s">
        <v>180</v>
      </c>
      <c r="BC5" s="46" t="s">
        <v>181</v>
      </c>
      <c r="BD5" s="46" t="s">
        <v>182</v>
      </c>
      <c r="BE5" s="46" t="s">
        <v>183</v>
      </c>
      <c r="BF5" s="46" t="s">
        <v>184</v>
      </c>
      <c r="BG5" s="46" t="s">
        <v>185</v>
      </c>
      <c r="BH5" s="46" t="s">
        <v>186</v>
      </c>
      <c r="BI5" s="46" t="s">
        <v>187</v>
      </c>
      <c r="BJ5" s="46" t="s">
        <v>188</v>
      </c>
      <c r="BK5" s="46" t="s">
        <v>189</v>
      </c>
      <c r="BL5" s="46" t="s">
        <v>190</v>
      </c>
      <c r="BM5" s="46" t="s">
        <v>191</v>
      </c>
      <c r="BN5" s="46" t="s">
        <v>192</v>
      </c>
      <c r="BO5" s="46" t="s">
        <v>193</v>
      </c>
      <c r="BP5" s="46" t="s">
        <v>194</v>
      </c>
      <c r="BQ5" s="46" t="s">
        <v>195</v>
      </c>
      <c r="BR5" s="46" t="s">
        <v>196</v>
      </c>
      <c r="BS5" s="46" t="s">
        <v>197</v>
      </c>
      <c r="BT5" s="46" t="s">
        <v>198</v>
      </c>
      <c r="BU5" s="46" t="s">
        <v>199</v>
      </c>
      <c r="BV5" s="46" t="s">
        <v>200</v>
      </c>
      <c r="BW5" s="46" t="s">
        <v>201</v>
      </c>
      <c r="BX5" s="46" t="s">
        <v>202</v>
      </c>
      <c r="BY5" s="46" t="s">
        <v>203</v>
      </c>
      <c r="BZ5" s="46" t="s">
        <v>204</v>
      </c>
      <c r="CA5" s="46" t="s">
        <v>205</v>
      </c>
      <c r="CB5" s="46" t="s">
        <v>206</v>
      </c>
    </row>
    <row r="6" spans="1:80" x14ac:dyDescent="0.2">
      <c r="A6" s="43" t="str">
        <f>IF(Perioade!$A6="","",Perioade!$A6)</f>
        <v>vara-toamna-2026</v>
      </c>
      <c r="B6" s="43" t="str">
        <f>IF($A6="","",IF(OR(Perioade!$G6="Preț fix",Perioade!$G6="Personalizat"),Perioade!$G6,"Standard"))</f>
        <v>Standard</v>
      </c>
      <c r="C6" s="47">
        <f>IF($A6="","",N(Perioade!$F6))</f>
        <v>2</v>
      </c>
      <c r="D6" s="48">
        <f>IF($A6="","",IF(2&lt;$C6,"",IF($B6="Preț fix",IF(2=$C6,0,""),IF($B6="Standard",INDEX(p_Std,1,1),IF(Perioade!$H6="",IF(2=$C6,0,""),N(Perioade!$H6))))))</f>
        <v>0.1</v>
      </c>
      <c r="E6" s="48">
        <f>IF($A6="","",IF(3&lt;$C6,"",IF($B6="Preț fix",IF(3=$C6,0,""),IF($B6="Standard",INDEX(p_Std,1,2),IF(Perioade!$I6="",IF(3=$C6,0,""),N(Perioade!$I6))))))</f>
        <v>0.12</v>
      </c>
      <c r="F6" s="48">
        <f>IF($A6="","",IF(4&lt;$C6,"",IF($B6="Preț fix",IF(4=$C6,0,""),IF($B6="Standard",INDEX(p_Std,1,3),IF(Perioade!$J6="",IF(4=$C6,0,""),N(Perioade!$J6))))))</f>
        <v>0.15</v>
      </c>
      <c r="G6" s="48">
        <f>IF($A6="","",IF(5&lt;$C6,"",IF($B6="Preț fix",IF(5=$C6,0,""),IF($B6="Standard",INDEX(p_Std,1,4),IF(Perioade!$K6="",IF(5=$C6,0,""),N(Perioade!$K6))))))</f>
        <v>0.2</v>
      </c>
      <c r="H6" s="48">
        <f>IF($A6="","",IF(6&lt;$C6,"",IF($B6="Preț fix",IF(6=$C6,0,""),IF($B6="Standard",INDEX(p_Std,1,5),IF(Perioade!$L6="",IF(6=$C6,0,""),N(Perioade!$L6))))))</f>
        <v>0.25</v>
      </c>
      <c r="I6" s="48">
        <f>IF($A6="","",IF(7&lt;$C6,"",IF($B6="Preț fix",IF(7=$C6,0,""),IF($B6="Standard",INDEX(p_Std,1,6),IF(Perioade!$M6="",IF(7=$C6,0,""),N(Perioade!$M6))))))</f>
        <v>0.33</v>
      </c>
      <c r="J6" s="48">
        <f t="shared" ref="J6:J40" si="0">IF(OR($A6="",2&lt;$C6),"",IF(D6&lt;&gt;"",D6,0))</f>
        <v>0.1</v>
      </c>
      <c r="K6" s="48">
        <f t="shared" ref="K6:K40" si="1">IF(OR($A6="",3&lt;$C6),"",IF(E6&lt;&gt;"",E6,J6))</f>
        <v>0.12</v>
      </c>
      <c r="L6" s="48">
        <f t="shared" ref="L6:L40" si="2">IF(OR($A6="",4&lt;$C6),"",IF(F6&lt;&gt;"",F6,K6))</f>
        <v>0.15</v>
      </c>
      <c r="M6" s="48">
        <f t="shared" ref="M6:M40" si="3">IF(OR($A6="",5&lt;$C6),"",IF(G6&lt;&gt;"",G6,L6))</f>
        <v>0.2</v>
      </c>
      <c r="N6" s="48">
        <f t="shared" ref="N6:N40" si="4">IF(OR($A6="",6&lt;$C6),"",IF(H6&lt;&gt;"",H6,M6))</f>
        <v>0.25</v>
      </c>
      <c r="O6" s="48">
        <f t="shared" ref="O6:O40" si="5">IF(OR($A6="",7&lt;$C6),"",IF(I6&lt;&gt;"",I6,N6))</f>
        <v>0.33</v>
      </c>
      <c r="P6" s="47">
        <f t="shared" ref="P6:P40" si="6">IF($A6="","",IF(MAX(D6:I6)&gt;0,1,0))</f>
        <v>1</v>
      </c>
      <c r="Q6" s="48">
        <f t="shared" ref="Q6:Q40" si="7">IF($A6="","",INDEX(J6:O6,1,MAX(2,MIN($C6,7))-1))</f>
        <v>0.1</v>
      </c>
      <c r="R6" s="49">
        <f>IF($A6="","",N(Perioade!$E6))</f>
        <v>900</v>
      </c>
      <c r="S6" s="49">
        <f t="shared" ref="S6:S40" si="8">IF($A6="","",R6*(1-Q6))</f>
        <v>810</v>
      </c>
      <c r="T6" s="49">
        <f t="shared" ref="T6:T40" si="9">IF($A6="","",(S6-p_Taxe)/(1+p_TVA)-s_Plata*S6)</f>
        <v>686.48648648648646</v>
      </c>
      <c r="U6" s="49">
        <f t="shared" ref="U6:U40" si="10">IF($A6="","",T6/(1+p_Avantaj))</f>
        <v>653.79665379665369</v>
      </c>
      <c r="V6" s="50">
        <f t="shared" ref="V6:V40" si="11">IF($A6="","",(b_Com+b_Supl)*(1+b_TVAc))</f>
        <v>0.15</v>
      </c>
      <c r="W6" s="49">
        <f t="shared" ref="W6:W40" si="12">IF($A6="","",(U6+p_Taxe/(1+p_TVA)-V6*b_Excl*p_Taxe)/(1/(1+p_TVA)-V6-b_Plata))</f>
        <v>934.86794256203461</v>
      </c>
      <c r="X6" s="48">
        <f t="shared" ref="X6:X40" si="13">IF($A6="","",b_Durata*Q6)</f>
        <v>0.1</v>
      </c>
      <c r="Y6" s="49">
        <f t="shared" ref="Y6:Y40" si="14">IF($A6="","",CEILING(W6/(1-X6)/(1-b_Auto*b_Pond),b_Rot))</f>
        <v>1160</v>
      </c>
      <c r="Z6" s="50">
        <f t="shared" ref="Z6:Z40" si="15">IF($A6="","",(a_Com+a_Supl)*(1+a_TVAc))</f>
        <v>0.155</v>
      </c>
      <c r="AA6" s="49">
        <f t="shared" ref="AA6:AA40" si="16">IF($A6="","",(U6+p_Taxe/(1+p_TVA)-Z6*a_Excl*p_Taxe)/(1/(1+p_TVA)-Z6-a_Plata))</f>
        <v>934.49397392872243</v>
      </c>
      <c r="AB6" s="48">
        <f t="shared" ref="AB6:AB40" si="17">IF($A6="","",a_Durata*IF($C6&gt;=28,a_Luna,IF($C6&gt;=7,a_Sapt,INDEX(p_Std,1,MAX(2,$C6)-1))))</f>
        <v>0.1</v>
      </c>
      <c r="AC6" s="49">
        <f t="shared" ref="AC6:AC40" si="18">IF($A6="","",AA6/(1-AB6)/(1-a_Auto*a_Pond))</f>
        <v>1038.3266376985805</v>
      </c>
      <c r="AD6" s="49">
        <f t="shared" ref="AD6:AD40" si="19">IF($A6="","",(T6*a_MinNet+p_Taxe/(1+p_TVA)-Z6*a_Excl*p_Taxe)/(1/(1+p_TVA)-Z6-a_Plata)/(1-AB6)/(1-a_Auto*a_Pond))</f>
        <v>933.63125792620326</v>
      </c>
      <c r="AE6" s="49">
        <f>IF($A6="","",IF(N(Perioade!$O6)&gt;0,CEILING(MAX(AD6,AC6*(1-a_PondSug)+N(Perioade!$O6)*a_PondSug),a_Rot),CEILING(AC6,a_Rot)))</f>
        <v>940</v>
      </c>
      <c r="AF6" s="50">
        <f t="shared" ref="AF6:AF40" si="20">IF($A6="","",(m_Com+m_Supl)*(1+m_TVAc))</f>
        <v>0.12</v>
      </c>
      <c r="AG6" s="49">
        <f t="shared" ref="AG6:AG40" si="21">IF($A6="","",(U6+p_Taxe/(1+p_TVA)-AF6*m_Excl*p_Taxe)/(1/(1+p_TVA)-AF6-m_Plata))</f>
        <v>892.60992814292297</v>
      </c>
      <c r="AH6" s="48">
        <f t="shared" ref="AH6:AH40" si="22">IF($A6="","",m_Durata*Q6)</f>
        <v>0.1</v>
      </c>
      <c r="AI6" s="49">
        <f t="shared" ref="AI6:AI40" si="23">IF($A6="","",CEILING(AG6/(1-AH6)/(1-m_Auto*m_Pond),m_Rot))</f>
        <v>1000</v>
      </c>
      <c r="AJ6" s="49">
        <f t="shared" ref="AJ6:AJ40" si="24">IF($A6="","",Y6*(1-X6)*(1-b_Auto*b_Pond))</f>
        <v>939.6</v>
      </c>
      <c r="AK6" s="49">
        <f t="shared" ref="AK6:AK40" si="25">IF($A6="","",(AJ6-p_Taxe)/(1+p_TVA)-V6*(AJ6-b_Excl*p_Taxe)-b_Plata*AJ6)</f>
        <v>657.28844324324325</v>
      </c>
      <c r="AL6" s="49">
        <f t="shared" ref="AL6:AL40" si="26">IF($A6="","",AE6*(1-AB6)*(1-a_Auto*a_Pond))</f>
        <v>846</v>
      </c>
      <c r="AM6" s="49">
        <f t="shared" ref="AM6:AM40" si="27">IF($A6="","",(AL6-p_Taxe)/(1+p_TVA)-Z6*(AL6-a_Excl*p_Taxe)-a_Plata*AL6)</f>
        <v>587.78891891891885</v>
      </c>
      <c r="AN6" s="49">
        <f t="shared" ref="AN6:AN40" si="28">IF($A6="","",AI6*(1-AH6)*(1-m_Auto*m_Pond))</f>
        <v>900</v>
      </c>
      <c r="AO6" s="49">
        <f t="shared" ref="AO6:AO40" si="29">IF($A6="","",(AN6-p_Taxe)/(1+p_TVA)-AF6*(AN6-m_Excl*p_Taxe)-m_Plata*AN6)</f>
        <v>659.56756756756749</v>
      </c>
      <c r="AP6" s="50">
        <f t="shared" ref="AP6:AP40" si="30">IF($A6="","",(V6*(AJ6-b_Excl*p_Taxe)+b_Plata*AJ6)/((AJ6-p_Taxe)/(1+p_TVA)))</f>
        <v>0.18170685060565278</v>
      </c>
      <c r="AQ6" s="50">
        <f t="shared" ref="AQ6:AQ40" si="31">IF($A6="","",(Z6*(AL6-a_Excl*p_Taxe)+a_Plata*AL6)/((AL6-p_Taxe)/(1+p_TVA)))</f>
        <v>0.18239887218045114</v>
      </c>
      <c r="AR6" s="50">
        <f t="shared" ref="AR6:AR40" si="32">IF($A6="","",(AF6*(AN6-m_Excl*p_Taxe)+m_Plata*AN6)/((AN6-p_Taxe)/(1+p_TVA)))</f>
        <v>0.14070422535211269</v>
      </c>
      <c r="AS6" s="43" t="str">
        <f t="shared" ref="AS6:AS40" si="33">IF($A6="","",IF(D6="","–",ROUND(D6*100,0))&amp;"/"&amp;IF(E6="","–",ROUND(E6*100,0))&amp;"/"&amp;IF(F6="","–",ROUND(F6*100,0))&amp;"/"&amp;IF(G6="","–",ROUND(G6*100,0))&amp;"/"&amp;IF(H6="","–",ROUND(H6*100,0))&amp;"/"&amp;IF(I6="","–",ROUND(I6*100,0))&amp;"% (2…7+ nopți)")</f>
        <v>10/12/15/20/25/33% (2…7+ nopți)</v>
      </c>
      <c r="AT6" s="49">
        <f t="shared" ref="AT6:AT40" si="34">IF(OR($A6="",2&lt;$C6),"",(($R6*(1-$J6)-p_Taxe)/(1+p_TVA)-s_Plata*$R6*(1-$J6))/(1+p_Avantaj))</f>
        <v>653.79665379665369</v>
      </c>
      <c r="AU6" s="49">
        <f t="shared" ref="AU6:AU40" si="35">IF(AT6="","",(($Y6*(1-b_Durata*$J6)*(1-b_Auto*b_Pond))-p_Taxe)/(1+p_TVA)-$V6*(($Y6*(1-b_Durata*$J6)*(1-b_Auto*b_Pond))-b_Excl*p_Taxe)-b_Plata*($Y6*(1-b_Durata*$J6)*(1-b_Auto*b_Pond)))</f>
        <v>657.28844324324325</v>
      </c>
      <c r="AV6" s="49">
        <f t="shared" ref="AV6:AV40" si="36">IF(AT6="","",(($AE6*(1-AV$2)*(1-a_Auto*a_Pond))-p_Taxe)/(1+p_TVA)-$Z6*(($AE6*(1-AV$2)*(1-a_Auto*a_Pond))-a_Excl*p_Taxe)-a_Plata*($AE6*(1-AV$2)*(1-a_Auto*a_Pond)))</f>
        <v>587.78891891891885</v>
      </c>
      <c r="AW6" s="49">
        <f t="shared" ref="AW6:AW40" si="37">IF(AT6="","",(($AI6*(1-m_Durata*$J6)*(1-m_Auto*m_Pond))-p_Taxe)/(1+p_TVA)-$AF6*(($AI6*(1-m_Durata*$J6)*(1-m_Auto*m_Pond))-m_Excl*p_Taxe)-m_Plata*($AI6*(1-m_Durata*$J6)*(1-m_Auto*m_Pond)))</f>
        <v>659.56756756756749</v>
      </c>
      <c r="AX6" s="49">
        <f t="shared" ref="AX6:AX40" si="38">IF(AT6="","",(2*(($R6*(1-$J6)-p_Taxe)/(1+p_TVA)-s_Plata*$R6*(1-$J6))-(c_Cur+IF(2&gt;=7,c_Spal7,c_Spal)+c_Cons))/2)</f>
        <v>526.48648648648646</v>
      </c>
      <c r="AY6" s="49">
        <f t="shared" ref="AY6:AY40" si="39">IF(OR($A6="",3&lt;$C6),"",(($R6*(1-$K6)-p_Taxe)/(1+p_TVA)-s_Plata*$R6*(1-$K6))/(1+p_Avantaj))</f>
        <v>638.35263835263822</v>
      </c>
      <c r="AZ6" s="49">
        <f t="shared" ref="AZ6:AZ40" si="40">IF(AY6="","",(($Y6*(1-b_Durata*$K6)*(1-b_Auto*b_Pond))-p_Taxe)/(1+p_TVA)-$V6*(($Y6*(1-b_Durata*$K6)*(1-b_Auto*b_Pond))-b_Excl*p_Taxe)-b_Plata*($Y6*(1-b_Durata*$K6)*(1-b_Auto*b_Pond)))</f>
        <v>641.88107243243235</v>
      </c>
      <c r="BA6" s="49">
        <f t="shared" ref="BA6:BA40" si="41">IF(AY6="","",(($AE6*(1-BA$2)*(1-a_Auto*a_Pond))-p_Taxe)/(1+p_TVA)-$Z6*(($AE6*(1-BA$2)*(1-a_Auto*a_Pond))-a_Excl*p_Taxe)-a_Plata*($AE6*(1-BA$2)*(1-a_Auto*a_Pond)))</f>
        <v>573.76598198198201</v>
      </c>
      <c r="BB6" s="49">
        <f t="shared" ref="BB6:BB40" si="42">IF(AY6="","",(($AI6*(1-m_Durata*$K6)*(1-m_Auto*m_Pond))-p_Taxe)/(1+p_TVA)-$AF6*(($AI6*(1-m_Durata*$K6)*(1-m_Auto*m_Pond))-m_Excl*p_Taxe)-m_Plata*($AI6*(1-m_Durata*$K6)*(1-m_Auto*m_Pond)))</f>
        <v>643.94954954954949</v>
      </c>
      <c r="BC6" s="49">
        <f t="shared" ref="BC6:BC40" si="43">IF(AY6="","",(3*(($R6*(1-$K6)-p_Taxe)/(1+p_TVA)-s_Plata*$R6*(1-$K6))-(c_Cur+IF(3&gt;=7,c_Spal7,c_Spal)+c_Cons))/3)</f>
        <v>563.60360360360357</v>
      </c>
      <c r="BD6" s="49">
        <f t="shared" ref="BD6:BD40" si="44">IF(OR($A6="",4&lt;$C6),"",(($R6*(1-$L6)-p_Taxe)/(1+p_TVA)-s_Plata*$R6*(1-$L6))/(1+p_Avantaj))</f>
        <v>615.1866151866152</v>
      </c>
      <c r="BE6" s="49">
        <f t="shared" ref="BE6:BE40" si="45">IF(BD6="","",(($Y6*(1-b_Durata*$L6)*(1-b_Auto*b_Pond))-p_Taxe)/(1+p_TVA)-$V6*(($Y6*(1-b_Durata*$L6)*(1-b_Auto*b_Pond))-b_Excl*p_Taxe)-b_Plata*($Y6*(1-b_Durata*$L6)*(1-b_Auto*b_Pond)))</f>
        <v>618.77001621621616</v>
      </c>
      <c r="BF6" s="49">
        <f t="shared" ref="BF6:BF40" si="46">IF(BD6="","",(($AE6*(1-BF$2)*(1-a_Auto*a_Pond))-p_Taxe)/(1+p_TVA)-$Z6*(($AE6*(1-BF$2)*(1-a_Auto*a_Pond))-a_Excl*p_Taxe)-a_Plata*($AE6*(1-BF$2)*(1-a_Auto*a_Pond)))</f>
        <v>552.73157657657646</v>
      </c>
      <c r="BG6" s="49">
        <f t="shared" ref="BG6:BG40" si="47">IF(BD6="","",(($AI6*(1-m_Durata*$L6)*(1-m_Auto*m_Pond))-p_Taxe)/(1+p_TVA)-$AF6*(($AI6*(1-m_Durata*$L6)*(1-m_Auto*m_Pond))-m_Excl*p_Taxe)-m_Plata*($AI6*(1-m_Durata*$L6)*(1-m_Auto*m_Pond)))</f>
        <v>620.52252252252242</v>
      </c>
      <c r="BH6" s="49">
        <f t="shared" ref="BH6:BH40" si="48">IF(BD6="","",(4*(($R6*(1-$L6)-p_Taxe)/(1+p_TVA)-s_Plata*$R6*(1-$L6))-(c_Cur+IF(4&gt;=7,c_Spal7,c_Spal)+c_Cons))/4)</f>
        <v>565.94594594594594</v>
      </c>
      <c r="BI6" s="49">
        <f t="shared" ref="BI6:BI40" si="49">IF(OR($A6="",5&lt;$C6),"",(($R6*(1-$M6)-p_Taxe)/(1+p_TVA)-s_Plata*$R6*(1-$M6))/(1+p_Avantaj))</f>
        <v>576.57657657657649</v>
      </c>
      <c r="BJ6" s="49">
        <f t="shared" ref="BJ6:BJ40" si="50">IF(BI6="","",(($Y6*(1-b_Durata*$M6)*(1-b_Auto*b_Pond))-p_Taxe)/(1+p_TVA)-$V6*(($Y6*(1-b_Durata*$M6)*(1-b_Auto*b_Pond))-b_Excl*p_Taxe)-b_Plata*($Y6*(1-b_Durata*$M6)*(1-b_Auto*b_Pond)))</f>
        <v>580.25158918918908</v>
      </c>
      <c r="BK6" s="49">
        <f t="shared" ref="BK6:BK40" si="51">IF(BI6="","",(($AE6*(1-BK$2)*(1-a_Auto*a_Pond))-p_Taxe)/(1+p_TVA)-$Z6*(($AE6*(1-BK$2)*(1-a_Auto*a_Pond))-a_Excl*p_Taxe)-a_Plata*($AE6*(1-BK$2)*(1-a_Auto*a_Pond)))</f>
        <v>517.67423423423406</v>
      </c>
      <c r="BL6" s="49">
        <f t="shared" ref="BL6:BL40" si="52">IF(BI6="","",(($AI6*(1-m_Durata*$M6)*(1-m_Auto*m_Pond))-p_Taxe)/(1+p_TVA)-$AF6*(($AI6*(1-m_Durata*$M6)*(1-m_Auto*m_Pond))-m_Excl*p_Taxe)-m_Plata*($AI6*(1-m_Durata*$M6)*(1-m_Auto*m_Pond)))</f>
        <v>581.47747747747746</v>
      </c>
      <c r="BM6" s="49">
        <f t="shared" ref="BM6:BM40" si="53">IF(BI6="","",(5*(($R6*(1-$M6)-p_Taxe)/(1+p_TVA)-s_Plata*$R6*(1-$M6))-(c_Cur+IF(5&gt;=7,c_Spal7,c_Spal)+c_Cons))/5)</f>
        <v>541.4054054054053</v>
      </c>
      <c r="BN6" s="49">
        <f t="shared" ref="BN6:BN40" si="54">IF(OR($A6="",6&lt;$C6),"",(($R6*(1-$N6)-p_Taxe)/(1+p_TVA)-s_Plata*$R6*(1-$N6))/(1+p_Avantaj))</f>
        <v>537.96653796653789</v>
      </c>
      <c r="BO6" s="49">
        <f t="shared" ref="BO6:BO40" si="55">IF(BN6="","",(($Y6*(1-b_Durata*$N6)*(1-b_Auto*b_Pond))-p_Taxe)/(1+p_TVA)-$V6*(($Y6*(1-b_Durata*$N6)*(1-b_Auto*b_Pond))-b_Excl*p_Taxe)-b_Plata*($Y6*(1-b_Durata*$N6)*(1-b_Auto*b_Pond)))</f>
        <v>541.7331621621621</v>
      </c>
      <c r="BP6" s="49">
        <f t="shared" ref="BP6:BP40" si="56">IF(BN6="","",(($AE6*(1-BP$2)*(1-a_Auto*a_Pond))-p_Taxe)/(1+p_TVA)-$Z6*(($AE6*(1-BP$2)*(1-a_Auto*a_Pond))-a_Excl*p_Taxe)-a_Plata*($AE6*(1-BP$2)*(1-a_Auto*a_Pond)))</f>
        <v>482.6168918918919</v>
      </c>
      <c r="BQ6" s="49">
        <f t="shared" ref="BQ6:BQ40" si="57">IF(BN6="","",(($AI6*(1-m_Durata*$N6)*(1-m_Auto*m_Pond))-p_Taxe)/(1+p_TVA)-$AF6*(($AI6*(1-m_Durata*$N6)*(1-m_Auto*m_Pond))-m_Excl*p_Taxe)-m_Plata*($AI6*(1-m_Durata*$N6)*(1-m_Auto*m_Pond)))</f>
        <v>542.43243243243239</v>
      </c>
      <c r="BR6" s="49">
        <f t="shared" ref="BR6:BR40" si="58">IF(BN6="","",(6*(($R6*(1-$N6)-p_Taxe)/(1+p_TVA)-s_Plata*$R6*(1-$N6))-(c_Cur+IF(6&gt;=7,c_Spal7,c_Spal)+c_Cons))/6)</f>
        <v>511.53153153153147</v>
      </c>
      <c r="BS6" s="49">
        <f t="shared" ref="BS6:BS40" si="59">IF(OR($A6="",7&lt;$C6),"",(($R6*(1-$O6)-p_Taxe)/(1+p_TVA)-s_Plata*$R6*(1-$O6))/(1+p_Avantaj))</f>
        <v>476.19047619047603</v>
      </c>
      <c r="BT6" s="49">
        <f t="shared" ref="BT6:BT40" si="60">IF(BS6="","",(($Y6*(1-b_Durata*$O6)*(1-b_Auto*b_Pond))-p_Taxe)/(1+p_TVA)-$V6*(($Y6*(1-b_Durata*$O6)*(1-b_Auto*b_Pond))-b_Excl*p_Taxe)-b_Plata*($Y6*(1-b_Durata*$O6)*(1-b_Auto*b_Pond)))</f>
        <v>480.10367891891877</v>
      </c>
      <c r="BU6" s="49">
        <f t="shared" ref="BU6:BU40" si="61">IF(BS6="","",(($AE6*(1-BU$2)*(1-a_Auto*a_Pond))-p_Taxe)/(1+p_TVA)-$Z6*(($AE6*(1-BU$2)*(1-a_Auto*a_Pond))-a_Excl*p_Taxe)-a_Plata*($AE6*(1-BU$2)*(1-a_Auto*a_Pond)))</f>
        <v>433.53661261261243</v>
      </c>
      <c r="BV6" s="49">
        <f t="shared" ref="BV6:BV40" si="62">IF(BS6="","",(($AI6*(1-m_Durata*$O6)*(1-m_Auto*m_Pond))-p_Taxe)/(1+p_TVA)-$AF6*(($AI6*(1-m_Durata*$O6)*(1-m_Auto*m_Pond))-m_Excl*p_Taxe)-m_Plata*($AI6*(1-m_Durata*$O6)*(1-m_Auto*m_Pond)))</f>
        <v>479.96036036036026</v>
      </c>
      <c r="BW6" s="49">
        <f t="shared" ref="BW6:BW40" si="63">IF(BS6="","",(7*(($R6*(1-$O6)-p_Taxe)/(1+p_TVA)-s_Plata*$R6*(1-$O6))-(c_Cur+IF(7&gt;=7,c_Spal7,c_Spal)+c_Cons))/7)</f>
        <v>444.28571428571411</v>
      </c>
      <c r="BX6" s="49">
        <f t="shared" ref="BX6:BX40" si="64">IF(OR($A6="",14&lt;$C6),"",(($R6*(1-$O6)-p_Taxe)/(1+p_TVA)-s_Plata*$R6*(1-$O6))/(1+p_Avantaj))</f>
        <v>476.19047619047603</v>
      </c>
      <c r="BY6" s="49">
        <f t="shared" ref="BY6:BY40" si="65">IF(BX6="","",(($Y6*(1-b_Durata*$O6)*(1-b_Auto*b_Pond))-p_Taxe)/(1+p_TVA)-$V6*(($Y6*(1-b_Durata*$O6)*(1-b_Auto*b_Pond))-b_Excl*p_Taxe)-b_Plata*($Y6*(1-b_Durata*$O6)*(1-b_Auto*b_Pond)))</f>
        <v>480.10367891891877</v>
      </c>
      <c r="BZ6" s="49">
        <f t="shared" ref="BZ6:BZ40" si="66">IF(BX6="","",(($AE6*(1-BZ$2)*(1-a_Auto*a_Pond))-p_Taxe)/(1+p_TVA)-$Z6*(($AE6*(1-BZ$2)*(1-a_Auto*a_Pond))-a_Excl*p_Taxe)-a_Plata*($AE6*(1-BZ$2)*(1-a_Auto*a_Pond)))</f>
        <v>433.53661261261243</v>
      </c>
      <c r="CA6" s="49">
        <f t="shared" ref="CA6:CA40" si="67">IF(BX6="","",(($AI6*(1-m_Durata*$O6)*(1-m_Auto*m_Pond))-p_Taxe)/(1+p_TVA)-$AF6*(($AI6*(1-m_Durata*$O6)*(1-m_Auto*m_Pond))-m_Excl*p_Taxe)-m_Plata*($AI6*(1-m_Durata*$O6)*(1-m_Auto*m_Pond)))</f>
        <v>479.96036036036026</v>
      </c>
      <c r="CB6" s="49">
        <f t="shared" ref="CB6:CB40" si="68">IF(BX6="","",(14*(($R6*(1-$O6)-p_Taxe)/(1+p_TVA)-s_Plata*$R6*(1-$O6))-(c_Cur+IF(14&gt;=7,c_Spal7,c_Spal)+c_Cons))/14)</f>
        <v>472.14285714285694</v>
      </c>
    </row>
    <row r="7" spans="1:80" x14ac:dyDescent="0.2">
      <c r="A7" s="43" t="str">
        <f>IF(Perioade!$A7="","",Perioade!$A7)</f>
        <v>iarna-2026</v>
      </c>
      <c r="B7" s="43" t="str">
        <f>IF($A7="","",IF(OR(Perioade!$G7="Preț fix",Perioade!$G7="Personalizat"),Perioade!$G7,"Standard"))</f>
        <v>Standard</v>
      </c>
      <c r="C7" s="47">
        <f>IF($A7="","",N(Perioade!$F7))</f>
        <v>2</v>
      </c>
      <c r="D7" s="48">
        <f>IF($A7="","",IF(2&lt;$C7,"",IF($B7="Preț fix",IF(2=$C7,0,""),IF($B7="Standard",INDEX(p_Std,1,1),IF(Perioade!$H7="",IF(2=$C7,0,""),N(Perioade!$H7))))))</f>
        <v>0.1</v>
      </c>
      <c r="E7" s="48">
        <f>IF($A7="","",IF(3&lt;$C7,"",IF($B7="Preț fix",IF(3=$C7,0,""),IF($B7="Standard",INDEX(p_Std,1,2),IF(Perioade!$I7="",IF(3=$C7,0,""),N(Perioade!$I7))))))</f>
        <v>0.12</v>
      </c>
      <c r="F7" s="48">
        <f>IF($A7="","",IF(4&lt;$C7,"",IF($B7="Preț fix",IF(4=$C7,0,""),IF($B7="Standard",INDEX(p_Std,1,3),IF(Perioade!$J7="",IF(4=$C7,0,""),N(Perioade!$J7))))))</f>
        <v>0.15</v>
      </c>
      <c r="G7" s="48">
        <f>IF($A7="","",IF(5&lt;$C7,"",IF($B7="Preț fix",IF(5=$C7,0,""),IF($B7="Standard",INDEX(p_Std,1,4),IF(Perioade!$K7="",IF(5=$C7,0,""),N(Perioade!$K7))))))</f>
        <v>0.2</v>
      </c>
      <c r="H7" s="48">
        <f>IF($A7="","",IF(6&lt;$C7,"",IF($B7="Preț fix",IF(6=$C7,0,""),IF($B7="Standard",INDEX(p_Std,1,5),IF(Perioade!$L7="",IF(6=$C7,0,""),N(Perioade!$L7))))))</f>
        <v>0.25</v>
      </c>
      <c r="I7" s="48">
        <f>IF($A7="","",IF(7&lt;$C7,"",IF($B7="Preț fix",IF(7=$C7,0,""),IF($B7="Standard",INDEX(p_Std,1,6),IF(Perioade!$M7="",IF(7=$C7,0,""),N(Perioade!$M7))))))</f>
        <v>0.33</v>
      </c>
      <c r="J7" s="48">
        <f t="shared" si="0"/>
        <v>0.1</v>
      </c>
      <c r="K7" s="48">
        <f t="shared" si="1"/>
        <v>0.12</v>
      </c>
      <c r="L7" s="48">
        <f t="shared" si="2"/>
        <v>0.15</v>
      </c>
      <c r="M7" s="48">
        <f t="shared" si="3"/>
        <v>0.2</v>
      </c>
      <c r="N7" s="48">
        <f t="shared" si="4"/>
        <v>0.25</v>
      </c>
      <c r="O7" s="48">
        <f t="shared" si="5"/>
        <v>0.33</v>
      </c>
      <c r="P7" s="47">
        <f t="shared" si="6"/>
        <v>1</v>
      </c>
      <c r="Q7" s="48">
        <f t="shared" si="7"/>
        <v>0.1</v>
      </c>
      <c r="R7" s="49">
        <f>IF($A7="","",N(Perioade!$E7))</f>
        <v>1250</v>
      </c>
      <c r="S7" s="49">
        <f t="shared" si="8"/>
        <v>1125</v>
      </c>
      <c r="T7" s="49">
        <f t="shared" si="9"/>
        <v>970.2702702702702</v>
      </c>
      <c r="U7" s="49">
        <f t="shared" si="10"/>
        <v>924.066924066924</v>
      </c>
      <c r="V7" s="50">
        <f t="shared" si="11"/>
        <v>0.15</v>
      </c>
      <c r="W7" s="49">
        <f t="shared" si="12"/>
        <v>1301.1370038144307</v>
      </c>
      <c r="X7" s="48">
        <f t="shared" si="13"/>
        <v>0.1</v>
      </c>
      <c r="Y7" s="49">
        <f t="shared" si="14"/>
        <v>1610</v>
      </c>
      <c r="Z7" s="50">
        <f t="shared" si="15"/>
        <v>0.155</v>
      </c>
      <c r="AA7" s="49">
        <f t="shared" si="16"/>
        <v>1296.8346949867573</v>
      </c>
      <c r="AB7" s="48">
        <f t="shared" si="17"/>
        <v>0.1</v>
      </c>
      <c r="AC7" s="49">
        <f t="shared" si="18"/>
        <v>1440.9274388741749</v>
      </c>
      <c r="AD7" s="49">
        <f t="shared" si="19"/>
        <v>1292.9524729754214</v>
      </c>
      <c r="AE7" s="49">
        <f>IF($A7="","",IF(N(Perioade!$O7)&gt;0,CEILING(MAX(AD7,AC7*(1-a_PondSug)+N(Perioade!$O7)*a_PondSug),a_Rot),CEILING(AC7,a_Rot)))</f>
        <v>1450</v>
      </c>
      <c r="AF7" s="50">
        <f t="shared" si="20"/>
        <v>0.12</v>
      </c>
      <c r="AG7" s="49">
        <f t="shared" si="21"/>
        <v>1238.7105280506296</v>
      </c>
      <c r="AH7" s="48">
        <f t="shared" si="22"/>
        <v>0.1</v>
      </c>
      <c r="AI7" s="49">
        <f t="shared" si="23"/>
        <v>1380</v>
      </c>
      <c r="AJ7" s="49">
        <f t="shared" si="24"/>
        <v>1304.1000000000001</v>
      </c>
      <c r="AK7" s="49">
        <f t="shared" si="25"/>
        <v>926.25332162162169</v>
      </c>
      <c r="AL7" s="49">
        <f t="shared" si="26"/>
        <v>1305</v>
      </c>
      <c r="AM7" s="49">
        <f t="shared" si="27"/>
        <v>930.1574324324323</v>
      </c>
      <c r="AN7" s="49">
        <f t="shared" si="28"/>
        <v>1242</v>
      </c>
      <c r="AO7" s="49">
        <f t="shared" si="29"/>
        <v>926.63567567567566</v>
      </c>
      <c r="AP7" s="50">
        <f t="shared" si="30"/>
        <v>0.18148142106520185</v>
      </c>
      <c r="AQ7" s="50">
        <f t="shared" si="31"/>
        <v>0.17861992840095467</v>
      </c>
      <c r="AR7" s="50">
        <f t="shared" si="32"/>
        <v>0.13855477386934673</v>
      </c>
      <c r="AS7" s="43" t="str">
        <f t="shared" si="33"/>
        <v>10/12/15/20/25/33% (2…7+ nopți)</v>
      </c>
      <c r="AT7" s="49">
        <f t="shared" si="34"/>
        <v>924.066924066924</v>
      </c>
      <c r="AU7" s="49">
        <f t="shared" si="35"/>
        <v>926.25332162162169</v>
      </c>
      <c r="AV7" s="49">
        <f t="shared" si="36"/>
        <v>930.1574324324323</v>
      </c>
      <c r="AW7" s="49">
        <f t="shared" si="37"/>
        <v>926.63567567567566</v>
      </c>
      <c r="AX7" s="49">
        <f t="shared" si="38"/>
        <v>810.2702702702702</v>
      </c>
      <c r="AY7" s="49">
        <f t="shared" si="39"/>
        <v>902.61690261690251</v>
      </c>
      <c r="AZ7" s="49">
        <f t="shared" si="40"/>
        <v>904.86895351351336</v>
      </c>
      <c r="BA7" s="49">
        <f t="shared" si="41"/>
        <v>908.5263063063062</v>
      </c>
      <c r="BB7" s="49">
        <f t="shared" si="42"/>
        <v>905.08281081081077</v>
      </c>
      <c r="BC7" s="49">
        <f t="shared" si="43"/>
        <v>841.08108108108092</v>
      </c>
      <c r="BD7" s="49">
        <f t="shared" si="44"/>
        <v>870.44187044187038</v>
      </c>
      <c r="BE7" s="49">
        <f t="shared" si="45"/>
        <v>872.79240135135126</v>
      </c>
      <c r="BF7" s="49">
        <f t="shared" si="46"/>
        <v>876.07961711711698</v>
      </c>
      <c r="BG7" s="49">
        <f t="shared" si="47"/>
        <v>872.75351351351344</v>
      </c>
      <c r="BH7" s="49">
        <f t="shared" si="48"/>
        <v>833.96396396396392</v>
      </c>
      <c r="BI7" s="49">
        <f t="shared" si="49"/>
        <v>816.81681681681675</v>
      </c>
      <c r="BJ7" s="49">
        <f t="shared" si="50"/>
        <v>819.33148108108094</v>
      </c>
      <c r="BK7" s="49">
        <f t="shared" si="51"/>
        <v>822.00180180180178</v>
      </c>
      <c r="BL7" s="49">
        <f t="shared" si="52"/>
        <v>818.87135135135122</v>
      </c>
      <c r="BM7" s="49">
        <f t="shared" si="53"/>
        <v>793.65765765765752</v>
      </c>
      <c r="BN7" s="49">
        <f t="shared" si="54"/>
        <v>763.19176319176302</v>
      </c>
      <c r="BO7" s="49">
        <f t="shared" si="55"/>
        <v>765.87056081081073</v>
      </c>
      <c r="BP7" s="49">
        <f t="shared" si="56"/>
        <v>767.92398648648646</v>
      </c>
      <c r="BQ7" s="49">
        <f t="shared" si="57"/>
        <v>764.98918918918912</v>
      </c>
      <c r="BR7" s="49">
        <f t="shared" si="58"/>
        <v>748.01801801801787</v>
      </c>
      <c r="BS7" s="49">
        <f t="shared" si="59"/>
        <v>677.39167739167726</v>
      </c>
      <c r="BT7" s="49">
        <f t="shared" si="60"/>
        <v>680.33308837837819</v>
      </c>
      <c r="BU7" s="49">
        <f t="shared" si="61"/>
        <v>692.21504504504492</v>
      </c>
      <c r="BV7" s="49">
        <f t="shared" si="62"/>
        <v>678.77772972972957</v>
      </c>
      <c r="BW7" s="49">
        <f t="shared" si="63"/>
        <v>655.54697554697543</v>
      </c>
      <c r="BX7" s="49">
        <f t="shared" si="64"/>
        <v>677.39167739167726</v>
      </c>
      <c r="BY7" s="49">
        <f t="shared" si="65"/>
        <v>680.33308837837819</v>
      </c>
      <c r="BZ7" s="49">
        <f t="shared" si="66"/>
        <v>692.21504504504492</v>
      </c>
      <c r="CA7" s="49">
        <f t="shared" si="67"/>
        <v>678.77772972972957</v>
      </c>
      <c r="CB7" s="49">
        <f t="shared" si="68"/>
        <v>683.40411840411821</v>
      </c>
    </row>
    <row r="8" spans="1:80" x14ac:dyDescent="0.2">
      <c r="A8" s="43" t="str">
        <f>IF(Perioade!$A8="","",Perioade!$A8)</f>
        <v>Craciun-2026</v>
      </c>
      <c r="B8" s="43" t="str">
        <f>IF($A8="","",IF(OR(Perioade!$G8="Preț fix",Perioade!$G8="Personalizat"),Perioade!$G8,"Standard"))</f>
        <v>Preț fix</v>
      </c>
      <c r="C8" s="47">
        <f>IF($A8="","",N(Perioade!$F8))</f>
        <v>3</v>
      </c>
      <c r="D8" s="48" t="str">
        <f>IF($A8="","",IF(2&lt;$C8,"",IF($B8="Preț fix",IF(2=$C8,0,""),IF($B8="Standard",INDEX(p_Std,1,1),IF(Perioade!$H8="",IF(2=$C8,0,""),N(Perioade!$H8))))))</f>
        <v/>
      </c>
      <c r="E8" s="48">
        <f>IF($A8="","",IF(3&lt;$C8,"",IF($B8="Preț fix",IF(3=$C8,0,""),IF($B8="Standard",INDEX(p_Std,1,2),IF(Perioade!$I8="",IF(3=$C8,0,""),N(Perioade!$I8))))))</f>
        <v>0</v>
      </c>
      <c r="F8" s="48" t="str">
        <f>IF($A8="","",IF(4&lt;$C8,"",IF($B8="Preț fix",IF(4=$C8,0,""),IF($B8="Standard",INDEX(p_Std,1,3),IF(Perioade!$J8="",IF(4=$C8,0,""),N(Perioade!$J8))))))</f>
        <v/>
      </c>
      <c r="G8" s="48" t="str">
        <f>IF($A8="","",IF(5&lt;$C8,"",IF($B8="Preț fix",IF(5=$C8,0,""),IF($B8="Standard",INDEX(p_Std,1,4),IF(Perioade!$K8="",IF(5=$C8,0,""),N(Perioade!$K8))))))</f>
        <v/>
      </c>
      <c r="H8" s="48" t="str">
        <f>IF($A8="","",IF(6&lt;$C8,"",IF($B8="Preț fix",IF(6=$C8,0,""),IF($B8="Standard",INDEX(p_Std,1,5),IF(Perioade!$L8="",IF(6=$C8,0,""),N(Perioade!$L8))))))</f>
        <v/>
      </c>
      <c r="I8" s="48" t="str">
        <f>IF($A8="","",IF(7&lt;$C8,"",IF($B8="Preț fix",IF(7=$C8,0,""),IF($B8="Standard",INDEX(p_Std,1,6),IF(Perioade!$M8="",IF(7=$C8,0,""),N(Perioade!$M8))))))</f>
        <v/>
      </c>
      <c r="J8" s="48" t="str">
        <f t="shared" si="0"/>
        <v/>
      </c>
      <c r="K8" s="48">
        <f t="shared" si="1"/>
        <v>0</v>
      </c>
      <c r="L8" s="48">
        <f t="shared" si="2"/>
        <v>0</v>
      </c>
      <c r="M8" s="48">
        <f t="shared" si="3"/>
        <v>0</v>
      </c>
      <c r="N8" s="48">
        <f t="shared" si="4"/>
        <v>0</v>
      </c>
      <c r="O8" s="48">
        <f t="shared" si="5"/>
        <v>0</v>
      </c>
      <c r="P8" s="47">
        <f t="shared" si="6"/>
        <v>0</v>
      </c>
      <c r="Q8" s="48">
        <f t="shared" si="7"/>
        <v>0</v>
      </c>
      <c r="R8" s="49">
        <f>IF($A8="","",N(Perioade!$E8))</f>
        <v>1500</v>
      </c>
      <c r="S8" s="49">
        <f t="shared" si="8"/>
        <v>1500</v>
      </c>
      <c r="T8" s="49">
        <f t="shared" si="9"/>
        <v>1308.1081081081079</v>
      </c>
      <c r="U8" s="49">
        <f t="shared" si="10"/>
        <v>1245.8172458172455</v>
      </c>
      <c r="V8" s="50">
        <f t="shared" si="11"/>
        <v>0.15</v>
      </c>
      <c r="W8" s="49">
        <f t="shared" si="12"/>
        <v>1737.1716005434735</v>
      </c>
      <c r="X8" s="48">
        <f t="shared" si="13"/>
        <v>0</v>
      </c>
      <c r="Y8" s="49">
        <f t="shared" si="14"/>
        <v>1940</v>
      </c>
      <c r="Z8" s="50">
        <f t="shared" si="15"/>
        <v>0.155</v>
      </c>
      <c r="AA8" s="49">
        <f t="shared" si="16"/>
        <v>1728.1926962463226</v>
      </c>
      <c r="AB8" s="48">
        <f t="shared" si="17"/>
        <v>0.12</v>
      </c>
      <c r="AC8" s="49">
        <f t="shared" si="18"/>
        <v>1963.8553366435485</v>
      </c>
      <c r="AD8" s="49">
        <f t="shared" si="19"/>
        <v>1759.8230020477743</v>
      </c>
      <c r="AE8" s="49">
        <f>IF($A8="","",IF(N(Perioade!$O8)&gt;0,CEILING(MAX(AD8,AC8*(1-a_PondSug)+N(Perioade!$O8)*a_PondSug),a_Rot),CEILING(AC8,a_Rot)))</f>
        <v>1970</v>
      </c>
      <c r="AF8" s="50">
        <f t="shared" si="20"/>
        <v>0.12</v>
      </c>
      <c r="AG8" s="49">
        <f t="shared" si="21"/>
        <v>1650.73505175028</v>
      </c>
      <c r="AH8" s="48">
        <f t="shared" si="22"/>
        <v>0</v>
      </c>
      <c r="AI8" s="49">
        <f t="shared" si="23"/>
        <v>1660</v>
      </c>
      <c r="AJ8" s="49">
        <f t="shared" si="24"/>
        <v>1746</v>
      </c>
      <c r="AK8" s="49">
        <f t="shared" si="25"/>
        <v>1252.3317297297294</v>
      </c>
      <c r="AL8" s="49">
        <f t="shared" si="26"/>
        <v>1733.6</v>
      </c>
      <c r="AM8" s="49">
        <f t="shared" si="27"/>
        <v>1249.8505585585585</v>
      </c>
      <c r="AN8" s="49">
        <f t="shared" si="28"/>
        <v>1660</v>
      </c>
      <c r="AO8" s="49">
        <f t="shared" si="29"/>
        <v>1253.0522522522522</v>
      </c>
      <c r="AP8" s="50">
        <f t="shared" si="30"/>
        <v>0.18133791519434628</v>
      </c>
      <c r="AQ8" s="50">
        <f t="shared" si="31"/>
        <v>0.17694938300901755</v>
      </c>
      <c r="AR8" s="50">
        <f t="shared" si="32"/>
        <v>0.13716625310173697</v>
      </c>
      <c r="AS8" s="43" t="str">
        <f t="shared" si="33"/>
        <v>–/0/–/–/–/–% (2…7+ nopți)</v>
      </c>
      <c r="AT8" s="49" t="str">
        <f t="shared" si="34"/>
        <v/>
      </c>
      <c r="AU8" s="49" t="str">
        <f t="shared" si="35"/>
        <v/>
      </c>
      <c r="AV8" s="49" t="str">
        <f t="shared" si="36"/>
        <v/>
      </c>
      <c r="AW8" s="49" t="str">
        <f t="shared" si="37"/>
        <v/>
      </c>
      <c r="AX8" s="49" t="str">
        <f t="shared" si="38"/>
        <v/>
      </c>
      <c r="AY8" s="49">
        <f t="shared" si="39"/>
        <v>1245.8172458172455</v>
      </c>
      <c r="AZ8" s="49">
        <f t="shared" si="40"/>
        <v>1252.3317297297294</v>
      </c>
      <c r="BA8" s="49">
        <f t="shared" si="41"/>
        <v>1249.8505585585585</v>
      </c>
      <c r="BB8" s="49">
        <f t="shared" si="42"/>
        <v>1253.0522522522522</v>
      </c>
      <c r="BC8" s="49">
        <f t="shared" si="43"/>
        <v>1201.4414414414412</v>
      </c>
      <c r="BD8" s="49">
        <f t="shared" si="44"/>
        <v>1245.8172458172455</v>
      </c>
      <c r="BE8" s="49">
        <f t="shared" si="45"/>
        <v>1252.3317297297294</v>
      </c>
      <c r="BF8" s="49">
        <f t="shared" si="46"/>
        <v>1205.7678153153151</v>
      </c>
      <c r="BG8" s="49">
        <f t="shared" si="47"/>
        <v>1253.0522522522522</v>
      </c>
      <c r="BH8" s="49">
        <f t="shared" si="48"/>
        <v>1228.1081081081079</v>
      </c>
      <c r="BI8" s="49">
        <f t="shared" si="49"/>
        <v>1245.8172458172455</v>
      </c>
      <c r="BJ8" s="49">
        <f t="shared" si="50"/>
        <v>1252.3317297297294</v>
      </c>
      <c r="BK8" s="49">
        <f t="shared" si="51"/>
        <v>1132.2965765765764</v>
      </c>
      <c r="BL8" s="49">
        <f t="shared" si="52"/>
        <v>1253.0522522522522</v>
      </c>
      <c r="BM8" s="49">
        <f t="shared" si="53"/>
        <v>1244.1081081081079</v>
      </c>
      <c r="BN8" s="49">
        <f t="shared" si="54"/>
        <v>1245.8172458172455</v>
      </c>
      <c r="BO8" s="49">
        <f t="shared" si="55"/>
        <v>1252.3317297297294</v>
      </c>
      <c r="BP8" s="49">
        <f t="shared" si="56"/>
        <v>1058.8253378378377</v>
      </c>
      <c r="BQ8" s="49">
        <f t="shared" si="57"/>
        <v>1253.0522522522522</v>
      </c>
      <c r="BR8" s="49">
        <f t="shared" si="58"/>
        <v>1254.7747747747746</v>
      </c>
      <c r="BS8" s="49">
        <f t="shared" si="59"/>
        <v>1245.8172458172455</v>
      </c>
      <c r="BT8" s="49">
        <f t="shared" si="60"/>
        <v>1252.3317297297294</v>
      </c>
      <c r="BU8" s="49">
        <f t="shared" si="61"/>
        <v>955.96560360360354</v>
      </c>
      <c r="BV8" s="49">
        <f t="shared" si="62"/>
        <v>1253.0522522522522</v>
      </c>
      <c r="BW8" s="49">
        <f t="shared" si="63"/>
        <v>1252.3938223938221</v>
      </c>
      <c r="BX8" s="49">
        <f t="shared" si="64"/>
        <v>1245.8172458172455</v>
      </c>
      <c r="BY8" s="49">
        <f t="shared" si="65"/>
        <v>1252.3317297297294</v>
      </c>
      <c r="BZ8" s="49">
        <f t="shared" si="66"/>
        <v>955.96560360360354</v>
      </c>
      <c r="CA8" s="49">
        <f t="shared" si="67"/>
        <v>1253.0522522522522</v>
      </c>
      <c r="CB8" s="49">
        <f t="shared" si="68"/>
        <v>1280.250965250965</v>
      </c>
    </row>
    <row r="9" spans="1:80" x14ac:dyDescent="0.2">
      <c r="A9" s="43" t="str">
        <f>IF(Perioade!$A9="","",Perioade!$A9)</f>
        <v>Revelion-2026-2027</v>
      </c>
      <c r="B9" s="43" t="str">
        <f>IF($A9="","",IF(OR(Perioade!$G9="Preț fix",Perioade!$G9="Personalizat"),Perioade!$G9,"Standard"))</f>
        <v>Preț fix</v>
      </c>
      <c r="C9" s="47">
        <f>IF($A9="","",N(Perioade!$F9))</f>
        <v>4</v>
      </c>
      <c r="D9" s="48" t="str">
        <f>IF($A9="","",IF(2&lt;$C9,"",IF($B9="Preț fix",IF(2=$C9,0,""),IF($B9="Standard",INDEX(p_Std,1,1),IF(Perioade!$H9="",IF(2=$C9,0,""),N(Perioade!$H9))))))</f>
        <v/>
      </c>
      <c r="E9" s="48" t="str">
        <f>IF($A9="","",IF(3&lt;$C9,"",IF($B9="Preț fix",IF(3=$C9,0,""),IF($B9="Standard",INDEX(p_Std,1,2),IF(Perioade!$I9="",IF(3=$C9,0,""),N(Perioade!$I9))))))</f>
        <v/>
      </c>
      <c r="F9" s="48">
        <f>IF($A9="","",IF(4&lt;$C9,"",IF($B9="Preț fix",IF(4=$C9,0,""),IF($B9="Standard",INDEX(p_Std,1,3),IF(Perioade!$J9="",IF(4=$C9,0,""),N(Perioade!$J9))))))</f>
        <v>0</v>
      </c>
      <c r="G9" s="48" t="str">
        <f>IF($A9="","",IF(5&lt;$C9,"",IF($B9="Preț fix",IF(5=$C9,0,""),IF($B9="Standard",INDEX(p_Std,1,4),IF(Perioade!$K9="",IF(5=$C9,0,""),N(Perioade!$K9))))))</f>
        <v/>
      </c>
      <c r="H9" s="48" t="str">
        <f>IF($A9="","",IF(6&lt;$C9,"",IF($B9="Preț fix",IF(6=$C9,0,""),IF($B9="Standard",INDEX(p_Std,1,5),IF(Perioade!$L9="",IF(6=$C9,0,""),N(Perioade!$L9))))))</f>
        <v/>
      </c>
      <c r="I9" s="48" t="str">
        <f>IF($A9="","",IF(7&lt;$C9,"",IF($B9="Preț fix",IF(7=$C9,0,""),IF($B9="Standard",INDEX(p_Std,1,6),IF(Perioade!$M9="",IF(7=$C9,0,""),N(Perioade!$M9))))))</f>
        <v/>
      </c>
      <c r="J9" s="48" t="str">
        <f t="shared" si="0"/>
        <v/>
      </c>
      <c r="K9" s="48" t="str">
        <f t="shared" si="1"/>
        <v/>
      </c>
      <c r="L9" s="48">
        <f t="shared" si="2"/>
        <v>0</v>
      </c>
      <c r="M9" s="48">
        <f t="shared" si="3"/>
        <v>0</v>
      </c>
      <c r="N9" s="48">
        <f t="shared" si="4"/>
        <v>0</v>
      </c>
      <c r="O9" s="48">
        <f t="shared" si="5"/>
        <v>0</v>
      </c>
      <c r="P9" s="47">
        <f t="shared" si="6"/>
        <v>0</v>
      </c>
      <c r="Q9" s="48">
        <f t="shared" si="7"/>
        <v>0</v>
      </c>
      <c r="R9" s="49">
        <f>IF($A9="","",N(Perioade!$E9))</f>
        <v>1800</v>
      </c>
      <c r="S9" s="49">
        <f t="shared" si="8"/>
        <v>1800</v>
      </c>
      <c r="T9" s="49">
        <f t="shared" si="9"/>
        <v>1578.3783783783783</v>
      </c>
      <c r="U9" s="49">
        <f t="shared" si="10"/>
        <v>1503.217503217503</v>
      </c>
      <c r="V9" s="50">
        <f t="shared" si="11"/>
        <v>0.15</v>
      </c>
      <c r="W9" s="49">
        <f t="shared" si="12"/>
        <v>2085.9992779267081</v>
      </c>
      <c r="X9" s="48">
        <f t="shared" si="13"/>
        <v>0</v>
      </c>
      <c r="Y9" s="49">
        <f t="shared" si="14"/>
        <v>2320</v>
      </c>
      <c r="Z9" s="50">
        <f t="shared" si="15"/>
        <v>0.155</v>
      </c>
      <c r="AA9" s="49">
        <f t="shared" si="16"/>
        <v>2073.2790972539751</v>
      </c>
      <c r="AB9" s="48">
        <f t="shared" si="17"/>
        <v>0.15</v>
      </c>
      <c r="AC9" s="49">
        <f t="shared" si="18"/>
        <v>2439.1518791223239</v>
      </c>
      <c r="AD9" s="49">
        <f t="shared" si="19"/>
        <v>2184.2751231780835</v>
      </c>
      <c r="AE9" s="49">
        <f>IF($A9="","",IF(N(Perioade!$O9)&gt;0,CEILING(MAX(AD9,AC9*(1-a_PondSug)+N(Perioade!$O9)*a_PondSug),a_Rot),CEILING(AC9,a_Rot)))</f>
        <v>2440</v>
      </c>
      <c r="AF9" s="50">
        <f t="shared" si="20"/>
        <v>0.12</v>
      </c>
      <c r="AG9" s="49">
        <f t="shared" si="21"/>
        <v>1980.3546707100008</v>
      </c>
      <c r="AH9" s="48">
        <f t="shared" si="22"/>
        <v>0</v>
      </c>
      <c r="AI9" s="49">
        <f t="shared" si="23"/>
        <v>1990</v>
      </c>
      <c r="AJ9" s="49">
        <f t="shared" si="24"/>
        <v>2088</v>
      </c>
      <c r="AK9" s="49">
        <f t="shared" si="25"/>
        <v>1504.6938378378377</v>
      </c>
      <c r="AL9" s="49">
        <f t="shared" si="26"/>
        <v>2074</v>
      </c>
      <c r="AM9" s="49">
        <f t="shared" si="27"/>
        <v>1503.7552252252251</v>
      </c>
      <c r="AN9" s="49">
        <f t="shared" si="28"/>
        <v>1990</v>
      </c>
      <c r="AO9" s="49">
        <f t="shared" si="29"/>
        <v>1510.7495495495493</v>
      </c>
      <c r="AP9" s="50">
        <f t="shared" si="30"/>
        <v>0.18126952941176472</v>
      </c>
      <c r="AQ9" s="50">
        <f t="shared" si="31"/>
        <v>0.1761262092793682</v>
      </c>
      <c r="AR9" s="50">
        <f t="shared" si="32"/>
        <v>0.13649227600411948</v>
      </c>
      <c r="AS9" s="43" t="str">
        <f t="shared" si="33"/>
        <v>–/–/0/–/–/–% (2…7+ nopți)</v>
      </c>
      <c r="AT9" s="49" t="str">
        <f t="shared" si="34"/>
        <v/>
      </c>
      <c r="AU9" s="49" t="str">
        <f t="shared" si="35"/>
        <v/>
      </c>
      <c r="AV9" s="49" t="str">
        <f t="shared" si="36"/>
        <v/>
      </c>
      <c r="AW9" s="49" t="str">
        <f t="shared" si="37"/>
        <v/>
      </c>
      <c r="AX9" s="49" t="str">
        <f t="shared" si="38"/>
        <v/>
      </c>
      <c r="AY9" s="49" t="str">
        <f t="shared" si="39"/>
        <v/>
      </c>
      <c r="AZ9" s="49" t="str">
        <f t="shared" si="40"/>
        <v/>
      </c>
      <c r="BA9" s="49" t="str">
        <f t="shared" si="41"/>
        <v/>
      </c>
      <c r="BB9" s="49" t="str">
        <f t="shared" si="42"/>
        <v/>
      </c>
      <c r="BC9" s="49" t="str">
        <f t="shared" si="43"/>
        <v/>
      </c>
      <c r="BD9" s="49">
        <f t="shared" si="44"/>
        <v>1503.217503217503</v>
      </c>
      <c r="BE9" s="49">
        <f t="shared" si="45"/>
        <v>1504.6938378378377</v>
      </c>
      <c r="BF9" s="49">
        <f t="shared" si="46"/>
        <v>1503.7552252252251</v>
      </c>
      <c r="BG9" s="49">
        <f t="shared" si="47"/>
        <v>1510.7495495495493</v>
      </c>
      <c r="BH9" s="49">
        <f t="shared" si="48"/>
        <v>1498.3783783783783</v>
      </c>
      <c r="BI9" s="49">
        <f t="shared" si="49"/>
        <v>1503.217503217503</v>
      </c>
      <c r="BJ9" s="49">
        <f t="shared" si="50"/>
        <v>1504.6938378378377</v>
      </c>
      <c r="BK9" s="49">
        <f t="shared" si="51"/>
        <v>1412.7553153153153</v>
      </c>
      <c r="BL9" s="49">
        <f t="shared" si="52"/>
        <v>1510.7495495495493</v>
      </c>
      <c r="BM9" s="49">
        <f t="shared" si="53"/>
        <v>1514.3783783783783</v>
      </c>
      <c r="BN9" s="49">
        <f t="shared" si="54"/>
        <v>1503.217503217503</v>
      </c>
      <c r="BO9" s="49">
        <f t="shared" si="55"/>
        <v>1504.6938378378377</v>
      </c>
      <c r="BP9" s="49">
        <f t="shared" si="56"/>
        <v>1321.7554054054053</v>
      </c>
      <c r="BQ9" s="49">
        <f t="shared" si="57"/>
        <v>1510.7495495495493</v>
      </c>
      <c r="BR9" s="49">
        <f t="shared" si="58"/>
        <v>1525.0450450450451</v>
      </c>
      <c r="BS9" s="49">
        <f t="shared" si="59"/>
        <v>1503.217503217503</v>
      </c>
      <c r="BT9" s="49">
        <f t="shared" si="60"/>
        <v>1504.6938378378377</v>
      </c>
      <c r="BU9" s="49">
        <f t="shared" si="61"/>
        <v>1194.3555315315314</v>
      </c>
      <c r="BV9" s="49">
        <f t="shared" si="62"/>
        <v>1510.7495495495493</v>
      </c>
      <c r="BW9" s="49">
        <f t="shared" si="63"/>
        <v>1522.6640926640925</v>
      </c>
      <c r="BX9" s="49">
        <f t="shared" si="64"/>
        <v>1503.217503217503</v>
      </c>
      <c r="BY9" s="49">
        <f t="shared" si="65"/>
        <v>1504.6938378378377</v>
      </c>
      <c r="BZ9" s="49">
        <f t="shared" si="66"/>
        <v>1194.3555315315314</v>
      </c>
      <c r="CA9" s="49">
        <f t="shared" si="67"/>
        <v>1510.7495495495493</v>
      </c>
      <c r="CB9" s="49">
        <f t="shared" si="68"/>
        <v>1550.5212355212354</v>
      </c>
    </row>
    <row r="10" spans="1:80" x14ac:dyDescent="0.2">
      <c r="A10" s="43" t="str">
        <f>IF(Perioade!$A10="","",Perioade!$A10)</f>
        <v>iarna-2027</v>
      </c>
      <c r="B10" s="43" t="str">
        <f>IF($A10="","",IF(OR(Perioade!$G10="Preț fix",Perioade!$G10="Personalizat"),Perioade!$G10,"Standard"))</f>
        <v>Standard</v>
      </c>
      <c r="C10" s="47">
        <f>IF($A10="","",N(Perioade!$F10))</f>
        <v>2</v>
      </c>
      <c r="D10" s="48">
        <f>IF($A10="","",IF(2&lt;$C10,"",IF($B10="Preț fix",IF(2=$C10,0,""),IF($B10="Standard",INDEX(p_Std,1,1),IF(Perioade!$H10="",IF(2=$C10,0,""),N(Perioade!$H10))))))</f>
        <v>0.1</v>
      </c>
      <c r="E10" s="48">
        <f>IF($A10="","",IF(3&lt;$C10,"",IF($B10="Preț fix",IF(3=$C10,0,""),IF($B10="Standard",INDEX(p_Std,1,2),IF(Perioade!$I10="",IF(3=$C10,0,""),N(Perioade!$I10))))))</f>
        <v>0.12</v>
      </c>
      <c r="F10" s="48">
        <f>IF($A10="","",IF(4&lt;$C10,"",IF($B10="Preț fix",IF(4=$C10,0,""),IF($B10="Standard",INDEX(p_Std,1,3),IF(Perioade!$J10="",IF(4=$C10,0,""),N(Perioade!$J10))))))</f>
        <v>0.15</v>
      </c>
      <c r="G10" s="48">
        <f>IF($A10="","",IF(5&lt;$C10,"",IF($B10="Preț fix",IF(5=$C10,0,""),IF($B10="Standard",INDEX(p_Std,1,4),IF(Perioade!$K10="",IF(5=$C10,0,""),N(Perioade!$K10))))))</f>
        <v>0.2</v>
      </c>
      <c r="H10" s="48">
        <f>IF($A10="","",IF(6&lt;$C10,"",IF($B10="Preț fix",IF(6=$C10,0,""),IF($B10="Standard",INDEX(p_Std,1,5),IF(Perioade!$L10="",IF(6=$C10,0,""),N(Perioade!$L10))))))</f>
        <v>0.25</v>
      </c>
      <c r="I10" s="48">
        <f>IF($A10="","",IF(7&lt;$C10,"",IF($B10="Preț fix",IF(7=$C10,0,""),IF($B10="Standard",INDEX(p_Std,1,6),IF(Perioade!$M10="",IF(7=$C10,0,""),N(Perioade!$M10))))))</f>
        <v>0.33</v>
      </c>
      <c r="J10" s="48">
        <f t="shared" si="0"/>
        <v>0.1</v>
      </c>
      <c r="K10" s="48">
        <f t="shared" si="1"/>
        <v>0.12</v>
      </c>
      <c r="L10" s="48">
        <f t="shared" si="2"/>
        <v>0.15</v>
      </c>
      <c r="M10" s="48">
        <f t="shared" si="3"/>
        <v>0.2</v>
      </c>
      <c r="N10" s="48">
        <f t="shared" si="4"/>
        <v>0.25</v>
      </c>
      <c r="O10" s="48">
        <f t="shared" si="5"/>
        <v>0.33</v>
      </c>
      <c r="P10" s="47">
        <f t="shared" si="6"/>
        <v>1</v>
      </c>
      <c r="Q10" s="48">
        <f t="shared" si="7"/>
        <v>0.1</v>
      </c>
      <c r="R10" s="49">
        <f>IF($A10="","",N(Perioade!$E10))</f>
        <v>1350</v>
      </c>
      <c r="S10" s="49">
        <f t="shared" si="8"/>
        <v>1215</v>
      </c>
      <c r="T10" s="49">
        <f t="shared" si="9"/>
        <v>1051.3513513513512</v>
      </c>
      <c r="U10" s="49">
        <f t="shared" si="10"/>
        <v>1001.2870012870011</v>
      </c>
      <c r="V10" s="50">
        <f t="shared" si="11"/>
        <v>0.15</v>
      </c>
      <c r="W10" s="49">
        <f t="shared" si="12"/>
        <v>1405.7853070294009</v>
      </c>
      <c r="X10" s="48">
        <f t="shared" si="13"/>
        <v>0.1</v>
      </c>
      <c r="Y10" s="49">
        <f t="shared" si="14"/>
        <v>1740</v>
      </c>
      <c r="Z10" s="50">
        <f t="shared" si="15"/>
        <v>0.155</v>
      </c>
      <c r="AA10" s="49">
        <f t="shared" si="16"/>
        <v>1400.3606152890529</v>
      </c>
      <c r="AB10" s="48">
        <f t="shared" si="17"/>
        <v>0.1</v>
      </c>
      <c r="AC10" s="49">
        <f t="shared" si="18"/>
        <v>1555.9562392100588</v>
      </c>
      <c r="AD10" s="49">
        <f t="shared" si="19"/>
        <v>1395.6156772751979</v>
      </c>
      <c r="AE10" s="49">
        <f>IF($A10="","",IF(N(Perioade!$O10)&gt;0,CEILING(MAX(AD10,AC10*(1-a_PondSug)+N(Perioade!$O10)*a_PondSug),a_Rot),CEILING(AC10,a_Rot)))</f>
        <v>1560</v>
      </c>
      <c r="AF10" s="50">
        <f t="shared" si="20"/>
        <v>0.12</v>
      </c>
      <c r="AG10" s="49">
        <f t="shared" si="21"/>
        <v>1337.5964137385456</v>
      </c>
      <c r="AH10" s="48">
        <f t="shared" si="22"/>
        <v>0.1</v>
      </c>
      <c r="AI10" s="49">
        <f t="shared" si="23"/>
        <v>1490</v>
      </c>
      <c r="AJ10" s="49">
        <f t="shared" si="24"/>
        <v>1409.4</v>
      </c>
      <c r="AK10" s="49">
        <f t="shared" si="25"/>
        <v>1003.9542864864865</v>
      </c>
      <c r="AL10" s="49">
        <f t="shared" si="26"/>
        <v>1404</v>
      </c>
      <c r="AM10" s="49">
        <f t="shared" si="27"/>
        <v>1004.0016216216214</v>
      </c>
      <c r="AN10" s="49">
        <f t="shared" si="28"/>
        <v>1341</v>
      </c>
      <c r="AO10" s="49">
        <f t="shared" si="29"/>
        <v>1003.9448648648648</v>
      </c>
      <c r="AP10" s="50">
        <f t="shared" si="30"/>
        <v>0.18143877038342884</v>
      </c>
      <c r="AQ10" s="50">
        <f t="shared" si="31"/>
        <v>0.17814026548672568</v>
      </c>
      <c r="AR10" s="50">
        <f t="shared" si="32"/>
        <v>0.13814477958236659</v>
      </c>
      <c r="AS10" s="43" t="str">
        <f t="shared" si="33"/>
        <v>10/12/15/20/25/33% (2…7+ nopți)</v>
      </c>
      <c r="AT10" s="49">
        <f t="shared" si="34"/>
        <v>1001.2870012870011</v>
      </c>
      <c r="AU10" s="49">
        <f t="shared" si="35"/>
        <v>1003.9542864864865</v>
      </c>
      <c r="AV10" s="49">
        <f t="shared" si="36"/>
        <v>1004.0016216216214</v>
      </c>
      <c r="AW10" s="49">
        <f t="shared" si="37"/>
        <v>1003.9448648648648</v>
      </c>
      <c r="AX10" s="49">
        <f t="shared" si="38"/>
        <v>891.35135135135124</v>
      </c>
      <c r="AY10" s="49">
        <f t="shared" si="39"/>
        <v>978.12097812097795</v>
      </c>
      <c r="AZ10" s="49">
        <f t="shared" si="40"/>
        <v>980.84323027027017</v>
      </c>
      <c r="BA10" s="49">
        <f t="shared" si="41"/>
        <v>980.72951351351333</v>
      </c>
      <c r="BB10" s="49">
        <f t="shared" si="42"/>
        <v>980.67401801801793</v>
      </c>
      <c r="BC10" s="49">
        <f t="shared" si="43"/>
        <v>920.36036036036023</v>
      </c>
      <c r="BD10" s="49">
        <f t="shared" si="44"/>
        <v>943.37194337194319</v>
      </c>
      <c r="BE10" s="49">
        <f t="shared" si="45"/>
        <v>946.17664594594601</v>
      </c>
      <c r="BF10" s="49">
        <f t="shared" si="46"/>
        <v>945.82135135135127</v>
      </c>
      <c r="BG10" s="49">
        <f t="shared" si="47"/>
        <v>945.76774774774753</v>
      </c>
      <c r="BH10" s="49">
        <f t="shared" si="48"/>
        <v>910.54054054054041</v>
      </c>
      <c r="BI10" s="49">
        <f t="shared" si="49"/>
        <v>885.4568854568854</v>
      </c>
      <c r="BJ10" s="49">
        <f t="shared" si="50"/>
        <v>888.39900540540521</v>
      </c>
      <c r="BK10" s="49">
        <f t="shared" si="51"/>
        <v>887.64108108108098</v>
      </c>
      <c r="BL10" s="49">
        <f t="shared" si="52"/>
        <v>887.59063063063059</v>
      </c>
      <c r="BM10" s="49">
        <f t="shared" si="53"/>
        <v>865.72972972972968</v>
      </c>
      <c r="BN10" s="49">
        <f t="shared" si="54"/>
        <v>827.54182754182739</v>
      </c>
      <c r="BO10" s="49">
        <f t="shared" si="55"/>
        <v>830.62136486486474</v>
      </c>
      <c r="BP10" s="49">
        <f t="shared" si="56"/>
        <v>829.4608108108107</v>
      </c>
      <c r="BQ10" s="49">
        <f t="shared" si="57"/>
        <v>829.41351351351341</v>
      </c>
      <c r="BR10" s="49">
        <f t="shared" si="58"/>
        <v>815.58558558558559</v>
      </c>
      <c r="BS10" s="49">
        <f t="shared" si="59"/>
        <v>734.87773487773472</v>
      </c>
      <c r="BT10" s="49">
        <f t="shared" si="60"/>
        <v>738.17714000000001</v>
      </c>
      <c r="BU10" s="49">
        <f t="shared" si="61"/>
        <v>748.0084324324323</v>
      </c>
      <c r="BV10" s="49">
        <f t="shared" si="62"/>
        <v>736.33012612612595</v>
      </c>
      <c r="BW10" s="49">
        <f t="shared" si="63"/>
        <v>715.90733590733566</v>
      </c>
      <c r="BX10" s="49">
        <f t="shared" si="64"/>
        <v>734.87773487773472</v>
      </c>
      <c r="BY10" s="49">
        <f t="shared" si="65"/>
        <v>738.17714000000001</v>
      </c>
      <c r="BZ10" s="49">
        <f t="shared" si="66"/>
        <v>748.0084324324323</v>
      </c>
      <c r="CA10" s="49">
        <f t="shared" si="67"/>
        <v>736.33012612612595</v>
      </c>
      <c r="CB10" s="49">
        <f t="shared" si="68"/>
        <v>743.76447876447855</v>
      </c>
    </row>
    <row r="11" spans="1:80" x14ac:dyDescent="0.2">
      <c r="A11" s="43" t="str">
        <f>IF(Perioade!$A11="","",Perioade!$A11)</f>
        <v>Vacanta-schi-2027</v>
      </c>
      <c r="B11" s="43" t="str">
        <f>IF($A11="","",IF(OR(Perioade!$G11="Preț fix",Perioade!$G11="Personalizat"),Perioade!$G11,"Standard"))</f>
        <v>Standard</v>
      </c>
      <c r="C11" s="47">
        <f>IF($A11="","",N(Perioade!$F11))</f>
        <v>2</v>
      </c>
      <c r="D11" s="48">
        <f>IF($A11="","",IF(2&lt;$C11,"",IF($B11="Preț fix",IF(2=$C11,0,""),IF($B11="Standard",INDEX(p_Std,1,1),IF(Perioade!$H11="",IF(2=$C11,0,""),N(Perioade!$H11))))))</f>
        <v>0.1</v>
      </c>
      <c r="E11" s="48">
        <f>IF($A11="","",IF(3&lt;$C11,"",IF($B11="Preț fix",IF(3=$C11,0,""),IF($B11="Standard",INDEX(p_Std,1,2),IF(Perioade!$I11="",IF(3=$C11,0,""),N(Perioade!$I11))))))</f>
        <v>0.12</v>
      </c>
      <c r="F11" s="48">
        <f>IF($A11="","",IF(4&lt;$C11,"",IF($B11="Preț fix",IF(4=$C11,0,""),IF($B11="Standard",INDEX(p_Std,1,3),IF(Perioade!$J11="",IF(4=$C11,0,""),N(Perioade!$J11))))))</f>
        <v>0.15</v>
      </c>
      <c r="G11" s="48">
        <f>IF($A11="","",IF(5&lt;$C11,"",IF($B11="Preț fix",IF(5=$C11,0,""),IF($B11="Standard",INDEX(p_Std,1,4),IF(Perioade!$K11="",IF(5=$C11,0,""),N(Perioade!$K11))))))</f>
        <v>0.2</v>
      </c>
      <c r="H11" s="48">
        <f>IF($A11="","",IF(6&lt;$C11,"",IF($B11="Preț fix",IF(6=$C11,0,""),IF($B11="Standard",INDEX(p_Std,1,5),IF(Perioade!$L11="",IF(6=$C11,0,""),N(Perioade!$L11))))))</f>
        <v>0.25</v>
      </c>
      <c r="I11" s="48">
        <f>IF($A11="","",IF(7&lt;$C11,"",IF($B11="Preț fix",IF(7=$C11,0,""),IF($B11="Standard",INDEX(p_Std,1,6),IF(Perioade!$M11="",IF(7=$C11,0,""),N(Perioade!$M11))))))</f>
        <v>0.33</v>
      </c>
      <c r="J11" s="48">
        <f t="shared" si="0"/>
        <v>0.1</v>
      </c>
      <c r="K11" s="48">
        <f t="shared" si="1"/>
        <v>0.12</v>
      </c>
      <c r="L11" s="48">
        <f t="shared" si="2"/>
        <v>0.15</v>
      </c>
      <c r="M11" s="48">
        <f t="shared" si="3"/>
        <v>0.2</v>
      </c>
      <c r="N11" s="48">
        <f t="shared" si="4"/>
        <v>0.25</v>
      </c>
      <c r="O11" s="48">
        <f t="shared" si="5"/>
        <v>0.33</v>
      </c>
      <c r="P11" s="47">
        <f t="shared" si="6"/>
        <v>1</v>
      </c>
      <c r="Q11" s="48">
        <f t="shared" si="7"/>
        <v>0.1</v>
      </c>
      <c r="R11" s="49">
        <f>IF($A11="","",N(Perioade!$E11))</f>
        <v>1450</v>
      </c>
      <c r="S11" s="49">
        <f t="shared" si="8"/>
        <v>1305</v>
      </c>
      <c r="T11" s="49">
        <f t="shared" si="9"/>
        <v>1132.4324324324323</v>
      </c>
      <c r="U11" s="49">
        <f t="shared" si="10"/>
        <v>1078.5070785070784</v>
      </c>
      <c r="V11" s="50">
        <f t="shared" si="11"/>
        <v>0.15</v>
      </c>
      <c r="W11" s="49">
        <f t="shared" si="12"/>
        <v>1510.4336102443715</v>
      </c>
      <c r="X11" s="48">
        <f t="shared" si="13"/>
        <v>0.1</v>
      </c>
      <c r="Y11" s="49">
        <f t="shared" si="14"/>
        <v>1870</v>
      </c>
      <c r="Z11" s="50">
        <f t="shared" si="15"/>
        <v>0.155</v>
      </c>
      <c r="AA11" s="49">
        <f t="shared" si="16"/>
        <v>1503.886535591349</v>
      </c>
      <c r="AB11" s="48">
        <f t="shared" si="17"/>
        <v>0.1</v>
      </c>
      <c r="AC11" s="49">
        <f t="shared" si="18"/>
        <v>1670.9850395459432</v>
      </c>
      <c r="AD11" s="49">
        <f t="shared" si="19"/>
        <v>1498.2788815749743</v>
      </c>
      <c r="AE11" s="49">
        <f>IF($A11="","",IF(N(Perioade!$O11)&gt;0,CEILING(MAX(AD11,AC11*(1-a_PondSug)+N(Perioade!$O11)*a_PondSug),a_Rot),CEILING(AC11,a_Rot)))</f>
        <v>1680</v>
      </c>
      <c r="AF11" s="50">
        <f t="shared" si="20"/>
        <v>0.12</v>
      </c>
      <c r="AG11" s="49">
        <f t="shared" si="21"/>
        <v>1436.4822994264621</v>
      </c>
      <c r="AH11" s="48">
        <f t="shared" si="22"/>
        <v>0.1</v>
      </c>
      <c r="AI11" s="49">
        <f t="shared" si="23"/>
        <v>1600</v>
      </c>
      <c r="AJ11" s="49">
        <f t="shared" si="24"/>
        <v>1514.7</v>
      </c>
      <c r="AK11" s="49">
        <f t="shared" si="25"/>
        <v>1081.6552513513511</v>
      </c>
      <c r="AL11" s="49">
        <f t="shared" si="26"/>
        <v>1512</v>
      </c>
      <c r="AM11" s="49">
        <f t="shared" si="27"/>
        <v>1084.5589189189188</v>
      </c>
      <c r="AN11" s="49">
        <f t="shared" si="28"/>
        <v>1440</v>
      </c>
      <c r="AO11" s="49">
        <f t="shared" si="29"/>
        <v>1081.254054054054</v>
      </c>
      <c r="AP11" s="50">
        <f t="shared" si="30"/>
        <v>0.18140224381264064</v>
      </c>
      <c r="AQ11" s="50">
        <f t="shared" si="31"/>
        <v>0.17769098360655738</v>
      </c>
      <c r="AR11" s="50">
        <f t="shared" si="32"/>
        <v>0.13779310344827586</v>
      </c>
      <c r="AS11" s="43" t="str">
        <f t="shared" si="33"/>
        <v>10/12/15/20/25/33% (2…7+ nopți)</v>
      </c>
      <c r="AT11" s="49">
        <f t="shared" si="34"/>
        <v>1078.5070785070784</v>
      </c>
      <c r="AU11" s="49">
        <f t="shared" si="35"/>
        <v>1081.6552513513511</v>
      </c>
      <c r="AV11" s="49">
        <f t="shared" si="36"/>
        <v>1084.5589189189188</v>
      </c>
      <c r="AW11" s="49">
        <f t="shared" si="37"/>
        <v>1081.254054054054</v>
      </c>
      <c r="AX11" s="49">
        <f t="shared" si="38"/>
        <v>972.43243243243228</v>
      </c>
      <c r="AY11" s="49">
        <f t="shared" si="39"/>
        <v>1053.6250536250534</v>
      </c>
      <c r="AZ11" s="49">
        <f t="shared" si="40"/>
        <v>1056.817507027027</v>
      </c>
      <c r="BA11" s="49">
        <f t="shared" si="41"/>
        <v>1059.4966486486485</v>
      </c>
      <c r="BB11" s="49">
        <f t="shared" si="42"/>
        <v>1056.2652252252251</v>
      </c>
      <c r="BC11" s="49">
        <f t="shared" si="43"/>
        <v>999.63963963963943</v>
      </c>
      <c r="BD11" s="49">
        <f t="shared" si="44"/>
        <v>1016.3020163020161</v>
      </c>
      <c r="BE11" s="49">
        <f t="shared" si="45"/>
        <v>1019.5608905405404</v>
      </c>
      <c r="BF11" s="49">
        <f t="shared" si="46"/>
        <v>1021.9032432432431</v>
      </c>
      <c r="BG11" s="49">
        <f t="shared" si="47"/>
        <v>1018.7819819819817</v>
      </c>
      <c r="BH11" s="49">
        <f t="shared" si="48"/>
        <v>987.117117117117</v>
      </c>
      <c r="BI11" s="49">
        <f t="shared" si="49"/>
        <v>954.09695409695394</v>
      </c>
      <c r="BJ11" s="49">
        <f t="shared" si="50"/>
        <v>957.46652972972981</v>
      </c>
      <c r="BK11" s="49">
        <f t="shared" si="51"/>
        <v>959.24756756756756</v>
      </c>
      <c r="BL11" s="49">
        <f t="shared" si="52"/>
        <v>956.30990990990983</v>
      </c>
      <c r="BM11" s="49">
        <f t="shared" si="53"/>
        <v>937.80180180180173</v>
      </c>
      <c r="BN11" s="49">
        <f t="shared" si="54"/>
        <v>891.89189189189187</v>
      </c>
      <c r="BO11" s="49">
        <f t="shared" si="55"/>
        <v>895.37216891891865</v>
      </c>
      <c r="BP11" s="49">
        <f t="shared" si="56"/>
        <v>896.59189189189192</v>
      </c>
      <c r="BQ11" s="49">
        <f t="shared" si="57"/>
        <v>893.8378378378377</v>
      </c>
      <c r="BR11" s="49">
        <f t="shared" si="58"/>
        <v>883.15315315315308</v>
      </c>
      <c r="BS11" s="49">
        <f t="shared" si="59"/>
        <v>792.36379236379219</v>
      </c>
      <c r="BT11" s="49">
        <f t="shared" si="60"/>
        <v>796.02119162162148</v>
      </c>
      <c r="BU11" s="49">
        <f t="shared" si="61"/>
        <v>808.87394594594571</v>
      </c>
      <c r="BV11" s="49">
        <f t="shared" si="62"/>
        <v>793.88252252252244</v>
      </c>
      <c r="BW11" s="49">
        <f t="shared" si="63"/>
        <v>776.26769626769601</v>
      </c>
      <c r="BX11" s="49">
        <f t="shared" si="64"/>
        <v>792.36379236379219</v>
      </c>
      <c r="BY11" s="49">
        <f t="shared" si="65"/>
        <v>796.02119162162148</v>
      </c>
      <c r="BZ11" s="49">
        <f t="shared" si="66"/>
        <v>808.87394594594571</v>
      </c>
      <c r="CA11" s="49">
        <f t="shared" si="67"/>
        <v>793.88252252252244</v>
      </c>
      <c r="CB11" s="49">
        <f t="shared" si="68"/>
        <v>804.1248391248389</v>
      </c>
    </row>
    <row r="12" spans="1:80" x14ac:dyDescent="0.2">
      <c r="A12" s="43" t="str">
        <f>IF(Perioade!$A12="","",Perioade!$A12)</f>
        <v>primavara-2027</v>
      </c>
      <c r="B12" s="43" t="str">
        <f>IF($A12="","",IF(OR(Perioade!$G12="Preț fix",Perioade!$G12="Personalizat"),Perioade!$G12,"Standard"))</f>
        <v>Standard</v>
      </c>
      <c r="C12" s="47">
        <f>IF($A12="","",N(Perioade!$F12))</f>
        <v>2</v>
      </c>
      <c r="D12" s="48">
        <f>IF($A12="","",IF(2&lt;$C12,"",IF($B12="Preț fix",IF(2=$C12,0,""),IF($B12="Standard",INDEX(p_Std,1,1),IF(Perioade!$H12="",IF(2=$C12,0,""),N(Perioade!$H12))))))</f>
        <v>0.1</v>
      </c>
      <c r="E12" s="48">
        <f>IF($A12="","",IF(3&lt;$C12,"",IF($B12="Preț fix",IF(3=$C12,0,""),IF($B12="Standard",INDEX(p_Std,1,2),IF(Perioade!$I12="",IF(3=$C12,0,""),N(Perioade!$I12))))))</f>
        <v>0.12</v>
      </c>
      <c r="F12" s="48">
        <f>IF($A12="","",IF(4&lt;$C12,"",IF($B12="Preț fix",IF(4=$C12,0,""),IF($B12="Standard",INDEX(p_Std,1,3),IF(Perioade!$J12="",IF(4=$C12,0,""),N(Perioade!$J12))))))</f>
        <v>0.15</v>
      </c>
      <c r="G12" s="48">
        <f>IF($A12="","",IF(5&lt;$C12,"",IF($B12="Preț fix",IF(5=$C12,0,""),IF($B12="Standard",INDEX(p_Std,1,4),IF(Perioade!$K12="",IF(5=$C12,0,""),N(Perioade!$K12))))))</f>
        <v>0.2</v>
      </c>
      <c r="H12" s="48">
        <f>IF($A12="","",IF(6&lt;$C12,"",IF($B12="Preț fix",IF(6=$C12,0,""),IF($B12="Standard",INDEX(p_Std,1,5),IF(Perioade!$L12="",IF(6=$C12,0,""),N(Perioade!$L12))))))</f>
        <v>0.25</v>
      </c>
      <c r="I12" s="48">
        <f>IF($A12="","",IF(7&lt;$C12,"",IF($B12="Preț fix",IF(7=$C12,0,""),IF($B12="Standard",INDEX(p_Std,1,6),IF(Perioade!$M12="",IF(7=$C12,0,""),N(Perioade!$M12))))))</f>
        <v>0.33</v>
      </c>
      <c r="J12" s="48">
        <f t="shared" si="0"/>
        <v>0.1</v>
      </c>
      <c r="K12" s="48">
        <f t="shared" si="1"/>
        <v>0.12</v>
      </c>
      <c r="L12" s="48">
        <f t="shared" si="2"/>
        <v>0.15</v>
      </c>
      <c r="M12" s="48">
        <f t="shared" si="3"/>
        <v>0.2</v>
      </c>
      <c r="N12" s="48">
        <f t="shared" si="4"/>
        <v>0.25</v>
      </c>
      <c r="O12" s="48">
        <f t="shared" si="5"/>
        <v>0.33</v>
      </c>
      <c r="P12" s="47">
        <f t="shared" si="6"/>
        <v>1</v>
      </c>
      <c r="Q12" s="48">
        <f t="shared" si="7"/>
        <v>0.1</v>
      </c>
      <c r="R12" s="49">
        <f>IF($A12="","",N(Perioade!$E12))</f>
        <v>900</v>
      </c>
      <c r="S12" s="49">
        <f t="shared" si="8"/>
        <v>810</v>
      </c>
      <c r="T12" s="49">
        <f t="shared" si="9"/>
        <v>686.48648648648646</v>
      </c>
      <c r="U12" s="49">
        <f t="shared" si="10"/>
        <v>653.79665379665369</v>
      </c>
      <c r="V12" s="50">
        <f t="shared" si="11"/>
        <v>0.15</v>
      </c>
      <c r="W12" s="49">
        <f t="shared" si="12"/>
        <v>934.86794256203461</v>
      </c>
      <c r="X12" s="48">
        <f t="shared" si="13"/>
        <v>0.1</v>
      </c>
      <c r="Y12" s="49">
        <f t="shared" si="14"/>
        <v>1160</v>
      </c>
      <c r="Z12" s="50">
        <f t="shared" si="15"/>
        <v>0.155</v>
      </c>
      <c r="AA12" s="49">
        <f t="shared" si="16"/>
        <v>934.49397392872243</v>
      </c>
      <c r="AB12" s="48">
        <f t="shared" si="17"/>
        <v>0.1</v>
      </c>
      <c r="AC12" s="49">
        <f t="shared" si="18"/>
        <v>1038.3266376985805</v>
      </c>
      <c r="AD12" s="49">
        <f t="shared" si="19"/>
        <v>933.63125792620326</v>
      </c>
      <c r="AE12" s="49">
        <f>IF($A12="","",IF(N(Perioade!$O12)&gt;0,CEILING(MAX(AD12,AC12*(1-a_PondSug)+N(Perioade!$O12)*a_PondSug),a_Rot),CEILING(AC12,a_Rot)))</f>
        <v>1040</v>
      </c>
      <c r="AF12" s="50">
        <f t="shared" si="20"/>
        <v>0.12</v>
      </c>
      <c r="AG12" s="49">
        <f t="shared" si="21"/>
        <v>892.60992814292297</v>
      </c>
      <c r="AH12" s="48">
        <f t="shared" si="22"/>
        <v>0.1</v>
      </c>
      <c r="AI12" s="49">
        <f t="shared" si="23"/>
        <v>1000</v>
      </c>
      <c r="AJ12" s="49">
        <f t="shared" si="24"/>
        <v>939.6</v>
      </c>
      <c r="AK12" s="49">
        <f t="shared" si="25"/>
        <v>657.28844324324325</v>
      </c>
      <c r="AL12" s="49">
        <f t="shared" si="26"/>
        <v>936</v>
      </c>
      <c r="AM12" s="49">
        <f t="shared" si="27"/>
        <v>654.91999999999985</v>
      </c>
      <c r="AN12" s="49">
        <f t="shared" si="28"/>
        <v>900</v>
      </c>
      <c r="AO12" s="49">
        <f t="shared" si="29"/>
        <v>659.56756756756749</v>
      </c>
      <c r="AP12" s="50">
        <f t="shared" si="30"/>
        <v>0.18170685060565278</v>
      </c>
      <c r="AQ12" s="50">
        <f t="shared" si="31"/>
        <v>0.18135000000000004</v>
      </c>
      <c r="AR12" s="50">
        <f t="shared" si="32"/>
        <v>0.14070422535211269</v>
      </c>
      <c r="AS12" s="43" t="str">
        <f t="shared" si="33"/>
        <v>10/12/15/20/25/33% (2…7+ nopți)</v>
      </c>
      <c r="AT12" s="49">
        <f t="shared" si="34"/>
        <v>653.79665379665369</v>
      </c>
      <c r="AU12" s="49">
        <f t="shared" si="35"/>
        <v>657.28844324324325</v>
      </c>
      <c r="AV12" s="49">
        <f t="shared" si="36"/>
        <v>654.91999999999985</v>
      </c>
      <c r="AW12" s="49">
        <f t="shared" si="37"/>
        <v>659.56756756756749</v>
      </c>
      <c r="AX12" s="49">
        <f t="shared" si="38"/>
        <v>526.48648648648646</v>
      </c>
      <c r="AY12" s="49">
        <f t="shared" si="39"/>
        <v>638.35263835263822</v>
      </c>
      <c r="AZ12" s="49">
        <f t="shared" si="40"/>
        <v>641.88107243243235</v>
      </c>
      <c r="BA12" s="49">
        <f t="shared" si="41"/>
        <v>639.40526126126122</v>
      </c>
      <c r="BB12" s="49">
        <f t="shared" si="42"/>
        <v>643.94954954954949</v>
      </c>
      <c r="BC12" s="49">
        <f t="shared" si="43"/>
        <v>563.60360360360357</v>
      </c>
      <c r="BD12" s="49">
        <f t="shared" si="44"/>
        <v>615.1866151866152</v>
      </c>
      <c r="BE12" s="49">
        <f t="shared" si="45"/>
        <v>618.77001621621616</v>
      </c>
      <c r="BF12" s="49">
        <f t="shared" si="46"/>
        <v>616.1331531531531</v>
      </c>
      <c r="BG12" s="49">
        <f t="shared" si="47"/>
        <v>620.52252252252242</v>
      </c>
      <c r="BH12" s="49">
        <f t="shared" si="48"/>
        <v>565.94594594594594</v>
      </c>
      <c r="BI12" s="49">
        <f t="shared" si="49"/>
        <v>576.57657657657649</v>
      </c>
      <c r="BJ12" s="49">
        <f t="shared" si="50"/>
        <v>580.25158918918908</v>
      </c>
      <c r="BK12" s="49">
        <f t="shared" si="51"/>
        <v>577.34630630630625</v>
      </c>
      <c r="BL12" s="49">
        <f t="shared" si="52"/>
        <v>581.47747747747746</v>
      </c>
      <c r="BM12" s="49">
        <f t="shared" si="53"/>
        <v>541.4054054054053</v>
      </c>
      <c r="BN12" s="49">
        <f t="shared" si="54"/>
        <v>537.96653796653789</v>
      </c>
      <c r="BO12" s="49">
        <f t="shared" si="55"/>
        <v>541.7331621621621</v>
      </c>
      <c r="BP12" s="49">
        <f t="shared" si="56"/>
        <v>538.55945945945939</v>
      </c>
      <c r="BQ12" s="49">
        <f t="shared" si="57"/>
        <v>542.43243243243239</v>
      </c>
      <c r="BR12" s="49">
        <f t="shared" si="58"/>
        <v>511.53153153153147</v>
      </c>
      <c r="BS12" s="49">
        <f t="shared" si="59"/>
        <v>476.19047619047603</v>
      </c>
      <c r="BT12" s="49">
        <f t="shared" si="60"/>
        <v>480.10367891891877</v>
      </c>
      <c r="BU12" s="49">
        <f t="shared" si="61"/>
        <v>484.25787387387379</v>
      </c>
      <c r="BV12" s="49">
        <f t="shared" si="62"/>
        <v>479.96036036036026</v>
      </c>
      <c r="BW12" s="49">
        <f t="shared" si="63"/>
        <v>444.28571428571411</v>
      </c>
      <c r="BX12" s="49">
        <f t="shared" si="64"/>
        <v>476.19047619047603</v>
      </c>
      <c r="BY12" s="49">
        <f t="shared" si="65"/>
        <v>480.10367891891877</v>
      </c>
      <c r="BZ12" s="49">
        <f t="shared" si="66"/>
        <v>484.25787387387379</v>
      </c>
      <c r="CA12" s="49">
        <f t="shared" si="67"/>
        <v>479.96036036036026</v>
      </c>
      <c r="CB12" s="49">
        <f t="shared" si="68"/>
        <v>472.14285714285694</v>
      </c>
    </row>
    <row r="13" spans="1:80" x14ac:dyDescent="0.2">
      <c r="A13" s="43" t="str">
        <f>IF(Perioade!$A13="","",Perioade!$A13)</f>
        <v/>
      </c>
      <c r="B13" s="43" t="str">
        <f>IF($A13="","",IF(OR(Perioade!$G13="Preț fix",Perioade!$G13="Personalizat"),Perioade!$G13,"Standard"))</f>
        <v/>
      </c>
      <c r="C13" s="47" t="str">
        <f>IF($A13="","",N(Perioade!$F13))</f>
        <v/>
      </c>
      <c r="D13" s="48" t="str">
        <f>IF($A13="","",IF(2&lt;$C13,"",IF($B13="Preț fix",IF(2=$C13,0,""),IF($B13="Standard",INDEX(p_Std,1,1),IF(Perioade!$H13="",IF(2=$C13,0,""),N(Perioade!$H13))))))</f>
        <v/>
      </c>
      <c r="E13" s="48" t="str">
        <f>IF($A13="","",IF(3&lt;$C13,"",IF($B13="Preț fix",IF(3=$C13,0,""),IF($B13="Standard",INDEX(p_Std,1,2),IF(Perioade!$I13="",IF(3=$C13,0,""),N(Perioade!$I13))))))</f>
        <v/>
      </c>
      <c r="F13" s="48" t="str">
        <f>IF($A13="","",IF(4&lt;$C13,"",IF($B13="Preț fix",IF(4=$C13,0,""),IF($B13="Standard",INDEX(p_Std,1,3),IF(Perioade!$J13="",IF(4=$C13,0,""),N(Perioade!$J13))))))</f>
        <v/>
      </c>
      <c r="G13" s="48" t="str">
        <f>IF($A13="","",IF(5&lt;$C13,"",IF($B13="Preț fix",IF(5=$C13,0,""),IF($B13="Standard",INDEX(p_Std,1,4),IF(Perioade!$K13="",IF(5=$C13,0,""),N(Perioade!$K13))))))</f>
        <v/>
      </c>
      <c r="H13" s="48" t="str">
        <f>IF($A13="","",IF(6&lt;$C13,"",IF($B13="Preț fix",IF(6=$C13,0,""),IF($B13="Standard",INDEX(p_Std,1,5),IF(Perioade!$L13="",IF(6=$C13,0,""),N(Perioade!$L13))))))</f>
        <v/>
      </c>
      <c r="I13" s="48" t="str">
        <f>IF($A13="","",IF(7&lt;$C13,"",IF($B13="Preț fix",IF(7=$C13,0,""),IF($B13="Standard",INDEX(p_Std,1,6),IF(Perioade!$M13="",IF(7=$C13,0,""),N(Perioade!$M13))))))</f>
        <v/>
      </c>
      <c r="J13" s="48" t="str">
        <f t="shared" si="0"/>
        <v/>
      </c>
      <c r="K13" s="48" t="str">
        <f t="shared" si="1"/>
        <v/>
      </c>
      <c r="L13" s="48" t="str">
        <f t="shared" si="2"/>
        <v/>
      </c>
      <c r="M13" s="48" t="str">
        <f t="shared" si="3"/>
        <v/>
      </c>
      <c r="N13" s="48" t="str">
        <f t="shared" si="4"/>
        <v/>
      </c>
      <c r="O13" s="48" t="str">
        <f t="shared" si="5"/>
        <v/>
      </c>
      <c r="P13" s="47" t="str">
        <f t="shared" si="6"/>
        <v/>
      </c>
      <c r="Q13" s="48" t="str">
        <f t="shared" si="7"/>
        <v/>
      </c>
      <c r="R13" s="49" t="str">
        <f>IF($A13="","",N(Perioade!$E13))</f>
        <v/>
      </c>
      <c r="S13" s="49" t="str">
        <f t="shared" si="8"/>
        <v/>
      </c>
      <c r="T13" s="49" t="str">
        <f t="shared" si="9"/>
        <v/>
      </c>
      <c r="U13" s="49" t="str">
        <f t="shared" si="10"/>
        <v/>
      </c>
      <c r="V13" s="50" t="str">
        <f t="shared" si="11"/>
        <v/>
      </c>
      <c r="W13" s="49" t="str">
        <f t="shared" si="12"/>
        <v/>
      </c>
      <c r="X13" s="48" t="str">
        <f t="shared" si="13"/>
        <v/>
      </c>
      <c r="Y13" s="49" t="str">
        <f t="shared" si="14"/>
        <v/>
      </c>
      <c r="Z13" s="50" t="str">
        <f t="shared" si="15"/>
        <v/>
      </c>
      <c r="AA13" s="49" t="str">
        <f t="shared" si="16"/>
        <v/>
      </c>
      <c r="AB13" s="48" t="str">
        <f t="shared" si="17"/>
        <v/>
      </c>
      <c r="AC13" s="49" t="str">
        <f t="shared" si="18"/>
        <v/>
      </c>
      <c r="AD13" s="49" t="str">
        <f t="shared" si="19"/>
        <v/>
      </c>
      <c r="AE13" s="49" t="str">
        <f>IF($A13="","",IF(N(Perioade!$O13)&gt;0,CEILING(MAX(AD13,AC13*(1-a_PondSug)+N(Perioade!$O13)*a_PondSug),a_Rot),CEILING(AC13,a_Rot)))</f>
        <v/>
      </c>
      <c r="AF13" s="50" t="str">
        <f t="shared" si="20"/>
        <v/>
      </c>
      <c r="AG13" s="49" t="str">
        <f t="shared" si="21"/>
        <v/>
      </c>
      <c r="AH13" s="48" t="str">
        <f t="shared" si="22"/>
        <v/>
      </c>
      <c r="AI13" s="49" t="str">
        <f t="shared" si="23"/>
        <v/>
      </c>
      <c r="AJ13" s="49" t="str">
        <f t="shared" si="24"/>
        <v/>
      </c>
      <c r="AK13" s="49" t="str">
        <f t="shared" si="25"/>
        <v/>
      </c>
      <c r="AL13" s="49" t="str">
        <f t="shared" si="26"/>
        <v/>
      </c>
      <c r="AM13" s="49" t="str">
        <f t="shared" si="27"/>
        <v/>
      </c>
      <c r="AN13" s="49" t="str">
        <f t="shared" si="28"/>
        <v/>
      </c>
      <c r="AO13" s="49" t="str">
        <f t="shared" si="29"/>
        <v/>
      </c>
      <c r="AP13" s="50" t="str">
        <f t="shared" si="30"/>
        <v/>
      </c>
      <c r="AQ13" s="50" t="str">
        <f t="shared" si="31"/>
        <v/>
      </c>
      <c r="AR13" s="50" t="str">
        <f t="shared" si="32"/>
        <v/>
      </c>
      <c r="AS13" s="43" t="str">
        <f t="shared" si="33"/>
        <v/>
      </c>
      <c r="AT13" s="49" t="str">
        <f t="shared" si="34"/>
        <v/>
      </c>
      <c r="AU13" s="49" t="str">
        <f t="shared" si="35"/>
        <v/>
      </c>
      <c r="AV13" s="49" t="str">
        <f t="shared" si="36"/>
        <v/>
      </c>
      <c r="AW13" s="49" t="str">
        <f t="shared" si="37"/>
        <v/>
      </c>
      <c r="AX13" s="49" t="str">
        <f t="shared" si="38"/>
        <v/>
      </c>
      <c r="AY13" s="49" t="str">
        <f t="shared" si="39"/>
        <v/>
      </c>
      <c r="AZ13" s="49" t="str">
        <f t="shared" si="40"/>
        <v/>
      </c>
      <c r="BA13" s="49" t="str">
        <f t="shared" si="41"/>
        <v/>
      </c>
      <c r="BB13" s="49" t="str">
        <f t="shared" si="42"/>
        <v/>
      </c>
      <c r="BC13" s="49" t="str">
        <f t="shared" si="43"/>
        <v/>
      </c>
      <c r="BD13" s="49" t="str">
        <f t="shared" si="44"/>
        <v/>
      </c>
      <c r="BE13" s="49" t="str">
        <f t="shared" si="45"/>
        <v/>
      </c>
      <c r="BF13" s="49" t="str">
        <f t="shared" si="46"/>
        <v/>
      </c>
      <c r="BG13" s="49" t="str">
        <f t="shared" si="47"/>
        <v/>
      </c>
      <c r="BH13" s="49" t="str">
        <f t="shared" si="48"/>
        <v/>
      </c>
      <c r="BI13" s="49" t="str">
        <f t="shared" si="49"/>
        <v/>
      </c>
      <c r="BJ13" s="49" t="str">
        <f t="shared" si="50"/>
        <v/>
      </c>
      <c r="BK13" s="49" t="str">
        <f t="shared" si="51"/>
        <v/>
      </c>
      <c r="BL13" s="49" t="str">
        <f t="shared" si="52"/>
        <v/>
      </c>
      <c r="BM13" s="49" t="str">
        <f t="shared" si="53"/>
        <v/>
      </c>
      <c r="BN13" s="49" t="str">
        <f t="shared" si="54"/>
        <v/>
      </c>
      <c r="BO13" s="49" t="str">
        <f t="shared" si="55"/>
        <v/>
      </c>
      <c r="BP13" s="49" t="str">
        <f t="shared" si="56"/>
        <v/>
      </c>
      <c r="BQ13" s="49" t="str">
        <f t="shared" si="57"/>
        <v/>
      </c>
      <c r="BR13" s="49" t="str">
        <f t="shared" si="58"/>
        <v/>
      </c>
      <c r="BS13" s="49" t="str">
        <f t="shared" si="59"/>
        <v/>
      </c>
      <c r="BT13" s="49" t="str">
        <f t="shared" si="60"/>
        <v/>
      </c>
      <c r="BU13" s="49" t="str">
        <f t="shared" si="61"/>
        <v/>
      </c>
      <c r="BV13" s="49" t="str">
        <f t="shared" si="62"/>
        <v/>
      </c>
      <c r="BW13" s="49" t="str">
        <f t="shared" si="63"/>
        <v/>
      </c>
      <c r="BX13" s="49" t="str">
        <f t="shared" si="64"/>
        <v/>
      </c>
      <c r="BY13" s="49" t="str">
        <f t="shared" si="65"/>
        <v/>
      </c>
      <c r="BZ13" s="49" t="str">
        <f t="shared" si="66"/>
        <v/>
      </c>
      <c r="CA13" s="49" t="str">
        <f t="shared" si="67"/>
        <v/>
      </c>
      <c r="CB13" s="49" t="str">
        <f t="shared" si="68"/>
        <v/>
      </c>
    </row>
    <row r="14" spans="1:80" x14ac:dyDescent="0.2">
      <c r="A14" s="43" t="str">
        <f>IF(Perioade!$A14="","",Perioade!$A14)</f>
        <v/>
      </c>
      <c r="B14" s="43" t="str">
        <f>IF($A14="","",IF(OR(Perioade!$G14="Preț fix",Perioade!$G14="Personalizat"),Perioade!$G14,"Standard"))</f>
        <v/>
      </c>
      <c r="C14" s="47" t="str">
        <f>IF($A14="","",N(Perioade!$F14))</f>
        <v/>
      </c>
      <c r="D14" s="48" t="str">
        <f>IF($A14="","",IF(2&lt;$C14,"",IF($B14="Preț fix",IF(2=$C14,0,""),IF($B14="Standard",INDEX(p_Std,1,1),IF(Perioade!$H14="",IF(2=$C14,0,""),N(Perioade!$H14))))))</f>
        <v/>
      </c>
      <c r="E14" s="48" t="str">
        <f>IF($A14="","",IF(3&lt;$C14,"",IF($B14="Preț fix",IF(3=$C14,0,""),IF($B14="Standard",INDEX(p_Std,1,2),IF(Perioade!$I14="",IF(3=$C14,0,""),N(Perioade!$I14))))))</f>
        <v/>
      </c>
      <c r="F14" s="48" t="str">
        <f>IF($A14="","",IF(4&lt;$C14,"",IF($B14="Preț fix",IF(4=$C14,0,""),IF($B14="Standard",INDEX(p_Std,1,3),IF(Perioade!$J14="",IF(4=$C14,0,""),N(Perioade!$J14))))))</f>
        <v/>
      </c>
      <c r="G14" s="48" t="str">
        <f>IF($A14="","",IF(5&lt;$C14,"",IF($B14="Preț fix",IF(5=$C14,0,""),IF($B14="Standard",INDEX(p_Std,1,4),IF(Perioade!$K14="",IF(5=$C14,0,""),N(Perioade!$K14))))))</f>
        <v/>
      </c>
      <c r="H14" s="48" t="str">
        <f>IF($A14="","",IF(6&lt;$C14,"",IF($B14="Preț fix",IF(6=$C14,0,""),IF($B14="Standard",INDEX(p_Std,1,5),IF(Perioade!$L14="",IF(6=$C14,0,""),N(Perioade!$L14))))))</f>
        <v/>
      </c>
      <c r="I14" s="48" t="str">
        <f>IF($A14="","",IF(7&lt;$C14,"",IF($B14="Preț fix",IF(7=$C14,0,""),IF($B14="Standard",INDEX(p_Std,1,6),IF(Perioade!$M14="",IF(7=$C14,0,""),N(Perioade!$M14))))))</f>
        <v/>
      </c>
      <c r="J14" s="48" t="str">
        <f t="shared" si="0"/>
        <v/>
      </c>
      <c r="K14" s="48" t="str">
        <f t="shared" si="1"/>
        <v/>
      </c>
      <c r="L14" s="48" t="str">
        <f t="shared" si="2"/>
        <v/>
      </c>
      <c r="M14" s="48" t="str">
        <f t="shared" si="3"/>
        <v/>
      </c>
      <c r="N14" s="48" t="str">
        <f t="shared" si="4"/>
        <v/>
      </c>
      <c r="O14" s="48" t="str">
        <f t="shared" si="5"/>
        <v/>
      </c>
      <c r="P14" s="47" t="str">
        <f t="shared" si="6"/>
        <v/>
      </c>
      <c r="Q14" s="48" t="str">
        <f t="shared" si="7"/>
        <v/>
      </c>
      <c r="R14" s="49" t="str">
        <f>IF($A14="","",N(Perioade!$E14))</f>
        <v/>
      </c>
      <c r="S14" s="49" t="str">
        <f t="shared" si="8"/>
        <v/>
      </c>
      <c r="T14" s="49" t="str">
        <f t="shared" si="9"/>
        <v/>
      </c>
      <c r="U14" s="49" t="str">
        <f t="shared" si="10"/>
        <v/>
      </c>
      <c r="V14" s="50" t="str">
        <f t="shared" si="11"/>
        <v/>
      </c>
      <c r="W14" s="49" t="str">
        <f t="shared" si="12"/>
        <v/>
      </c>
      <c r="X14" s="48" t="str">
        <f t="shared" si="13"/>
        <v/>
      </c>
      <c r="Y14" s="49" t="str">
        <f t="shared" si="14"/>
        <v/>
      </c>
      <c r="Z14" s="50" t="str">
        <f t="shared" si="15"/>
        <v/>
      </c>
      <c r="AA14" s="49" t="str">
        <f t="shared" si="16"/>
        <v/>
      </c>
      <c r="AB14" s="48" t="str">
        <f t="shared" si="17"/>
        <v/>
      </c>
      <c r="AC14" s="49" t="str">
        <f t="shared" si="18"/>
        <v/>
      </c>
      <c r="AD14" s="49" t="str">
        <f t="shared" si="19"/>
        <v/>
      </c>
      <c r="AE14" s="49" t="str">
        <f>IF($A14="","",IF(N(Perioade!$O14)&gt;0,CEILING(MAX(AD14,AC14*(1-a_PondSug)+N(Perioade!$O14)*a_PondSug),a_Rot),CEILING(AC14,a_Rot)))</f>
        <v/>
      </c>
      <c r="AF14" s="50" t="str">
        <f t="shared" si="20"/>
        <v/>
      </c>
      <c r="AG14" s="49" t="str">
        <f t="shared" si="21"/>
        <v/>
      </c>
      <c r="AH14" s="48" t="str">
        <f t="shared" si="22"/>
        <v/>
      </c>
      <c r="AI14" s="49" t="str">
        <f t="shared" si="23"/>
        <v/>
      </c>
      <c r="AJ14" s="49" t="str">
        <f t="shared" si="24"/>
        <v/>
      </c>
      <c r="AK14" s="49" t="str">
        <f t="shared" si="25"/>
        <v/>
      </c>
      <c r="AL14" s="49" t="str">
        <f t="shared" si="26"/>
        <v/>
      </c>
      <c r="AM14" s="49" t="str">
        <f t="shared" si="27"/>
        <v/>
      </c>
      <c r="AN14" s="49" t="str">
        <f t="shared" si="28"/>
        <v/>
      </c>
      <c r="AO14" s="49" t="str">
        <f t="shared" si="29"/>
        <v/>
      </c>
      <c r="AP14" s="50" t="str">
        <f t="shared" si="30"/>
        <v/>
      </c>
      <c r="AQ14" s="50" t="str">
        <f t="shared" si="31"/>
        <v/>
      </c>
      <c r="AR14" s="50" t="str">
        <f t="shared" si="32"/>
        <v/>
      </c>
      <c r="AS14" s="43" t="str">
        <f t="shared" si="33"/>
        <v/>
      </c>
      <c r="AT14" s="49" t="str">
        <f t="shared" si="34"/>
        <v/>
      </c>
      <c r="AU14" s="49" t="str">
        <f t="shared" si="35"/>
        <v/>
      </c>
      <c r="AV14" s="49" t="str">
        <f t="shared" si="36"/>
        <v/>
      </c>
      <c r="AW14" s="49" t="str">
        <f t="shared" si="37"/>
        <v/>
      </c>
      <c r="AX14" s="49" t="str">
        <f t="shared" si="38"/>
        <v/>
      </c>
      <c r="AY14" s="49" t="str">
        <f t="shared" si="39"/>
        <v/>
      </c>
      <c r="AZ14" s="49" t="str">
        <f t="shared" si="40"/>
        <v/>
      </c>
      <c r="BA14" s="49" t="str">
        <f t="shared" si="41"/>
        <v/>
      </c>
      <c r="BB14" s="49" t="str">
        <f t="shared" si="42"/>
        <v/>
      </c>
      <c r="BC14" s="49" t="str">
        <f t="shared" si="43"/>
        <v/>
      </c>
      <c r="BD14" s="49" t="str">
        <f t="shared" si="44"/>
        <v/>
      </c>
      <c r="BE14" s="49" t="str">
        <f t="shared" si="45"/>
        <v/>
      </c>
      <c r="BF14" s="49" t="str">
        <f t="shared" si="46"/>
        <v/>
      </c>
      <c r="BG14" s="49" t="str">
        <f t="shared" si="47"/>
        <v/>
      </c>
      <c r="BH14" s="49" t="str">
        <f t="shared" si="48"/>
        <v/>
      </c>
      <c r="BI14" s="49" t="str">
        <f t="shared" si="49"/>
        <v/>
      </c>
      <c r="BJ14" s="49" t="str">
        <f t="shared" si="50"/>
        <v/>
      </c>
      <c r="BK14" s="49" t="str">
        <f t="shared" si="51"/>
        <v/>
      </c>
      <c r="BL14" s="49" t="str">
        <f t="shared" si="52"/>
        <v/>
      </c>
      <c r="BM14" s="49" t="str">
        <f t="shared" si="53"/>
        <v/>
      </c>
      <c r="BN14" s="49" t="str">
        <f t="shared" si="54"/>
        <v/>
      </c>
      <c r="BO14" s="49" t="str">
        <f t="shared" si="55"/>
        <v/>
      </c>
      <c r="BP14" s="49" t="str">
        <f t="shared" si="56"/>
        <v/>
      </c>
      <c r="BQ14" s="49" t="str">
        <f t="shared" si="57"/>
        <v/>
      </c>
      <c r="BR14" s="49" t="str">
        <f t="shared" si="58"/>
        <v/>
      </c>
      <c r="BS14" s="49" t="str">
        <f t="shared" si="59"/>
        <v/>
      </c>
      <c r="BT14" s="49" t="str">
        <f t="shared" si="60"/>
        <v/>
      </c>
      <c r="BU14" s="49" t="str">
        <f t="shared" si="61"/>
        <v/>
      </c>
      <c r="BV14" s="49" t="str">
        <f t="shared" si="62"/>
        <v/>
      </c>
      <c r="BW14" s="49" t="str">
        <f t="shared" si="63"/>
        <v/>
      </c>
      <c r="BX14" s="49" t="str">
        <f t="shared" si="64"/>
        <v/>
      </c>
      <c r="BY14" s="49" t="str">
        <f t="shared" si="65"/>
        <v/>
      </c>
      <c r="BZ14" s="49" t="str">
        <f t="shared" si="66"/>
        <v/>
      </c>
      <c r="CA14" s="49" t="str">
        <f t="shared" si="67"/>
        <v/>
      </c>
      <c r="CB14" s="49" t="str">
        <f t="shared" si="68"/>
        <v/>
      </c>
    </row>
    <row r="15" spans="1:80" x14ac:dyDescent="0.2">
      <c r="A15" s="43" t="str">
        <f>IF(Perioade!$A15="","",Perioade!$A15)</f>
        <v/>
      </c>
      <c r="B15" s="43" t="str">
        <f>IF($A15="","",IF(OR(Perioade!$G15="Preț fix",Perioade!$G15="Personalizat"),Perioade!$G15,"Standard"))</f>
        <v/>
      </c>
      <c r="C15" s="47" t="str">
        <f>IF($A15="","",N(Perioade!$F15))</f>
        <v/>
      </c>
      <c r="D15" s="48" t="str">
        <f>IF($A15="","",IF(2&lt;$C15,"",IF($B15="Preț fix",IF(2=$C15,0,""),IF($B15="Standard",INDEX(p_Std,1,1),IF(Perioade!$H15="",IF(2=$C15,0,""),N(Perioade!$H15))))))</f>
        <v/>
      </c>
      <c r="E15" s="48" t="str">
        <f>IF($A15="","",IF(3&lt;$C15,"",IF($B15="Preț fix",IF(3=$C15,0,""),IF($B15="Standard",INDEX(p_Std,1,2),IF(Perioade!$I15="",IF(3=$C15,0,""),N(Perioade!$I15))))))</f>
        <v/>
      </c>
      <c r="F15" s="48" t="str">
        <f>IF($A15="","",IF(4&lt;$C15,"",IF($B15="Preț fix",IF(4=$C15,0,""),IF($B15="Standard",INDEX(p_Std,1,3),IF(Perioade!$J15="",IF(4=$C15,0,""),N(Perioade!$J15))))))</f>
        <v/>
      </c>
      <c r="G15" s="48" t="str">
        <f>IF($A15="","",IF(5&lt;$C15,"",IF($B15="Preț fix",IF(5=$C15,0,""),IF($B15="Standard",INDEX(p_Std,1,4),IF(Perioade!$K15="",IF(5=$C15,0,""),N(Perioade!$K15))))))</f>
        <v/>
      </c>
      <c r="H15" s="48" t="str">
        <f>IF($A15="","",IF(6&lt;$C15,"",IF($B15="Preț fix",IF(6=$C15,0,""),IF($B15="Standard",INDEX(p_Std,1,5),IF(Perioade!$L15="",IF(6=$C15,0,""),N(Perioade!$L15))))))</f>
        <v/>
      </c>
      <c r="I15" s="48" t="str">
        <f>IF($A15="","",IF(7&lt;$C15,"",IF($B15="Preț fix",IF(7=$C15,0,""),IF($B15="Standard",INDEX(p_Std,1,6),IF(Perioade!$M15="",IF(7=$C15,0,""),N(Perioade!$M15))))))</f>
        <v/>
      </c>
      <c r="J15" s="48" t="str">
        <f t="shared" si="0"/>
        <v/>
      </c>
      <c r="K15" s="48" t="str">
        <f t="shared" si="1"/>
        <v/>
      </c>
      <c r="L15" s="48" t="str">
        <f t="shared" si="2"/>
        <v/>
      </c>
      <c r="M15" s="48" t="str">
        <f t="shared" si="3"/>
        <v/>
      </c>
      <c r="N15" s="48" t="str">
        <f t="shared" si="4"/>
        <v/>
      </c>
      <c r="O15" s="48" t="str">
        <f t="shared" si="5"/>
        <v/>
      </c>
      <c r="P15" s="47" t="str">
        <f t="shared" si="6"/>
        <v/>
      </c>
      <c r="Q15" s="48" t="str">
        <f t="shared" si="7"/>
        <v/>
      </c>
      <c r="R15" s="49" t="str">
        <f>IF($A15="","",N(Perioade!$E15))</f>
        <v/>
      </c>
      <c r="S15" s="49" t="str">
        <f t="shared" si="8"/>
        <v/>
      </c>
      <c r="T15" s="49" t="str">
        <f t="shared" si="9"/>
        <v/>
      </c>
      <c r="U15" s="49" t="str">
        <f t="shared" si="10"/>
        <v/>
      </c>
      <c r="V15" s="50" t="str">
        <f t="shared" si="11"/>
        <v/>
      </c>
      <c r="W15" s="49" t="str">
        <f t="shared" si="12"/>
        <v/>
      </c>
      <c r="X15" s="48" t="str">
        <f t="shared" si="13"/>
        <v/>
      </c>
      <c r="Y15" s="49" t="str">
        <f t="shared" si="14"/>
        <v/>
      </c>
      <c r="Z15" s="50" t="str">
        <f t="shared" si="15"/>
        <v/>
      </c>
      <c r="AA15" s="49" t="str">
        <f t="shared" si="16"/>
        <v/>
      </c>
      <c r="AB15" s="48" t="str">
        <f t="shared" si="17"/>
        <v/>
      </c>
      <c r="AC15" s="49" t="str">
        <f t="shared" si="18"/>
        <v/>
      </c>
      <c r="AD15" s="49" t="str">
        <f t="shared" si="19"/>
        <v/>
      </c>
      <c r="AE15" s="49" t="str">
        <f>IF($A15="","",IF(N(Perioade!$O15)&gt;0,CEILING(MAX(AD15,AC15*(1-a_PondSug)+N(Perioade!$O15)*a_PondSug),a_Rot),CEILING(AC15,a_Rot)))</f>
        <v/>
      </c>
      <c r="AF15" s="50" t="str">
        <f t="shared" si="20"/>
        <v/>
      </c>
      <c r="AG15" s="49" t="str">
        <f t="shared" si="21"/>
        <v/>
      </c>
      <c r="AH15" s="48" t="str">
        <f t="shared" si="22"/>
        <v/>
      </c>
      <c r="AI15" s="49" t="str">
        <f t="shared" si="23"/>
        <v/>
      </c>
      <c r="AJ15" s="49" t="str">
        <f t="shared" si="24"/>
        <v/>
      </c>
      <c r="AK15" s="49" t="str">
        <f t="shared" si="25"/>
        <v/>
      </c>
      <c r="AL15" s="49" t="str">
        <f t="shared" si="26"/>
        <v/>
      </c>
      <c r="AM15" s="49" t="str">
        <f t="shared" si="27"/>
        <v/>
      </c>
      <c r="AN15" s="49" t="str">
        <f t="shared" si="28"/>
        <v/>
      </c>
      <c r="AO15" s="49" t="str">
        <f t="shared" si="29"/>
        <v/>
      </c>
      <c r="AP15" s="50" t="str">
        <f t="shared" si="30"/>
        <v/>
      </c>
      <c r="AQ15" s="50" t="str">
        <f t="shared" si="31"/>
        <v/>
      </c>
      <c r="AR15" s="50" t="str">
        <f t="shared" si="32"/>
        <v/>
      </c>
      <c r="AS15" s="43" t="str">
        <f t="shared" si="33"/>
        <v/>
      </c>
      <c r="AT15" s="49" t="str">
        <f t="shared" si="34"/>
        <v/>
      </c>
      <c r="AU15" s="49" t="str">
        <f t="shared" si="35"/>
        <v/>
      </c>
      <c r="AV15" s="49" t="str">
        <f t="shared" si="36"/>
        <v/>
      </c>
      <c r="AW15" s="49" t="str">
        <f t="shared" si="37"/>
        <v/>
      </c>
      <c r="AX15" s="49" t="str">
        <f t="shared" si="38"/>
        <v/>
      </c>
      <c r="AY15" s="49" t="str">
        <f t="shared" si="39"/>
        <v/>
      </c>
      <c r="AZ15" s="49" t="str">
        <f t="shared" si="40"/>
        <v/>
      </c>
      <c r="BA15" s="49" t="str">
        <f t="shared" si="41"/>
        <v/>
      </c>
      <c r="BB15" s="49" t="str">
        <f t="shared" si="42"/>
        <v/>
      </c>
      <c r="BC15" s="49" t="str">
        <f t="shared" si="43"/>
        <v/>
      </c>
      <c r="BD15" s="49" t="str">
        <f t="shared" si="44"/>
        <v/>
      </c>
      <c r="BE15" s="49" t="str">
        <f t="shared" si="45"/>
        <v/>
      </c>
      <c r="BF15" s="49" t="str">
        <f t="shared" si="46"/>
        <v/>
      </c>
      <c r="BG15" s="49" t="str">
        <f t="shared" si="47"/>
        <v/>
      </c>
      <c r="BH15" s="49" t="str">
        <f t="shared" si="48"/>
        <v/>
      </c>
      <c r="BI15" s="49" t="str">
        <f t="shared" si="49"/>
        <v/>
      </c>
      <c r="BJ15" s="49" t="str">
        <f t="shared" si="50"/>
        <v/>
      </c>
      <c r="BK15" s="49" t="str">
        <f t="shared" si="51"/>
        <v/>
      </c>
      <c r="BL15" s="49" t="str">
        <f t="shared" si="52"/>
        <v/>
      </c>
      <c r="BM15" s="49" t="str">
        <f t="shared" si="53"/>
        <v/>
      </c>
      <c r="BN15" s="49" t="str">
        <f t="shared" si="54"/>
        <v/>
      </c>
      <c r="BO15" s="49" t="str">
        <f t="shared" si="55"/>
        <v/>
      </c>
      <c r="BP15" s="49" t="str">
        <f t="shared" si="56"/>
        <v/>
      </c>
      <c r="BQ15" s="49" t="str">
        <f t="shared" si="57"/>
        <v/>
      </c>
      <c r="BR15" s="49" t="str">
        <f t="shared" si="58"/>
        <v/>
      </c>
      <c r="BS15" s="49" t="str">
        <f t="shared" si="59"/>
        <v/>
      </c>
      <c r="BT15" s="49" t="str">
        <f t="shared" si="60"/>
        <v/>
      </c>
      <c r="BU15" s="49" t="str">
        <f t="shared" si="61"/>
        <v/>
      </c>
      <c r="BV15" s="49" t="str">
        <f t="shared" si="62"/>
        <v/>
      </c>
      <c r="BW15" s="49" t="str">
        <f t="shared" si="63"/>
        <v/>
      </c>
      <c r="BX15" s="49" t="str">
        <f t="shared" si="64"/>
        <v/>
      </c>
      <c r="BY15" s="49" t="str">
        <f t="shared" si="65"/>
        <v/>
      </c>
      <c r="BZ15" s="49" t="str">
        <f t="shared" si="66"/>
        <v/>
      </c>
      <c r="CA15" s="49" t="str">
        <f t="shared" si="67"/>
        <v/>
      </c>
      <c r="CB15" s="49" t="str">
        <f t="shared" si="68"/>
        <v/>
      </c>
    </row>
    <row r="16" spans="1:80" x14ac:dyDescent="0.2">
      <c r="A16" s="43" t="str">
        <f>IF(Perioade!$A16="","",Perioade!$A16)</f>
        <v/>
      </c>
      <c r="B16" s="43" t="str">
        <f>IF($A16="","",IF(OR(Perioade!$G16="Preț fix",Perioade!$G16="Personalizat"),Perioade!$G16,"Standard"))</f>
        <v/>
      </c>
      <c r="C16" s="47" t="str">
        <f>IF($A16="","",N(Perioade!$F16))</f>
        <v/>
      </c>
      <c r="D16" s="48" t="str">
        <f>IF($A16="","",IF(2&lt;$C16,"",IF($B16="Preț fix",IF(2=$C16,0,""),IF($B16="Standard",INDEX(p_Std,1,1),IF(Perioade!$H16="",IF(2=$C16,0,""),N(Perioade!$H16))))))</f>
        <v/>
      </c>
      <c r="E16" s="48" t="str">
        <f>IF($A16="","",IF(3&lt;$C16,"",IF($B16="Preț fix",IF(3=$C16,0,""),IF($B16="Standard",INDEX(p_Std,1,2),IF(Perioade!$I16="",IF(3=$C16,0,""),N(Perioade!$I16))))))</f>
        <v/>
      </c>
      <c r="F16" s="48" t="str">
        <f>IF($A16="","",IF(4&lt;$C16,"",IF($B16="Preț fix",IF(4=$C16,0,""),IF($B16="Standard",INDEX(p_Std,1,3),IF(Perioade!$J16="",IF(4=$C16,0,""),N(Perioade!$J16))))))</f>
        <v/>
      </c>
      <c r="G16" s="48" t="str">
        <f>IF($A16="","",IF(5&lt;$C16,"",IF($B16="Preț fix",IF(5=$C16,0,""),IF($B16="Standard",INDEX(p_Std,1,4),IF(Perioade!$K16="",IF(5=$C16,0,""),N(Perioade!$K16))))))</f>
        <v/>
      </c>
      <c r="H16" s="48" t="str">
        <f>IF($A16="","",IF(6&lt;$C16,"",IF($B16="Preț fix",IF(6=$C16,0,""),IF($B16="Standard",INDEX(p_Std,1,5),IF(Perioade!$L16="",IF(6=$C16,0,""),N(Perioade!$L16))))))</f>
        <v/>
      </c>
      <c r="I16" s="48" t="str">
        <f>IF($A16="","",IF(7&lt;$C16,"",IF($B16="Preț fix",IF(7=$C16,0,""),IF($B16="Standard",INDEX(p_Std,1,6),IF(Perioade!$M16="",IF(7=$C16,0,""),N(Perioade!$M16))))))</f>
        <v/>
      </c>
      <c r="J16" s="48" t="str">
        <f t="shared" si="0"/>
        <v/>
      </c>
      <c r="K16" s="48" t="str">
        <f t="shared" si="1"/>
        <v/>
      </c>
      <c r="L16" s="48" t="str">
        <f t="shared" si="2"/>
        <v/>
      </c>
      <c r="M16" s="48" t="str">
        <f t="shared" si="3"/>
        <v/>
      </c>
      <c r="N16" s="48" t="str">
        <f t="shared" si="4"/>
        <v/>
      </c>
      <c r="O16" s="48" t="str">
        <f t="shared" si="5"/>
        <v/>
      </c>
      <c r="P16" s="47" t="str">
        <f t="shared" si="6"/>
        <v/>
      </c>
      <c r="Q16" s="48" t="str">
        <f t="shared" si="7"/>
        <v/>
      </c>
      <c r="R16" s="49" t="str">
        <f>IF($A16="","",N(Perioade!$E16))</f>
        <v/>
      </c>
      <c r="S16" s="49" t="str">
        <f t="shared" si="8"/>
        <v/>
      </c>
      <c r="T16" s="49" t="str">
        <f t="shared" si="9"/>
        <v/>
      </c>
      <c r="U16" s="49" t="str">
        <f t="shared" si="10"/>
        <v/>
      </c>
      <c r="V16" s="50" t="str">
        <f t="shared" si="11"/>
        <v/>
      </c>
      <c r="W16" s="49" t="str">
        <f t="shared" si="12"/>
        <v/>
      </c>
      <c r="X16" s="48" t="str">
        <f t="shared" si="13"/>
        <v/>
      </c>
      <c r="Y16" s="49" t="str">
        <f t="shared" si="14"/>
        <v/>
      </c>
      <c r="Z16" s="50" t="str">
        <f t="shared" si="15"/>
        <v/>
      </c>
      <c r="AA16" s="49" t="str">
        <f t="shared" si="16"/>
        <v/>
      </c>
      <c r="AB16" s="48" t="str">
        <f t="shared" si="17"/>
        <v/>
      </c>
      <c r="AC16" s="49" t="str">
        <f t="shared" si="18"/>
        <v/>
      </c>
      <c r="AD16" s="49" t="str">
        <f t="shared" si="19"/>
        <v/>
      </c>
      <c r="AE16" s="49" t="str">
        <f>IF($A16="","",IF(N(Perioade!$O16)&gt;0,CEILING(MAX(AD16,AC16*(1-a_PondSug)+N(Perioade!$O16)*a_PondSug),a_Rot),CEILING(AC16,a_Rot)))</f>
        <v/>
      </c>
      <c r="AF16" s="50" t="str">
        <f t="shared" si="20"/>
        <v/>
      </c>
      <c r="AG16" s="49" t="str">
        <f t="shared" si="21"/>
        <v/>
      </c>
      <c r="AH16" s="48" t="str">
        <f t="shared" si="22"/>
        <v/>
      </c>
      <c r="AI16" s="49" t="str">
        <f t="shared" si="23"/>
        <v/>
      </c>
      <c r="AJ16" s="49" t="str">
        <f t="shared" si="24"/>
        <v/>
      </c>
      <c r="AK16" s="49" t="str">
        <f t="shared" si="25"/>
        <v/>
      </c>
      <c r="AL16" s="49" t="str">
        <f t="shared" si="26"/>
        <v/>
      </c>
      <c r="AM16" s="49" t="str">
        <f t="shared" si="27"/>
        <v/>
      </c>
      <c r="AN16" s="49" t="str">
        <f t="shared" si="28"/>
        <v/>
      </c>
      <c r="AO16" s="49" t="str">
        <f t="shared" si="29"/>
        <v/>
      </c>
      <c r="AP16" s="50" t="str">
        <f t="shared" si="30"/>
        <v/>
      </c>
      <c r="AQ16" s="50" t="str">
        <f t="shared" si="31"/>
        <v/>
      </c>
      <c r="AR16" s="50" t="str">
        <f t="shared" si="32"/>
        <v/>
      </c>
      <c r="AS16" s="43" t="str">
        <f t="shared" si="33"/>
        <v/>
      </c>
      <c r="AT16" s="49" t="str">
        <f t="shared" si="34"/>
        <v/>
      </c>
      <c r="AU16" s="49" t="str">
        <f t="shared" si="35"/>
        <v/>
      </c>
      <c r="AV16" s="49" t="str">
        <f t="shared" si="36"/>
        <v/>
      </c>
      <c r="AW16" s="49" t="str">
        <f t="shared" si="37"/>
        <v/>
      </c>
      <c r="AX16" s="49" t="str">
        <f t="shared" si="38"/>
        <v/>
      </c>
      <c r="AY16" s="49" t="str">
        <f t="shared" si="39"/>
        <v/>
      </c>
      <c r="AZ16" s="49" t="str">
        <f t="shared" si="40"/>
        <v/>
      </c>
      <c r="BA16" s="49" t="str">
        <f t="shared" si="41"/>
        <v/>
      </c>
      <c r="BB16" s="49" t="str">
        <f t="shared" si="42"/>
        <v/>
      </c>
      <c r="BC16" s="49" t="str">
        <f t="shared" si="43"/>
        <v/>
      </c>
      <c r="BD16" s="49" t="str">
        <f t="shared" si="44"/>
        <v/>
      </c>
      <c r="BE16" s="49" t="str">
        <f t="shared" si="45"/>
        <v/>
      </c>
      <c r="BF16" s="49" t="str">
        <f t="shared" si="46"/>
        <v/>
      </c>
      <c r="BG16" s="49" t="str">
        <f t="shared" si="47"/>
        <v/>
      </c>
      <c r="BH16" s="49" t="str">
        <f t="shared" si="48"/>
        <v/>
      </c>
      <c r="BI16" s="49" t="str">
        <f t="shared" si="49"/>
        <v/>
      </c>
      <c r="BJ16" s="49" t="str">
        <f t="shared" si="50"/>
        <v/>
      </c>
      <c r="BK16" s="49" t="str">
        <f t="shared" si="51"/>
        <v/>
      </c>
      <c r="BL16" s="49" t="str">
        <f t="shared" si="52"/>
        <v/>
      </c>
      <c r="BM16" s="49" t="str">
        <f t="shared" si="53"/>
        <v/>
      </c>
      <c r="BN16" s="49" t="str">
        <f t="shared" si="54"/>
        <v/>
      </c>
      <c r="BO16" s="49" t="str">
        <f t="shared" si="55"/>
        <v/>
      </c>
      <c r="BP16" s="49" t="str">
        <f t="shared" si="56"/>
        <v/>
      </c>
      <c r="BQ16" s="49" t="str">
        <f t="shared" si="57"/>
        <v/>
      </c>
      <c r="BR16" s="49" t="str">
        <f t="shared" si="58"/>
        <v/>
      </c>
      <c r="BS16" s="49" t="str">
        <f t="shared" si="59"/>
        <v/>
      </c>
      <c r="BT16" s="49" t="str">
        <f t="shared" si="60"/>
        <v/>
      </c>
      <c r="BU16" s="49" t="str">
        <f t="shared" si="61"/>
        <v/>
      </c>
      <c r="BV16" s="49" t="str">
        <f t="shared" si="62"/>
        <v/>
      </c>
      <c r="BW16" s="49" t="str">
        <f t="shared" si="63"/>
        <v/>
      </c>
      <c r="BX16" s="49" t="str">
        <f t="shared" si="64"/>
        <v/>
      </c>
      <c r="BY16" s="49" t="str">
        <f t="shared" si="65"/>
        <v/>
      </c>
      <c r="BZ16" s="49" t="str">
        <f t="shared" si="66"/>
        <v/>
      </c>
      <c r="CA16" s="49" t="str">
        <f t="shared" si="67"/>
        <v/>
      </c>
      <c r="CB16" s="49" t="str">
        <f t="shared" si="68"/>
        <v/>
      </c>
    </row>
    <row r="17" spans="1:80" x14ac:dyDescent="0.2">
      <c r="A17" s="43" t="str">
        <f>IF(Perioade!$A17="","",Perioade!$A17)</f>
        <v/>
      </c>
      <c r="B17" s="43" t="str">
        <f>IF($A17="","",IF(OR(Perioade!$G17="Preț fix",Perioade!$G17="Personalizat"),Perioade!$G17,"Standard"))</f>
        <v/>
      </c>
      <c r="C17" s="47" t="str">
        <f>IF($A17="","",N(Perioade!$F17))</f>
        <v/>
      </c>
      <c r="D17" s="48" t="str">
        <f>IF($A17="","",IF(2&lt;$C17,"",IF($B17="Preț fix",IF(2=$C17,0,""),IF($B17="Standard",INDEX(p_Std,1,1),IF(Perioade!$H17="",IF(2=$C17,0,""),N(Perioade!$H17))))))</f>
        <v/>
      </c>
      <c r="E17" s="48" t="str">
        <f>IF($A17="","",IF(3&lt;$C17,"",IF($B17="Preț fix",IF(3=$C17,0,""),IF($B17="Standard",INDEX(p_Std,1,2),IF(Perioade!$I17="",IF(3=$C17,0,""),N(Perioade!$I17))))))</f>
        <v/>
      </c>
      <c r="F17" s="48" t="str">
        <f>IF($A17="","",IF(4&lt;$C17,"",IF($B17="Preț fix",IF(4=$C17,0,""),IF($B17="Standard",INDEX(p_Std,1,3),IF(Perioade!$J17="",IF(4=$C17,0,""),N(Perioade!$J17))))))</f>
        <v/>
      </c>
      <c r="G17" s="48" t="str">
        <f>IF($A17="","",IF(5&lt;$C17,"",IF($B17="Preț fix",IF(5=$C17,0,""),IF($B17="Standard",INDEX(p_Std,1,4),IF(Perioade!$K17="",IF(5=$C17,0,""),N(Perioade!$K17))))))</f>
        <v/>
      </c>
      <c r="H17" s="48" t="str">
        <f>IF($A17="","",IF(6&lt;$C17,"",IF($B17="Preț fix",IF(6=$C17,0,""),IF($B17="Standard",INDEX(p_Std,1,5),IF(Perioade!$L17="",IF(6=$C17,0,""),N(Perioade!$L17))))))</f>
        <v/>
      </c>
      <c r="I17" s="48" t="str">
        <f>IF($A17="","",IF(7&lt;$C17,"",IF($B17="Preț fix",IF(7=$C17,0,""),IF($B17="Standard",INDEX(p_Std,1,6),IF(Perioade!$M17="",IF(7=$C17,0,""),N(Perioade!$M17))))))</f>
        <v/>
      </c>
      <c r="J17" s="48" t="str">
        <f t="shared" si="0"/>
        <v/>
      </c>
      <c r="K17" s="48" t="str">
        <f t="shared" si="1"/>
        <v/>
      </c>
      <c r="L17" s="48" t="str">
        <f t="shared" si="2"/>
        <v/>
      </c>
      <c r="M17" s="48" t="str">
        <f t="shared" si="3"/>
        <v/>
      </c>
      <c r="N17" s="48" t="str">
        <f t="shared" si="4"/>
        <v/>
      </c>
      <c r="O17" s="48" t="str">
        <f t="shared" si="5"/>
        <v/>
      </c>
      <c r="P17" s="47" t="str">
        <f t="shared" si="6"/>
        <v/>
      </c>
      <c r="Q17" s="48" t="str">
        <f t="shared" si="7"/>
        <v/>
      </c>
      <c r="R17" s="49" t="str">
        <f>IF($A17="","",N(Perioade!$E17))</f>
        <v/>
      </c>
      <c r="S17" s="49" t="str">
        <f t="shared" si="8"/>
        <v/>
      </c>
      <c r="T17" s="49" t="str">
        <f t="shared" si="9"/>
        <v/>
      </c>
      <c r="U17" s="49" t="str">
        <f t="shared" si="10"/>
        <v/>
      </c>
      <c r="V17" s="50" t="str">
        <f t="shared" si="11"/>
        <v/>
      </c>
      <c r="W17" s="49" t="str">
        <f t="shared" si="12"/>
        <v/>
      </c>
      <c r="X17" s="48" t="str">
        <f t="shared" si="13"/>
        <v/>
      </c>
      <c r="Y17" s="49" t="str">
        <f t="shared" si="14"/>
        <v/>
      </c>
      <c r="Z17" s="50" t="str">
        <f t="shared" si="15"/>
        <v/>
      </c>
      <c r="AA17" s="49" t="str">
        <f t="shared" si="16"/>
        <v/>
      </c>
      <c r="AB17" s="48" t="str">
        <f t="shared" si="17"/>
        <v/>
      </c>
      <c r="AC17" s="49" t="str">
        <f t="shared" si="18"/>
        <v/>
      </c>
      <c r="AD17" s="49" t="str">
        <f t="shared" si="19"/>
        <v/>
      </c>
      <c r="AE17" s="49" t="str">
        <f>IF($A17="","",IF(N(Perioade!$O17)&gt;0,CEILING(MAX(AD17,AC17*(1-a_PondSug)+N(Perioade!$O17)*a_PondSug),a_Rot),CEILING(AC17,a_Rot)))</f>
        <v/>
      </c>
      <c r="AF17" s="50" t="str">
        <f t="shared" si="20"/>
        <v/>
      </c>
      <c r="AG17" s="49" t="str">
        <f t="shared" si="21"/>
        <v/>
      </c>
      <c r="AH17" s="48" t="str">
        <f t="shared" si="22"/>
        <v/>
      </c>
      <c r="AI17" s="49" t="str">
        <f t="shared" si="23"/>
        <v/>
      </c>
      <c r="AJ17" s="49" t="str">
        <f t="shared" si="24"/>
        <v/>
      </c>
      <c r="AK17" s="49" t="str">
        <f t="shared" si="25"/>
        <v/>
      </c>
      <c r="AL17" s="49" t="str">
        <f t="shared" si="26"/>
        <v/>
      </c>
      <c r="AM17" s="49" t="str">
        <f t="shared" si="27"/>
        <v/>
      </c>
      <c r="AN17" s="49" t="str">
        <f t="shared" si="28"/>
        <v/>
      </c>
      <c r="AO17" s="49" t="str">
        <f t="shared" si="29"/>
        <v/>
      </c>
      <c r="AP17" s="50" t="str">
        <f t="shared" si="30"/>
        <v/>
      </c>
      <c r="AQ17" s="50" t="str">
        <f t="shared" si="31"/>
        <v/>
      </c>
      <c r="AR17" s="50" t="str">
        <f t="shared" si="32"/>
        <v/>
      </c>
      <c r="AS17" s="43" t="str">
        <f t="shared" si="33"/>
        <v/>
      </c>
      <c r="AT17" s="49" t="str">
        <f t="shared" si="34"/>
        <v/>
      </c>
      <c r="AU17" s="49" t="str">
        <f t="shared" si="35"/>
        <v/>
      </c>
      <c r="AV17" s="49" t="str">
        <f t="shared" si="36"/>
        <v/>
      </c>
      <c r="AW17" s="49" t="str">
        <f t="shared" si="37"/>
        <v/>
      </c>
      <c r="AX17" s="49" t="str">
        <f t="shared" si="38"/>
        <v/>
      </c>
      <c r="AY17" s="49" t="str">
        <f t="shared" si="39"/>
        <v/>
      </c>
      <c r="AZ17" s="49" t="str">
        <f t="shared" si="40"/>
        <v/>
      </c>
      <c r="BA17" s="49" t="str">
        <f t="shared" si="41"/>
        <v/>
      </c>
      <c r="BB17" s="49" t="str">
        <f t="shared" si="42"/>
        <v/>
      </c>
      <c r="BC17" s="49" t="str">
        <f t="shared" si="43"/>
        <v/>
      </c>
      <c r="BD17" s="49" t="str">
        <f t="shared" si="44"/>
        <v/>
      </c>
      <c r="BE17" s="49" t="str">
        <f t="shared" si="45"/>
        <v/>
      </c>
      <c r="BF17" s="49" t="str">
        <f t="shared" si="46"/>
        <v/>
      </c>
      <c r="BG17" s="49" t="str">
        <f t="shared" si="47"/>
        <v/>
      </c>
      <c r="BH17" s="49" t="str">
        <f t="shared" si="48"/>
        <v/>
      </c>
      <c r="BI17" s="49" t="str">
        <f t="shared" si="49"/>
        <v/>
      </c>
      <c r="BJ17" s="49" t="str">
        <f t="shared" si="50"/>
        <v/>
      </c>
      <c r="BK17" s="49" t="str">
        <f t="shared" si="51"/>
        <v/>
      </c>
      <c r="BL17" s="49" t="str">
        <f t="shared" si="52"/>
        <v/>
      </c>
      <c r="BM17" s="49" t="str">
        <f t="shared" si="53"/>
        <v/>
      </c>
      <c r="BN17" s="49" t="str">
        <f t="shared" si="54"/>
        <v/>
      </c>
      <c r="BO17" s="49" t="str">
        <f t="shared" si="55"/>
        <v/>
      </c>
      <c r="BP17" s="49" t="str">
        <f t="shared" si="56"/>
        <v/>
      </c>
      <c r="BQ17" s="49" t="str">
        <f t="shared" si="57"/>
        <v/>
      </c>
      <c r="BR17" s="49" t="str">
        <f t="shared" si="58"/>
        <v/>
      </c>
      <c r="BS17" s="49" t="str">
        <f t="shared" si="59"/>
        <v/>
      </c>
      <c r="BT17" s="49" t="str">
        <f t="shared" si="60"/>
        <v/>
      </c>
      <c r="BU17" s="49" t="str">
        <f t="shared" si="61"/>
        <v/>
      </c>
      <c r="BV17" s="49" t="str">
        <f t="shared" si="62"/>
        <v/>
      </c>
      <c r="BW17" s="49" t="str">
        <f t="shared" si="63"/>
        <v/>
      </c>
      <c r="BX17" s="49" t="str">
        <f t="shared" si="64"/>
        <v/>
      </c>
      <c r="BY17" s="49" t="str">
        <f t="shared" si="65"/>
        <v/>
      </c>
      <c r="BZ17" s="49" t="str">
        <f t="shared" si="66"/>
        <v/>
      </c>
      <c r="CA17" s="49" t="str">
        <f t="shared" si="67"/>
        <v/>
      </c>
      <c r="CB17" s="49" t="str">
        <f t="shared" si="68"/>
        <v/>
      </c>
    </row>
    <row r="18" spans="1:80" x14ac:dyDescent="0.2">
      <c r="A18" s="43" t="str">
        <f>IF(Perioade!$A18="","",Perioade!$A18)</f>
        <v/>
      </c>
      <c r="B18" s="43" t="str">
        <f>IF($A18="","",IF(OR(Perioade!$G18="Preț fix",Perioade!$G18="Personalizat"),Perioade!$G18,"Standard"))</f>
        <v/>
      </c>
      <c r="C18" s="47" t="str">
        <f>IF($A18="","",N(Perioade!$F18))</f>
        <v/>
      </c>
      <c r="D18" s="48" t="str">
        <f>IF($A18="","",IF(2&lt;$C18,"",IF($B18="Preț fix",IF(2=$C18,0,""),IF($B18="Standard",INDEX(p_Std,1,1),IF(Perioade!$H18="",IF(2=$C18,0,""),N(Perioade!$H18))))))</f>
        <v/>
      </c>
      <c r="E18" s="48" t="str">
        <f>IF($A18="","",IF(3&lt;$C18,"",IF($B18="Preț fix",IF(3=$C18,0,""),IF($B18="Standard",INDEX(p_Std,1,2),IF(Perioade!$I18="",IF(3=$C18,0,""),N(Perioade!$I18))))))</f>
        <v/>
      </c>
      <c r="F18" s="48" t="str">
        <f>IF($A18="","",IF(4&lt;$C18,"",IF($B18="Preț fix",IF(4=$C18,0,""),IF($B18="Standard",INDEX(p_Std,1,3),IF(Perioade!$J18="",IF(4=$C18,0,""),N(Perioade!$J18))))))</f>
        <v/>
      </c>
      <c r="G18" s="48" t="str">
        <f>IF($A18="","",IF(5&lt;$C18,"",IF($B18="Preț fix",IF(5=$C18,0,""),IF($B18="Standard",INDEX(p_Std,1,4),IF(Perioade!$K18="",IF(5=$C18,0,""),N(Perioade!$K18))))))</f>
        <v/>
      </c>
      <c r="H18" s="48" t="str">
        <f>IF($A18="","",IF(6&lt;$C18,"",IF($B18="Preț fix",IF(6=$C18,0,""),IF($B18="Standard",INDEX(p_Std,1,5),IF(Perioade!$L18="",IF(6=$C18,0,""),N(Perioade!$L18))))))</f>
        <v/>
      </c>
      <c r="I18" s="48" t="str">
        <f>IF($A18="","",IF(7&lt;$C18,"",IF($B18="Preț fix",IF(7=$C18,0,""),IF($B18="Standard",INDEX(p_Std,1,6),IF(Perioade!$M18="",IF(7=$C18,0,""),N(Perioade!$M18))))))</f>
        <v/>
      </c>
      <c r="J18" s="48" t="str">
        <f t="shared" si="0"/>
        <v/>
      </c>
      <c r="K18" s="48" t="str">
        <f t="shared" si="1"/>
        <v/>
      </c>
      <c r="L18" s="48" t="str">
        <f t="shared" si="2"/>
        <v/>
      </c>
      <c r="M18" s="48" t="str">
        <f t="shared" si="3"/>
        <v/>
      </c>
      <c r="N18" s="48" t="str">
        <f t="shared" si="4"/>
        <v/>
      </c>
      <c r="O18" s="48" t="str">
        <f t="shared" si="5"/>
        <v/>
      </c>
      <c r="P18" s="47" t="str">
        <f t="shared" si="6"/>
        <v/>
      </c>
      <c r="Q18" s="48" t="str">
        <f t="shared" si="7"/>
        <v/>
      </c>
      <c r="R18" s="49" t="str">
        <f>IF($A18="","",N(Perioade!$E18))</f>
        <v/>
      </c>
      <c r="S18" s="49" t="str">
        <f t="shared" si="8"/>
        <v/>
      </c>
      <c r="T18" s="49" t="str">
        <f t="shared" si="9"/>
        <v/>
      </c>
      <c r="U18" s="49" t="str">
        <f t="shared" si="10"/>
        <v/>
      </c>
      <c r="V18" s="50" t="str">
        <f t="shared" si="11"/>
        <v/>
      </c>
      <c r="W18" s="49" t="str">
        <f t="shared" si="12"/>
        <v/>
      </c>
      <c r="X18" s="48" t="str">
        <f t="shared" si="13"/>
        <v/>
      </c>
      <c r="Y18" s="49" t="str">
        <f t="shared" si="14"/>
        <v/>
      </c>
      <c r="Z18" s="50" t="str">
        <f t="shared" si="15"/>
        <v/>
      </c>
      <c r="AA18" s="49" t="str">
        <f t="shared" si="16"/>
        <v/>
      </c>
      <c r="AB18" s="48" t="str">
        <f t="shared" si="17"/>
        <v/>
      </c>
      <c r="AC18" s="49" t="str">
        <f t="shared" si="18"/>
        <v/>
      </c>
      <c r="AD18" s="49" t="str">
        <f t="shared" si="19"/>
        <v/>
      </c>
      <c r="AE18" s="49" t="str">
        <f>IF($A18="","",IF(N(Perioade!$O18)&gt;0,CEILING(MAX(AD18,AC18*(1-a_PondSug)+N(Perioade!$O18)*a_PondSug),a_Rot),CEILING(AC18,a_Rot)))</f>
        <v/>
      </c>
      <c r="AF18" s="50" t="str">
        <f t="shared" si="20"/>
        <v/>
      </c>
      <c r="AG18" s="49" t="str">
        <f t="shared" si="21"/>
        <v/>
      </c>
      <c r="AH18" s="48" t="str">
        <f t="shared" si="22"/>
        <v/>
      </c>
      <c r="AI18" s="49" t="str">
        <f t="shared" si="23"/>
        <v/>
      </c>
      <c r="AJ18" s="49" t="str">
        <f t="shared" si="24"/>
        <v/>
      </c>
      <c r="AK18" s="49" t="str">
        <f t="shared" si="25"/>
        <v/>
      </c>
      <c r="AL18" s="49" t="str">
        <f t="shared" si="26"/>
        <v/>
      </c>
      <c r="AM18" s="49" t="str">
        <f t="shared" si="27"/>
        <v/>
      </c>
      <c r="AN18" s="49" t="str">
        <f t="shared" si="28"/>
        <v/>
      </c>
      <c r="AO18" s="49" t="str">
        <f t="shared" si="29"/>
        <v/>
      </c>
      <c r="AP18" s="50" t="str">
        <f t="shared" si="30"/>
        <v/>
      </c>
      <c r="AQ18" s="50" t="str">
        <f t="shared" si="31"/>
        <v/>
      </c>
      <c r="AR18" s="50" t="str">
        <f t="shared" si="32"/>
        <v/>
      </c>
      <c r="AS18" s="43" t="str">
        <f t="shared" si="33"/>
        <v/>
      </c>
      <c r="AT18" s="49" t="str">
        <f t="shared" si="34"/>
        <v/>
      </c>
      <c r="AU18" s="49" t="str">
        <f t="shared" si="35"/>
        <v/>
      </c>
      <c r="AV18" s="49" t="str">
        <f t="shared" si="36"/>
        <v/>
      </c>
      <c r="AW18" s="49" t="str">
        <f t="shared" si="37"/>
        <v/>
      </c>
      <c r="AX18" s="49" t="str">
        <f t="shared" si="38"/>
        <v/>
      </c>
      <c r="AY18" s="49" t="str">
        <f t="shared" si="39"/>
        <v/>
      </c>
      <c r="AZ18" s="49" t="str">
        <f t="shared" si="40"/>
        <v/>
      </c>
      <c r="BA18" s="49" t="str">
        <f t="shared" si="41"/>
        <v/>
      </c>
      <c r="BB18" s="49" t="str">
        <f t="shared" si="42"/>
        <v/>
      </c>
      <c r="BC18" s="49" t="str">
        <f t="shared" si="43"/>
        <v/>
      </c>
      <c r="BD18" s="49" t="str">
        <f t="shared" si="44"/>
        <v/>
      </c>
      <c r="BE18" s="49" t="str">
        <f t="shared" si="45"/>
        <v/>
      </c>
      <c r="BF18" s="49" t="str">
        <f t="shared" si="46"/>
        <v/>
      </c>
      <c r="BG18" s="49" t="str">
        <f t="shared" si="47"/>
        <v/>
      </c>
      <c r="BH18" s="49" t="str">
        <f t="shared" si="48"/>
        <v/>
      </c>
      <c r="BI18" s="49" t="str">
        <f t="shared" si="49"/>
        <v/>
      </c>
      <c r="BJ18" s="49" t="str">
        <f t="shared" si="50"/>
        <v/>
      </c>
      <c r="BK18" s="49" t="str">
        <f t="shared" si="51"/>
        <v/>
      </c>
      <c r="BL18" s="49" t="str">
        <f t="shared" si="52"/>
        <v/>
      </c>
      <c r="BM18" s="49" t="str">
        <f t="shared" si="53"/>
        <v/>
      </c>
      <c r="BN18" s="49" t="str">
        <f t="shared" si="54"/>
        <v/>
      </c>
      <c r="BO18" s="49" t="str">
        <f t="shared" si="55"/>
        <v/>
      </c>
      <c r="BP18" s="49" t="str">
        <f t="shared" si="56"/>
        <v/>
      </c>
      <c r="BQ18" s="49" t="str">
        <f t="shared" si="57"/>
        <v/>
      </c>
      <c r="BR18" s="49" t="str">
        <f t="shared" si="58"/>
        <v/>
      </c>
      <c r="BS18" s="49" t="str">
        <f t="shared" si="59"/>
        <v/>
      </c>
      <c r="BT18" s="49" t="str">
        <f t="shared" si="60"/>
        <v/>
      </c>
      <c r="BU18" s="49" t="str">
        <f t="shared" si="61"/>
        <v/>
      </c>
      <c r="BV18" s="49" t="str">
        <f t="shared" si="62"/>
        <v/>
      </c>
      <c r="BW18" s="49" t="str">
        <f t="shared" si="63"/>
        <v/>
      </c>
      <c r="BX18" s="49" t="str">
        <f t="shared" si="64"/>
        <v/>
      </c>
      <c r="BY18" s="49" t="str">
        <f t="shared" si="65"/>
        <v/>
      </c>
      <c r="BZ18" s="49" t="str">
        <f t="shared" si="66"/>
        <v/>
      </c>
      <c r="CA18" s="49" t="str">
        <f t="shared" si="67"/>
        <v/>
      </c>
      <c r="CB18" s="49" t="str">
        <f t="shared" si="68"/>
        <v/>
      </c>
    </row>
    <row r="19" spans="1:80" x14ac:dyDescent="0.2">
      <c r="A19" s="43" t="str">
        <f>IF(Perioade!$A19="","",Perioade!$A19)</f>
        <v/>
      </c>
      <c r="B19" s="43" t="str">
        <f>IF($A19="","",IF(OR(Perioade!$G19="Preț fix",Perioade!$G19="Personalizat"),Perioade!$G19,"Standard"))</f>
        <v/>
      </c>
      <c r="C19" s="47" t="str">
        <f>IF($A19="","",N(Perioade!$F19))</f>
        <v/>
      </c>
      <c r="D19" s="48" t="str">
        <f>IF($A19="","",IF(2&lt;$C19,"",IF($B19="Preț fix",IF(2=$C19,0,""),IF($B19="Standard",INDEX(p_Std,1,1),IF(Perioade!$H19="",IF(2=$C19,0,""),N(Perioade!$H19))))))</f>
        <v/>
      </c>
      <c r="E19" s="48" t="str">
        <f>IF($A19="","",IF(3&lt;$C19,"",IF($B19="Preț fix",IF(3=$C19,0,""),IF($B19="Standard",INDEX(p_Std,1,2),IF(Perioade!$I19="",IF(3=$C19,0,""),N(Perioade!$I19))))))</f>
        <v/>
      </c>
      <c r="F19" s="48" t="str">
        <f>IF($A19="","",IF(4&lt;$C19,"",IF($B19="Preț fix",IF(4=$C19,0,""),IF($B19="Standard",INDEX(p_Std,1,3),IF(Perioade!$J19="",IF(4=$C19,0,""),N(Perioade!$J19))))))</f>
        <v/>
      </c>
      <c r="G19" s="48" t="str">
        <f>IF($A19="","",IF(5&lt;$C19,"",IF($B19="Preț fix",IF(5=$C19,0,""),IF($B19="Standard",INDEX(p_Std,1,4),IF(Perioade!$K19="",IF(5=$C19,0,""),N(Perioade!$K19))))))</f>
        <v/>
      </c>
      <c r="H19" s="48" t="str">
        <f>IF($A19="","",IF(6&lt;$C19,"",IF($B19="Preț fix",IF(6=$C19,0,""),IF($B19="Standard",INDEX(p_Std,1,5),IF(Perioade!$L19="",IF(6=$C19,0,""),N(Perioade!$L19))))))</f>
        <v/>
      </c>
      <c r="I19" s="48" t="str">
        <f>IF($A19="","",IF(7&lt;$C19,"",IF($B19="Preț fix",IF(7=$C19,0,""),IF($B19="Standard",INDEX(p_Std,1,6),IF(Perioade!$M19="",IF(7=$C19,0,""),N(Perioade!$M19))))))</f>
        <v/>
      </c>
      <c r="J19" s="48" t="str">
        <f t="shared" si="0"/>
        <v/>
      </c>
      <c r="K19" s="48" t="str">
        <f t="shared" si="1"/>
        <v/>
      </c>
      <c r="L19" s="48" t="str">
        <f t="shared" si="2"/>
        <v/>
      </c>
      <c r="M19" s="48" t="str">
        <f t="shared" si="3"/>
        <v/>
      </c>
      <c r="N19" s="48" t="str">
        <f t="shared" si="4"/>
        <v/>
      </c>
      <c r="O19" s="48" t="str">
        <f t="shared" si="5"/>
        <v/>
      </c>
      <c r="P19" s="47" t="str">
        <f t="shared" si="6"/>
        <v/>
      </c>
      <c r="Q19" s="48" t="str">
        <f t="shared" si="7"/>
        <v/>
      </c>
      <c r="R19" s="49" t="str">
        <f>IF($A19="","",N(Perioade!$E19))</f>
        <v/>
      </c>
      <c r="S19" s="49" t="str">
        <f t="shared" si="8"/>
        <v/>
      </c>
      <c r="T19" s="49" t="str">
        <f t="shared" si="9"/>
        <v/>
      </c>
      <c r="U19" s="49" t="str">
        <f t="shared" si="10"/>
        <v/>
      </c>
      <c r="V19" s="50" t="str">
        <f t="shared" si="11"/>
        <v/>
      </c>
      <c r="W19" s="49" t="str">
        <f t="shared" si="12"/>
        <v/>
      </c>
      <c r="X19" s="48" t="str">
        <f t="shared" si="13"/>
        <v/>
      </c>
      <c r="Y19" s="49" t="str">
        <f t="shared" si="14"/>
        <v/>
      </c>
      <c r="Z19" s="50" t="str">
        <f t="shared" si="15"/>
        <v/>
      </c>
      <c r="AA19" s="49" t="str">
        <f t="shared" si="16"/>
        <v/>
      </c>
      <c r="AB19" s="48" t="str">
        <f t="shared" si="17"/>
        <v/>
      </c>
      <c r="AC19" s="49" t="str">
        <f t="shared" si="18"/>
        <v/>
      </c>
      <c r="AD19" s="49" t="str">
        <f t="shared" si="19"/>
        <v/>
      </c>
      <c r="AE19" s="49" t="str">
        <f>IF($A19="","",IF(N(Perioade!$O19)&gt;0,CEILING(MAX(AD19,AC19*(1-a_PondSug)+N(Perioade!$O19)*a_PondSug),a_Rot),CEILING(AC19,a_Rot)))</f>
        <v/>
      </c>
      <c r="AF19" s="50" t="str">
        <f t="shared" si="20"/>
        <v/>
      </c>
      <c r="AG19" s="49" t="str">
        <f t="shared" si="21"/>
        <v/>
      </c>
      <c r="AH19" s="48" t="str">
        <f t="shared" si="22"/>
        <v/>
      </c>
      <c r="AI19" s="49" t="str">
        <f t="shared" si="23"/>
        <v/>
      </c>
      <c r="AJ19" s="49" t="str">
        <f t="shared" si="24"/>
        <v/>
      </c>
      <c r="AK19" s="49" t="str">
        <f t="shared" si="25"/>
        <v/>
      </c>
      <c r="AL19" s="49" t="str">
        <f t="shared" si="26"/>
        <v/>
      </c>
      <c r="AM19" s="49" t="str">
        <f t="shared" si="27"/>
        <v/>
      </c>
      <c r="AN19" s="49" t="str">
        <f t="shared" si="28"/>
        <v/>
      </c>
      <c r="AO19" s="49" t="str">
        <f t="shared" si="29"/>
        <v/>
      </c>
      <c r="AP19" s="50" t="str">
        <f t="shared" si="30"/>
        <v/>
      </c>
      <c r="AQ19" s="50" t="str">
        <f t="shared" si="31"/>
        <v/>
      </c>
      <c r="AR19" s="50" t="str">
        <f t="shared" si="32"/>
        <v/>
      </c>
      <c r="AS19" s="43" t="str">
        <f t="shared" si="33"/>
        <v/>
      </c>
      <c r="AT19" s="49" t="str">
        <f t="shared" si="34"/>
        <v/>
      </c>
      <c r="AU19" s="49" t="str">
        <f t="shared" si="35"/>
        <v/>
      </c>
      <c r="AV19" s="49" t="str">
        <f t="shared" si="36"/>
        <v/>
      </c>
      <c r="AW19" s="49" t="str">
        <f t="shared" si="37"/>
        <v/>
      </c>
      <c r="AX19" s="49" t="str">
        <f t="shared" si="38"/>
        <v/>
      </c>
      <c r="AY19" s="49" t="str">
        <f t="shared" si="39"/>
        <v/>
      </c>
      <c r="AZ19" s="49" t="str">
        <f t="shared" si="40"/>
        <v/>
      </c>
      <c r="BA19" s="49" t="str">
        <f t="shared" si="41"/>
        <v/>
      </c>
      <c r="BB19" s="49" t="str">
        <f t="shared" si="42"/>
        <v/>
      </c>
      <c r="BC19" s="49" t="str">
        <f t="shared" si="43"/>
        <v/>
      </c>
      <c r="BD19" s="49" t="str">
        <f t="shared" si="44"/>
        <v/>
      </c>
      <c r="BE19" s="49" t="str">
        <f t="shared" si="45"/>
        <v/>
      </c>
      <c r="BF19" s="49" t="str">
        <f t="shared" si="46"/>
        <v/>
      </c>
      <c r="BG19" s="49" t="str">
        <f t="shared" si="47"/>
        <v/>
      </c>
      <c r="BH19" s="49" t="str">
        <f t="shared" si="48"/>
        <v/>
      </c>
      <c r="BI19" s="49" t="str">
        <f t="shared" si="49"/>
        <v/>
      </c>
      <c r="BJ19" s="49" t="str">
        <f t="shared" si="50"/>
        <v/>
      </c>
      <c r="BK19" s="49" t="str">
        <f t="shared" si="51"/>
        <v/>
      </c>
      <c r="BL19" s="49" t="str">
        <f t="shared" si="52"/>
        <v/>
      </c>
      <c r="BM19" s="49" t="str">
        <f t="shared" si="53"/>
        <v/>
      </c>
      <c r="BN19" s="49" t="str">
        <f t="shared" si="54"/>
        <v/>
      </c>
      <c r="BO19" s="49" t="str">
        <f t="shared" si="55"/>
        <v/>
      </c>
      <c r="BP19" s="49" t="str">
        <f t="shared" si="56"/>
        <v/>
      </c>
      <c r="BQ19" s="49" t="str">
        <f t="shared" si="57"/>
        <v/>
      </c>
      <c r="BR19" s="49" t="str">
        <f t="shared" si="58"/>
        <v/>
      </c>
      <c r="BS19" s="49" t="str">
        <f t="shared" si="59"/>
        <v/>
      </c>
      <c r="BT19" s="49" t="str">
        <f t="shared" si="60"/>
        <v/>
      </c>
      <c r="BU19" s="49" t="str">
        <f t="shared" si="61"/>
        <v/>
      </c>
      <c r="BV19" s="49" t="str">
        <f t="shared" si="62"/>
        <v/>
      </c>
      <c r="BW19" s="49" t="str">
        <f t="shared" si="63"/>
        <v/>
      </c>
      <c r="BX19" s="49" t="str">
        <f t="shared" si="64"/>
        <v/>
      </c>
      <c r="BY19" s="49" t="str">
        <f t="shared" si="65"/>
        <v/>
      </c>
      <c r="BZ19" s="49" t="str">
        <f t="shared" si="66"/>
        <v/>
      </c>
      <c r="CA19" s="49" t="str">
        <f t="shared" si="67"/>
        <v/>
      </c>
      <c r="CB19" s="49" t="str">
        <f t="shared" si="68"/>
        <v/>
      </c>
    </row>
    <row r="20" spans="1:80" x14ac:dyDescent="0.2">
      <c r="A20" s="43" t="str">
        <f>IF(Perioade!$A20="","",Perioade!$A20)</f>
        <v/>
      </c>
      <c r="B20" s="43" t="str">
        <f>IF($A20="","",IF(OR(Perioade!$G20="Preț fix",Perioade!$G20="Personalizat"),Perioade!$G20,"Standard"))</f>
        <v/>
      </c>
      <c r="C20" s="47" t="str">
        <f>IF($A20="","",N(Perioade!$F20))</f>
        <v/>
      </c>
      <c r="D20" s="48" t="str">
        <f>IF($A20="","",IF(2&lt;$C20,"",IF($B20="Preț fix",IF(2=$C20,0,""),IF($B20="Standard",INDEX(p_Std,1,1),IF(Perioade!$H20="",IF(2=$C20,0,""),N(Perioade!$H20))))))</f>
        <v/>
      </c>
      <c r="E20" s="48" t="str">
        <f>IF($A20="","",IF(3&lt;$C20,"",IF($B20="Preț fix",IF(3=$C20,0,""),IF($B20="Standard",INDEX(p_Std,1,2),IF(Perioade!$I20="",IF(3=$C20,0,""),N(Perioade!$I20))))))</f>
        <v/>
      </c>
      <c r="F20" s="48" t="str">
        <f>IF($A20="","",IF(4&lt;$C20,"",IF($B20="Preț fix",IF(4=$C20,0,""),IF($B20="Standard",INDEX(p_Std,1,3),IF(Perioade!$J20="",IF(4=$C20,0,""),N(Perioade!$J20))))))</f>
        <v/>
      </c>
      <c r="G20" s="48" t="str">
        <f>IF($A20="","",IF(5&lt;$C20,"",IF($B20="Preț fix",IF(5=$C20,0,""),IF($B20="Standard",INDEX(p_Std,1,4),IF(Perioade!$K20="",IF(5=$C20,0,""),N(Perioade!$K20))))))</f>
        <v/>
      </c>
      <c r="H20" s="48" t="str">
        <f>IF($A20="","",IF(6&lt;$C20,"",IF($B20="Preț fix",IF(6=$C20,0,""),IF($B20="Standard",INDEX(p_Std,1,5),IF(Perioade!$L20="",IF(6=$C20,0,""),N(Perioade!$L20))))))</f>
        <v/>
      </c>
      <c r="I20" s="48" t="str">
        <f>IF($A20="","",IF(7&lt;$C20,"",IF($B20="Preț fix",IF(7=$C20,0,""),IF($B20="Standard",INDEX(p_Std,1,6),IF(Perioade!$M20="",IF(7=$C20,0,""),N(Perioade!$M20))))))</f>
        <v/>
      </c>
      <c r="J20" s="48" t="str">
        <f t="shared" si="0"/>
        <v/>
      </c>
      <c r="K20" s="48" t="str">
        <f t="shared" si="1"/>
        <v/>
      </c>
      <c r="L20" s="48" t="str">
        <f t="shared" si="2"/>
        <v/>
      </c>
      <c r="M20" s="48" t="str">
        <f t="shared" si="3"/>
        <v/>
      </c>
      <c r="N20" s="48" t="str">
        <f t="shared" si="4"/>
        <v/>
      </c>
      <c r="O20" s="48" t="str">
        <f t="shared" si="5"/>
        <v/>
      </c>
      <c r="P20" s="47" t="str">
        <f t="shared" si="6"/>
        <v/>
      </c>
      <c r="Q20" s="48" t="str">
        <f t="shared" si="7"/>
        <v/>
      </c>
      <c r="R20" s="49" t="str">
        <f>IF($A20="","",N(Perioade!$E20))</f>
        <v/>
      </c>
      <c r="S20" s="49" t="str">
        <f t="shared" si="8"/>
        <v/>
      </c>
      <c r="T20" s="49" t="str">
        <f t="shared" si="9"/>
        <v/>
      </c>
      <c r="U20" s="49" t="str">
        <f t="shared" si="10"/>
        <v/>
      </c>
      <c r="V20" s="50" t="str">
        <f t="shared" si="11"/>
        <v/>
      </c>
      <c r="W20" s="49" t="str">
        <f t="shared" si="12"/>
        <v/>
      </c>
      <c r="X20" s="48" t="str">
        <f t="shared" si="13"/>
        <v/>
      </c>
      <c r="Y20" s="49" t="str">
        <f t="shared" si="14"/>
        <v/>
      </c>
      <c r="Z20" s="50" t="str">
        <f t="shared" si="15"/>
        <v/>
      </c>
      <c r="AA20" s="49" t="str">
        <f t="shared" si="16"/>
        <v/>
      </c>
      <c r="AB20" s="48" t="str">
        <f t="shared" si="17"/>
        <v/>
      </c>
      <c r="AC20" s="49" t="str">
        <f t="shared" si="18"/>
        <v/>
      </c>
      <c r="AD20" s="49" t="str">
        <f t="shared" si="19"/>
        <v/>
      </c>
      <c r="AE20" s="49" t="str">
        <f>IF($A20="","",IF(N(Perioade!$O20)&gt;0,CEILING(MAX(AD20,AC20*(1-a_PondSug)+N(Perioade!$O20)*a_PondSug),a_Rot),CEILING(AC20,a_Rot)))</f>
        <v/>
      </c>
      <c r="AF20" s="50" t="str">
        <f t="shared" si="20"/>
        <v/>
      </c>
      <c r="AG20" s="49" t="str">
        <f t="shared" si="21"/>
        <v/>
      </c>
      <c r="AH20" s="48" t="str">
        <f t="shared" si="22"/>
        <v/>
      </c>
      <c r="AI20" s="49" t="str">
        <f t="shared" si="23"/>
        <v/>
      </c>
      <c r="AJ20" s="49" t="str">
        <f t="shared" si="24"/>
        <v/>
      </c>
      <c r="AK20" s="49" t="str">
        <f t="shared" si="25"/>
        <v/>
      </c>
      <c r="AL20" s="49" t="str">
        <f t="shared" si="26"/>
        <v/>
      </c>
      <c r="AM20" s="49" t="str">
        <f t="shared" si="27"/>
        <v/>
      </c>
      <c r="AN20" s="49" t="str">
        <f t="shared" si="28"/>
        <v/>
      </c>
      <c r="AO20" s="49" t="str">
        <f t="shared" si="29"/>
        <v/>
      </c>
      <c r="AP20" s="50" t="str">
        <f t="shared" si="30"/>
        <v/>
      </c>
      <c r="AQ20" s="50" t="str">
        <f t="shared" si="31"/>
        <v/>
      </c>
      <c r="AR20" s="50" t="str">
        <f t="shared" si="32"/>
        <v/>
      </c>
      <c r="AS20" s="43" t="str">
        <f t="shared" si="33"/>
        <v/>
      </c>
      <c r="AT20" s="49" t="str">
        <f t="shared" si="34"/>
        <v/>
      </c>
      <c r="AU20" s="49" t="str">
        <f t="shared" si="35"/>
        <v/>
      </c>
      <c r="AV20" s="49" t="str">
        <f t="shared" si="36"/>
        <v/>
      </c>
      <c r="AW20" s="49" t="str">
        <f t="shared" si="37"/>
        <v/>
      </c>
      <c r="AX20" s="49" t="str">
        <f t="shared" si="38"/>
        <v/>
      </c>
      <c r="AY20" s="49" t="str">
        <f t="shared" si="39"/>
        <v/>
      </c>
      <c r="AZ20" s="49" t="str">
        <f t="shared" si="40"/>
        <v/>
      </c>
      <c r="BA20" s="49" t="str">
        <f t="shared" si="41"/>
        <v/>
      </c>
      <c r="BB20" s="49" t="str">
        <f t="shared" si="42"/>
        <v/>
      </c>
      <c r="BC20" s="49" t="str">
        <f t="shared" si="43"/>
        <v/>
      </c>
      <c r="BD20" s="49" t="str">
        <f t="shared" si="44"/>
        <v/>
      </c>
      <c r="BE20" s="49" t="str">
        <f t="shared" si="45"/>
        <v/>
      </c>
      <c r="BF20" s="49" t="str">
        <f t="shared" si="46"/>
        <v/>
      </c>
      <c r="BG20" s="49" t="str">
        <f t="shared" si="47"/>
        <v/>
      </c>
      <c r="BH20" s="49" t="str">
        <f t="shared" si="48"/>
        <v/>
      </c>
      <c r="BI20" s="49" t="str">
        <f t="shared" si="49"/>
        <v/>
      </c>
      <c r="BJ20" s="49" t="str">
        <f t="shared" si="50"/>
        <v/>
      </c>
      <c r="BK20" s="49" t="str">
        <f t="shared" si="51"/>
        <v/>
      </c>
      <c r="BL20" s="49" t="str">
        <f t="shared" si="52"/>
        <v/>
      </c>
      <c r="BM20" s="49" t="str">
        <f t="shared" si="53"/>
        <v/>
      </c>
      <c r="BN20" s="49" t="str">
        <f t="shared" si="54"/>
        <v/>
      </c>
      <c r="BO20" s="49" t="str">
        <f t="shared" si="55"/>
        <v/>
      </c>
      <c r="BP20" s="49" t="str">
        <f t="shared" si="56"/>
        <v/>
      </c>
      <c r="BQ20" s="49" t="str">
        <f t="shared" si="57"/>
        <v/>
      </c>
      <c r="BR20" s="49" t="str">
        <f t="shared" si="58"/>
        <v/>
      </c>
      <c r="BS20" s="49" t="str">
        <f t="shared" si="59"/>
        <v/>
      </c>
      <c r="BT20" s="49" t="str">
        <f t="shared" si="60"/>
        <v/>
      </c>
      <c r="BU20" s="49" t="str">
        <f t="shared" si="61"/>
        <v/>
      </c>
      <c r="BV20" s="49" t="str">
        <f t="shared" si="62"/>
        <v/>
      </c>
      <c r="BW20" s="49" t="str">
        <f t="shared" si="63"/>
        <v/>
      </c>
      <c r="BX20" s="49" t="str">
        <f t="shared" si="64"/>
        <v/>
      </c>
      <c r="BY20" s="49" t="str">
        <f t="shared" si="65"/>
        <v/>
      </c>
      <c r="BZ20" s="49" t="str">
        <f t="shared" si="66"/>
        <v/>
      </c>
      <c r="CA20" s="49" t="str">
        <f t="shared" si="67"/>
        <v/>
      </c>
      <c r="CB20" s="49" t="str">
        <f t="shared" si="68"/>
        <v/>
      </c>
    </row>
    <row r="21" spans="1:80" x14ac:dyDescent="0.2">
      <c r="A21" s="43" t="str">
        <f>IF(Perioade!$A21="","",Perioade!$A21)</f>
        <v/>
      </c>
      <c r="B21" s="43" t="str">
        <f>IF($A21="","",IF(OR(Perioade!$G21="Preț fix",Perioade!$G21="Personalizat"),Perioade!$G21,"Standard"))</f>
        <v/>
      </c>
      <c r="C21" s="47" t="str">
        <f>IF($A21="","",N(Perioade!$F21))</f>
        <v/>
      </c>
      <c r="D21" s="48" t="str">
        <f>IF($A21="","",IF(2&lt;$C21,"",IF($B21="Preț fix",IF(2=$C21,0,""),IF($B21="Standard",INDEX(p_Std,1,1),IF(Perioade!$H21="",IF(2=$C21,0,""),N(Perioade!$H21))))))</f>
        <v/>
      </c>
      <c r="E21" s="48" t="str">
        <f>IF($A21="","",IF(3&lt;$C21,"",IF($B21="Preț fix",IF(3=$C21,0,""),IF($B21="Standard",INDEX(p_Std,1,2),IF(Perioade!$I21="",IF(3=$C21,0,""),N(Perioade!$I21))))))</f>
        <v/>
      </c>
      <c r="F21" s="48" t="str">
        <f>IF($A21="","",IF(4&lt;$C21,"",IF($B21="Preț fix",IF(4=$C21,0,""),IF($B21="Standard",INDEX(p_Std,1,3),IF(Perioade!$J21="",IF(4=$C21,0,""),N(Perioade!$J21))))))</f>
        <v/>
      </c>
      <c r="G21" s="48" t="str">
        <f>IF($A21="","",IF(5&lt;$C21,"",IF($B21="Preț fix",IF(5=$C21,0,""),IF($B21="Standard",INDEX(p_Std,1,4),IF(Perioade!$K21="",IF(5=$C21,0,""),N(Perioade!$K21))))))</f>
        <v/>
      </c>
      <c r="H21" s="48" t="str">
        <f>IF($A21="","",IF(6&lt;$C21,"",IF($B21="Preț fix",IF(6=$C21,0,""),IF($B21="Standard",INDEX(p_Std,1,5),IF(Perioade!$L21="",IF(6=$C21,0,""),N(Perioade!$L21))))))</f>
        <v/>
      </c>
      <c r="I21" s="48" t="str">
        <f>IF($A21="","",IF(7&lt;$C21,"",IF($B21="Preț fix",IF(7=$C21,0,""),IF($B21="Standard",INDEX(p_Std,1,6),IF(Perioade!$M21="",IF(7=$C21,0,""),N(Perioade!$M21))))))</f>
        <v/>
      </c>
      <c r="J21" s="48" t="str">
        <f t="shared" si="0"/>
        <v/>
      </c>
      <c r="K21" s="48" t="str">
        <f t="shared" si="1"/>
        <v/>
      </c>
      <c r="L21" s="48" t="str">
        <f t="shared" si="2"/>
        <v/>
      </c>
      <c r="M21" s="48" t="str">
        <f t="shared" si="3"/>
        <v/>
      </c>
      <c r="N21" s="48" t="str">
        <f t="shared" si="4"/>
        <v/>
      </c>
      <c r="O21" s="48" t="str">
        <f t="shared" si="5"/>
        <v/>
      </c>
      <c r="P21" s="47" t="str">
        <f t="shared" si="6"/>
        <v/>
      </c>
      <c r="Q21" s="48" t="str">
        <f t="shared" si="7"/>
        <v/>
      </c>
      <c r="R21" s="49" t="str">
        <f>IF($A21="","",N(Perioade!$E21))</f>
        <v/>
      </c>
      <c r="S21" s="49" t="str">
        <f t="shared" si="8"/>
        <v/>
      </c>
      <c r="T21" s="49" t="str">
        <f t="shared" si="9"/>
        <v/>
      </c>
      <c r="U21" s="49" t="str">
        <f t="shared" si="10"/>
        <v/>
      </c>
      <c r="V21" s="50" t="str">
        <f t="shared" si="11"/>
        <v/>
      </c>
      <c r="W21" s="49" t="str">
        <f t="shared" si="12"/>
        <v/>
      </c>
      <c r="X21" s="48" t="str">
        <f t="shared" si="13"/>
        <v/>
      </c>
      <c r="Y21" s="49" t="str">
        <f t="shared" si="14"/>
        <v/>
      </c>
      <c r="Z21" s="50" t="str">
        <f t="shared" si="15"/>
        <v/>
      </c>
      <c r="AA21" s="49" t="str">
        <f t="shared" si="16"/>
        <v/>
      </c>
      <c r="AB21" s="48" t="str">
        <f t="shared" si="17"/>
        <v/>
      </c>
      <c r="AC21" s="49" t="str">
        <f t="shared" si="18"/>
        <v/>
      </c>
      <c r="AD21" s="49" t="str">
        <f t="shared" si="19"/>
        <v/>
      </c>
      <c r="AE21" s="49" t="str">
        <f>IF($A21="","",IF(N(Perioade!$O21)&gt;0,CEILING(MAX(AD21,AC21*(1-a_PondSug)+N(Perioade!$O21)*a_PondSug),a_Rot),CEILING(AC21,a_Rot)))</f>
        <v/>
      </c>
      <c r="AF21" s="50" t="str">
        <f t="shared" si="20"/>
        <v/>
      </c>
      <c r="AG21" s="49" t="str">
        <f t="shared" si="21"/>
        <v/>
      </c>
      <c r="AH21" s="48" t="str">
        <f t="shared" si="22"/>
        <v/>
      </c>
      <c r="AI21" s="49" t="str">
        <f t="shared" si="23"/>
        <v/>
      </c>
      <c r="AJ21" s="49" t="str">
        <f t="shared" si="24"/>
        <v/>
      </c>
      <c r="AK21" s="49" t="str">
        <f t="shared" si="25"/>
        <v/>
      </c>
      <c r="AL21" s="49" t="str">
        <f t="shared" si="26"/>
        <v/>
      </c>
      <c r="AM21" s="49" t="str">
        <f t="shared" si="27"/>
        <v/>
      </c>
      <c r="AN21" s="49" t="str">
        <f t="shared" si="28"/>
        <v/>
      </c>
      <c r="AO21" s="49" t="str">
        <f t="shared" si="29"/>
        <v/>
      </c>
      <c r="AP21" s="50" t="str">
        <f t="shared" si="30"/>
        <v/>
      </c>
      <c r="AQ21" s="50" t="str">
        <f t="shared" si="31"/>
        <v/>
      </c>
      <c r="AR21" s="50" t="str">
        <f t="shared" si="32"/>
        <v/>
      </c>
      <c r="AS21" s="43" t="str">
        <f t="shared" si="33"/>
        <v/>
      </c>
      <c r="AT21" s="49" t="str">
        <f t="shared" si="34"/>
        <v/>
      </c>
      <c r="AU21" s="49" t="str">
        <f t="shared" si="35"/>
        <v/>
      </c>
      <c r="AV21" s="49" t="str">
        <f t="shared" si="36"/>
        <v/>
      </c>
      <c r="AW21" s="49" t="str">
        <f t="shared" si="37"/>
        <v/>
      </c>
      <c r="AX21" s="49" t="str">
        <f t="shared" si="38"/>
        <v/>
      </c>
      <c r="AY21" s="49" t="str">
        <f t="shared" si="39"/>
        <v/>
      </c>
      <c r="AZ21" s="49" t="str">
        <f t="shared" si="40"/>
        <v/>
      </c>
      <c r="BA21" s="49" t="str">
        <f t="shared" si="41"/>
        <v/>
      </c>
      <c r="BB21" s="49" t="str">
        <f t="shared" si="42"/>
        <v/>
      </c>
      <c r="BC21" s="49" t="str">
        <f t="shared" si="43"/>
        <v/>
      </c>
      <c r="BD21" s="49" t="str">
        <f t="shared" si="44"/>
        <v/>
      </c>
      <c r="BE21" s="49" t="str">
        <f t="shared" si="45"/>
        <v/>
      </c>
      <c r="BF21" s="49" t="str">
        <f t="shared" si="46"/>
        <v/>
      </c>
      <c r="BG21" s="49" t="str">
        <f t="shared" si="47"/>
        <v/>
      </c>
      <c r="BH21" s="49" t="str">
        <f t="shared" si="48"/>
        <v/>
      </c>
      <c r="BI21" s="49" t="str">
        <f t="shared" si="49"/>
        <v/>
      </c>
      <c r="BJ21" s="49" t="str">
        <f t="shared" si="50"/>
        <v/>
      </c>
      <c r="BK21" s="49" t="str">
        <f t="shared" si="51"/>
        <v/>
      </c>
      <c r="BL21" s="49" t="str">
        <f t="shared" si="52"/>
        <v/>
      </c>
      <c r="BM21" s="49" t="str">
        <f t="shared" si="53"/>
        <v/>
      </c>
      <c r="BN21" s="49" t="str">
        <f t="shared" si="54"/>
        <v/>
      </c>
      <c r="BO21" s="49" t="str">
        <f t="shared" si="55"/>
        <v/>
      </c>
      <c r="BP21" s="49" t="str">
        <f t="shared" si="56"/>
        <v/>
      </c>
      <c r="BQ21" s="49" t="str">
        <f t="shared" si="57"/>
        <v/>
      </c>
      <c r="BR21" s="49" t="str">
        <f t="shared" si="58"/>
        <v/>
      </c>
      <c r="BS21" s="49" t="str">
        <f t="shared" si="59"/>
        <v/>
      </c>
      <c r="BT21" s="49" t="str">
        <f t="shared" si="60"/>
        <v/>
      </c>
      <c r="BU21" s="49" t="str">
        <f t="shared" si="61"/>
        <v/>
      </c>
      <c r="BV21" s="49" t="str">
        <f t="shared" si="62"/>
        <v/>
      </c>
      <c r="BW21" s="49" t="str">
        <f t="shared" si="63"/>
        <v/>
      </c>
      <c r="BX21" s="49" t="str">
        <f t="shared" si="64"/>
        <v/>
      </c>
      <c r="BY21" s="49" t="str">
        <f t="shared" si="65"/>
        <v/>
      </c>
      <c r="BZ21" s="49" t="str">
        <f t="shared" si="66"/>
        <v/>
      </c>
      <c r="CA21" s="49" t="str">
        <f t="shared" si="67"/>
        <v/>
      </c>
      <c r="CB21" s="49" t="str">
        <f t="shared" si="68"/>
        <v/>
      </c>
    </row>
    <row r="22" spans="1:80" x14ac:dyDescent="0.2">
      <c r="A22" s="43" t="str">
        <f>IF(Perioade!$A22="","",Perioade!$A22)</f>
        <v/>
      </c>
      <c r="B22" s="43" t="str">
        <f>IF($A22="","",IF(OR(Perioade!$G22="Preț fix",Perioade!$G22="Personalizat"),Perioade!$G22,"Standard"))</f>
        <v/>
      </c>
      <c r="C22" s="47" t="str">
        <f>IF($A22="","",N(Perioade!$F22))</f>
        <v/>
      </c>
      <c r="D22" s="48" t="str">
        <f>IF($A22="","",IF(2&lt;$C22,"",IF($B22="Preț fix",IF(2=$C22,0,""),IF($B22="Standard",INDEX(p_Std,1,1),IF(Perioade!$H22="",IF(2=$C22,0,""),N(Perioade!$H22))))))</f>
        <v/>
      </c>
      <c r="E22" s="48" t="str">
        <f>IF($A22="","",IF(3&lt;$C22,"",IF($B22="Preț fix",IF(3=$C22,0,""),IF($B22="Standard",INDEX(p_Std,1,2),IF(Perioade!$I22="",IF(3=$C22,0,""),N(Perioade!$I22))))))</f>
        <v/>
      </c>
      <c r="F22" s="48" t="str">
        <f>IF($A22="","",IF(4&lt;$C22,"",IF($B22="Preț fix",IF(4=$C22,0,""),IF($B22="Standard",INDEX(p_Std,1,3),IF(Perioade!$J22="",IF(4=$C22,0,""),N(Perioade!$J22))))))</f>
        <v/>
      </c>
      <c r="G22" s="48" t="str">
        <f>IF($A22="","",IF(5&lt;$C22,"",IF($B22="Preț fix",IF(5=$C22,0,""),IF($B22="Standard",INDEX(p_Std,1,4),IF(Perioade!$K22="",IF(5=$C22,0,""),N(Perioade!$K22))))))</f>
        <v/>
      </c>
      <c r="H22" s="48" t="str">
        <f>IF($A22="","",IF(6&lt;$C22,"",IF($B22="Preț fix",IF(6=$C22,0,""),IF($B22="Standard",INDEX(p_Std,1,5),IF(Perioade!$L22="",IF(6=$C22,0,""),N(Perioade!$L22))))))</f>
        <v/>
      </c>
      <c r="I22" s="48" t="str">
        <f>IF($A22="","",IF(7&lt;$C22,"",IF($B22="Preț fix",IF(7=$C22,0,""),IF($B22="Standard",INDEX(p_Std,1,6),IF(Perioade!$M22="",IF(7=$C22,0,""),N(Perioade!$M22))))))</f>
        <v/>
      </c>
      <c r="J22" s="48" t="str">
        <f t="shared" si="0"/>
        <v/>
      </c>
      <c r="K22" s="48" t="str">
        <f t="shared" si="1"/>
        <v/>
      </c>
      <c r="L22" s="48" t="str">
        <f t="shared" si="2"/>
        <v/>
      </c>
      <c r="M22" s="48" t="str">
        <f t="shared" si="3"/>
        <v/>
      </c>
      <c r="N22" s="48" t="str">
        <f t="shared" si="4"/>
        <v/>
      </c>
      <c r="O22" s="48" t="str">
        <f t="shared" si="5"/>
        <v/>
      </c>
      <c r="P22" s="47" t="str">
        <f t="shared" si="6"/>
        <v/>
      </c>
      <c r="Q22" s="48" t="str">
        <f t="shared" si="7"/>
        <v/>
      </c>
      <c r="R22" s="49" t="str">
        <f>IF($A22="","",N(Perioade!$E22))</f>
        <v/>
      </c>
      <c r="S22" s="49" t="str">
        <f t="shared" si="8"/>
        <v/>
      </c>
      <c r="T22" s="49" t="str">
        <f t="shared" si="9"/>
        <v/>
      </c>
      <c r="U22" s="49" t="str">
        <f t="shared" si="10"/>
        <v/>
      </c>
      <c r="V22" s="50" t="str">
        <f t="shared" si="11"/>
        <v/>
      </c>
      <c r="W22" s="49" t="str">
        <f t="shared" si="12"/>
        <v/>
      </c>
      <c r="X22" s="48" t="str">
        <f t="shared" si="13"/>
        <v/>
      </c>
      <c r="Y22" s="49" t="str">
        <f t="shared" si="14"/>
        <v/>
      </c>
      <c r="Z22" s="50" t="str">
        <f t="shared" si="15"/>
        <v/>
      </c>
      <c r="AA22" s="49" t="str">
        <f t="shared" si="16"/>
        <v/>
      </c>
      <c r="AB22" s="48" t="str">
        <f t="shared" si="17"/>
        <v/>
      </c>
      <c r="AC22" s="49" t="str">
        <f t="shared" si="18"/>
        <v/>
      </c>
      <c r="AD22" s="49" t="str">
        <f t="shared" si="19"/>
        <v/>
      </c>
      <c r="AE22" s="49" t="str">
        <f>IF($A22="","",IF(N(Perioade!$O22)&gt;0,CEILING(MAX(AD22,AC22*(1-a_PondSug)+N(Perioade!$O22)*a_PondSug),a_Rot),CEILING(AC22,a_Rot)))</f>
        <v/>
      </c>
      <c r="AF22" s="50" t="str">
        <f t="shared" si="20"/>
        <v/>
      </c>
      <c r="AG22" s="49" t="str">
        <f t="shared" si="21"/>
        <v/>
      </c>
      <c r="AH22" s="48" t="str">
        <f t="shared" si="22"/>
        <v/>
      </c>
      <c r="AI22" s="49" t="str">
        <f t="shared" si="23"/>
        <v/>
      </c>
      <c r="AJ22" s="49" t="str">
        <f t="shared" si="24"/>
        <v/>
      </c>
      <c r="AK22" s="49" t="str">
        <f t="shared" si="25"/>
        <v/>
      </c>
      <c r="AL22" s="49" t="str">
        <f t="shared" si="26"/>
        <v/>
      </c>
      <c r="AM22" s="49" t="str">
        <f t="shared" si="27"/>
        <v/>
      </c>
      <c r="AN22" s="49" t="str">
        <f t="shared" si="28"/>
        <v/>
      </c>
      <c r="AO22" s="49" t="str">
        <f t="shared" si="29"/>
        <v/>
      </c>
      <c r="AP22" s="50" t="str">
        <f t="shared" si="30"/>
        <v/>
      </c>
      <c r="AQ22" s="50" t="str">
        <f t="shared" si="31"/>
        <v/>
      </c>
      <c r="AR22" s="50" t="str">
        <f t="shared" si="32"/>
        <v/>
      </c>
      <c r="AS22" s="43" t="str">
        <f t="shared" si="33"/>
        <v/>
      </c>
      <c r="AT22" s="49" t="str">
        <f t="shared" si="34"/>
        <v/>
      </c>
      <c r="AU22" s="49" t="str">
        <f t="shared" si="35"/>
        <v/>
      </c>
      <c r="AV22" s="49" t="str">
        <f t="shared" si="36"/>
        <v/>
      </c>
      <c r="AW22" s="49" t="str">
        <f t="shared" si="37"/>
        <v/>
      </c>
      <c r="AX22" s="49" t="str">
        <f t="shared" si="38"/>
        <v/>
      </c>
      <c r="AY22" s="49" t="str">
        <f t="shared" si="39"/>
        <v/>
      </c>
      <c r="AZ22" s="49" t="str">
        <f t="shared" si="40"/>
        <v/>
      </c>
      <c r="BA22" s="49" t="str">
        <f t="shared" si="41"/>
        <v/>
      </c>
      <c r="BB22" s="49" t="str">
        <f t="shared" si="42"/>
        <v/>
      </c>
      <c r="BC22" s="49" t="str">
        <f t="shared" si="43"/>
        <v/>
      </c>
      <c r="BD22" s="49" t="str">
        <f t="shared" si="44"/>
        <v/>
      </c>
      <c r="BE22" s="49" t="str">
        <f t="shared" si="45"/>
        <v/>
      </c>
      <c r="BF22" s="49" t="str">
        <f t="shared" si="46"/>
        <v/>
      </c>
      <c r="BG22" s="49" t="str">
        <f t="shared" si="47"/>
        <v/>
      </c>
      <c r="BH22" s="49" t="str">
        <f t="shared" si="48"/>
        <v/>
      </c>
      <c r="BI22" s="49" t="str">
        <f t="shared" si="49"/>
        <v/>
      </c>
      <c r="BJ22" s="49" t="str">
        <f t="shared" si="50"/>
        <v/>
      </c>
      <c r="BK22" s="49" t="str">
        <f t="shared" si="51"/>
        <v/>
      </c>
      <c r="BL22" s="49" t="str">
        <f t="shared" si="52"/>
        <v/>
      </c>
      <c r="BM22" s="49" t="str">
        <f t="shared" si="53"/>
        <v/>
      </c>
      <c r="BN22" s="49" t="str">
        <f t="shared" si="54"/>
        <v/>
      </c>
      <c r="BO22" s="49" t="str">
        <f t="shared" si="55"/>
        <v/>
      </c>
      <c r="BP22" s="49" t="str">
        <f t="shared" si="56"/>
        <v/>
      </c>
      <c r="BQ22" s="49" t="str">
        <f t="shared" si="57"/>
        <v/>
      </c>
      <c r="BR22" s="49" t="str">
        <f t="shared" si="58"/>
        <v/>
      </c>
      <c r="BS22" s="49" t="str">
        <f t="shared" si="59"/>
        <v/>
      </c>
      <c r="BT22" s="49" t="str">
        <f t="shared" si="60"/>
        <v/>
      </c>
      <c r="BU22" s="49" t="str">
        <f t="shared" si="61"/>
        <v/>
      </c>
      <c r="BV22" s="49" t="str">
        <f t="shared" si="62"/>
        <v/>
      </c>
      <c r="BW22" s="49" t="str">
        <f t="shared" si="63"/>
        <v/>
      </c>
      <c r="BX22" s="49" t="str">
        <f t="shared" si="64"/>
        <v/>
      </c>
      <c r="BY22" s="49" t="str">
        <f t="shared" si="65"/>
        <v/>
      </c>
      <c r="BZ22" s="49" t="str">
        <f t="shared" si="66"/>
        <v/>
      </c>
      <c r="CA22" s="49" t="str">
        <f t="shared" si="67"/>
        <v/>
      </c>
      <c r="CB22" s="49" t="str">
        <f t="shared" si="68"/>
        <v/>
      </c>
    </row>
    <row r="23" spans="1:80" x14ac:dyDescent="0.2">
      <c r="A23" s="43" t="str">
        <f>IF(Perioade!$A23="","",Perioade!$A23)</f>
        <v/>
      </c>
      <c r="B23" s="43" t="str">
        <f>IF($A23="","",IF(OR(Perioade!$G23="Preț fix",Perioade!$G23="Personalizat"),Perioade!$G23,"Standard"))</f>
        <v/>
      </c>
      <c r="C23" s="47" t="str">
        <f>IF($A23="","",N(Perioade!$F23))</f>
        <v/>
      </c>
      <c r="D23" s="48" t="str">
        <f>IF($A23="","",IF(2&lt;$C23,"",IF($B23="Preț fix",IF(2=$C23,0,""),IF($B23="Standard",INDEX(p_Std,1,1),IF(Perioade!$H23="",IF(2=$C23,0,""),N(Perioade!$H23))))))</f>
        <v/>
      </c>
      <c r="E23" s="48" t="str">
        <f>IF($A23="","",IF(3&lt;$C23,"",IF($B23="Preț fix",IF(3=$C23,0,""),IF($B23="Standard",INDEX(p_Std,1,2),IF(Perioade!$I23="",IF(3=$C23,0,""),N(Perioade!$I23))))))</f>
        <v/>
      </c>
      <c r="F23" s="48" t="str">
        <f>IF($A23="","",IF(4&lt;$C23,"",IF($B23="Preț fix",IF(4=$C23,0,""),IF($B23="Standard",INDEX(p_Std,1,3),IF(Perioade!$J23="",IF(4=$C23,0,""),N(Perioade!$J23))))))</f>
        <v/>
      </c>
      <c r="G23" s="48" t="str">
        <f>IF($A23="","",IF(5&lt;$C23,"",IF($B23="Preț fix",IF(5=$C23,0,""),IF($B23="Standard",INDEX(p_Std,1,4),IF(Perioade!$K23="",IF(5=$C23,0,""),N(Perioade!$K23))))))</f>
        <v/>
      </c>
      <c r="H23" s="48" t="str">
        <f>IF($A23="","",IF(6&lt;$C23,"",IF($B23="Preț fix",IF(6=$C23,0,""),IF($B23="Standard",INDEX(p_Std,1,5),IF(Perioade!$L23="",IF(6=$C23,0,""),N(Perioade!$L23))))))</f>
        <v/>
      </c>
      <c r="I23" s="48" t="str">
        <f>IF($A23="","",IF(7&lt;$C23,"",IF($B23="Preț fix",IF(7=$C23,0,""),IF($B23="Standard",INDEX(p_Std,1,6),IF(Perioade!$M23="",IF(7=$C23,0,""),N(Perioade!$M23))))))</f>
        <v/>
      </c>
      <c r="J23" s="48" t="str">
        <f t="shared" si="0"/>
        <v/>
      </c>
      <c r="K23" s="48" t="str">
        <f t="shared" si="1"/>
        <v/>
      </c>
      <c r="L23" s="48" t="str">
        <f t="shared" si="2"/>
        <v/>
      </c>
      <c r="M23" s="48" t="str">
        <f t="shared" si="3"/>
        <v/>
      </c>
      <c r="N23" s="48" t="str">
        <f t="shared" si="4"/>
        <v/>
      </c>
      <c r="O23" s="48" t="str">
        <f t="shared" si="5"/>
        <v/>
      </c>
      <c r="P23" s="47" t="str">
        <f t="shared" si="6"/>
        <v/>
      </c>
      <c r="Q23" s="48" t="str">
        <f t="shared" si="7"/>
        <v/>
      </c>
      <c r="R23" s="49" t="str">
        <f>IF($A23="","",N(Perioade!$E23))</f>
        <v/>
      </c>
      <c r="S23" s="49" t="str">
        <f t="shared" si="8"/>
        <v/>
      </c>
      <c r="T23" s="49" t="str">
        <f t="shared" si="9"/>
        <v/>
      </c>
      <c r="U23" s="49" t="str">
        <f t="shared" si="10"/>
        <v/>
      </c>
      <c r="V23" s="50" t="str">
        <f t="shared" si="11"/>
        <v/>
      </c>
      <c r="W23" s="49" t="str">
        <f t="shared" si="12"/>
        <v/>
      </c>
      <c r="X23" s="48" t="str">
        <f t="shared" si="13"/>
        <v/>
      </c>
      <c r="Y23" s="49" t="str">
        <f t="shared" si="14"/>
        <v/>
      </c>
      <c r="Z23" s="50" t="str">
        <f t="shared" si="15"/>
        <v/>
      </c>
      <c r="AA23" s="49" t="str">
        <f t="shared" si="16"/>
        <v/>
      </c>
      <c r="AB23" s="48" t="str">
        <f t="shared" si="17"/>
        <v/>
      </c>
      <c r="AC23" s="49" t="str">
        <f t="shared" si="18"/>
        <v/>
      </c>
      <c r="AD23" s="49" t="str">
        <f t="shared" si="19"/>
        <v/>
      </c>
      <c r="AE23" s="49" t="str">
        <f>IF($A23="","",IF(N(Perioade!$O23)&gt;0,CEILING(MAX(AD23,AC23*(1-a_PondSug)+N(Perioade!$O23)*a_PondSug),a_Rot),CEILING(AC23,a_Rot)))</f>
        <v/>
      </c>
      <c r="AF23" s="50" t="str">
        <f t="shared" si="20"/>
        <v/>
      </c>
      <c r="AG23" s="49" t="str">
        <f t="shared" si="21"/>
        <v/>
      </c>
      <c r="AH23" s="48" t="str">
        <f t="shared" si="22"/>
        <v/>
      </c>
      <c r="AI23" s="49" t="str">
        <f t="shared" si="23"/>
        <v/>
      </c>
      <c r="AJ23" s="49" t="str">
        <f t="shared" si="24"/>
        <v/>
      </c>
      <c r="AK23" s="49" t="str">
        <f t="shared" si="25"/>
        <v/>
      </c>
      <c r="AL23" s="49" t="str">
        <f t="shared" si="26"/>
        <v/>
      </c>
      <c r="AM23" s="49" t="str">
        <f t="shared" si="27"/>
        <v/>
      </c>
      <c r="AN23" s="49" t="str">
        <f t="shared" si="28"/>
        <v/>
      </c>
      <c r="AO23" s="49" t="str">
        <f t="shared" si="29"/>
        <v/>
      </c>
      <c r="AP23" s="50" t="str">
        <f t="shared" si="30"/>
        <v/>
      </c>
      <c r="AQ23" s="50" t="str">
        <f t="shared" si="31"/>
        <v/>
      </c>
      <c r="AR23" s="50" t="str">
        <f t="shared" si="32"/>
        <v/>
      </c>
      <c r="AS23" s="43" t="str">
        <f t="shared" si="33"/>
        <v/>
      </c>
      <c r="AT23" s="49" t="str">
        <f t="shared" si="34"/>
        <v/>
      </c>
      <c r="AU23" s="49" t="str">
        <f t="shared" si="35"/>
        <v/>
      </c>
      <c r="AV23" s="49" t="str">
        <f t="shared" si="36"/>
        <v/>
      </c>
      <c r="AW23" s="49" t="str">
        <f t="shared" si="37"/>
        <v/>
      </c>
      <c r="AX23" s="49" t="str">
        <f t="shared" si="38"/>
        <v/>
      </c>
      <c r="AY23" s="49" t="str">
        <f t="shared" si="39"/>
        <v/>
      </c>
      <c r="AZ23" s="49" t="str">
        <f t="shared" si="40"/>
        <v/>
      </c>
      <c r="BA23" s="49" t="str">
        <f t="shared" si="41"/>
        <v/>
      </c>
      <c r="BB23" s="49" t="str">
        <f t="shared" si="42"/>
        <v/>
      </c>
      <c r="BC23" s="49" t="str">
        <f t="shared" si="43"/>
        <v/>
      </c>
      <c r="BD23" s="49" t="str">
        <f t="shared" si="44"/>
        <v/>
      </c>
      <c r="BE23" s="49" t="str">
        <f t="shared" si="45"/>
        <v/>
      </c>
      <c r="BF23" s="49" t="str">
        <f t="shared" si="46"/>
        <v/>
      </c>
      <c r="BG23" s="49" t="str">
        <f t="shared" si="47"/>
        <v/>
      </c>
      <c r="BH23" s="49" t="str">
        <f t="shared" si="48"/>
        <v/>
      </c>
      <c r="BI23" s="49" t="str">
        <f t="shared" si="49"/>
        <v/>
      </c>
      <c r="BJ23" s="49" t="str">
        <f t="shared" si="50"/>
        <v/>
      </c>
      <c r="BK23" s="49" t="str">
        <f t="shared" si="51"/>
        <v/>
      </c>
      <c r="BL23" s="49" t="str">
        <f t="shared" si="52"/>
        <v/>
      </c>
      <c r="BM23" s="49" t="str">
        <f t="shared" si="53"/>
        <v/>
      </c>
      <c r="BN23" s="49" t="str">
        <f t="shared" si="54"/>
        <v/>
      </c>
      <c r="BO23" s="49" t="str">
        <f t="shared" si="55"/>
        <v/>
      </c>
      <c r="BP23" s="49" t="str">
        <f t="shared" si="56"/>
        <v/>
      </c>
      <c r="BQ23" s="49" t="str">
        <f t="shared" si="57"/>
        <v/>
      </c>
      <c r="BR23" s="49" t="str">
        <f t="shared" si="58"/>
        <v/>
      </c>
      <c r="BS23" s="49" t="str">
        <f t="shared" si="59"/>
        <v/>
      </c>
      <c r="BT23" s="49" t="str">
        <f t="shared" si="60"/>
        <v/>
      </c>
      <c r="BU23" s="49" t="str">
        <f t="shared" si="61"/>
        <v/>
      </c>
      <c r="BV23" s="49" t="str">
        <f t="shared" si="62"/>
        <v/>
      </c>
      <c r="BW23" s="49" t="str">
        <f t="shared" si="63"/>
        <v/>
      </c>
      <c r="BX23" s="49" t="str">
        <f t="shared" si="64"/>
        <v/>
      </c>
      <c r="BY23" s="49" t="str">
        <f t="shared" si="65"/>
        <v/>
      </c>
      <c r="BZ23" s="49" t="str">
        <f t="shared" si="66"/>
        <v/>
      </c>
      <c r="CA23" s="49" t="str">
        <f t="shared" si="67"/>
        <v/>
      </c>
      <c r="CB23" s="49" t="str">
        <f t="shared" si="68"/>
        <v/>
      </c>
    </row>
    <row r="24" spans="1:80" x14ac:dyDescent="0.2">
      <c r="A24" s="43" t="str">
        <f>IF(Perioade!$A24="","",Perioade!$A24)</f>
        <v/>
      </c>
      <c r="B24" s="43" t="str">
        <f>IF($A24="","",IF(OR(Perioade!$G24="Preț fix",Perioade!$G24="Personalizat"),Perioade!$G24,"Standard"))</f>
        <v/>
      </c>
      <c r="C24" s="47" t="str">
        <f>IF($A24="","",N(Perioade!$F24))</f>
        <v/>
      </c>
      <c r="D24" s="48" t="str">
        <f>IF($A24="","",IF(2&lt;$C24,"",IF($B24="Preț fix",IF(2=$C24,0,""),IF($B24="Standard",INDEX(p_Std,1,1),IF(Perioade!$H24="",IF(2=$C24,0,""),N(Perioade!$H24))))))</f>
        <v/>
      </c>
      <c r="E24" s="48" t="str">
        <f>IF($A24="","",IF(3&lt;$C24,"",IF($B24="Preț fix",IF(3=$C24,0,""),IF($B24="Standard",INDEX(p_Std,1,2),IF(Perioade!$I24="",IF(3=$C24,0,""),N(Perioade!$I24))))))</f>
        <v/>
      </c>
      <c r="F24" s="48" t="str">
        <f>IF($A24="","",IF(4&lt;$C24,"",IF($B24="Preț fix",IF(4=$C24,0,""),IF($B24="Standard",INDEX(p_Std,1,3),IF(Perioade!$J24="",IF(4=$C24,0,""),N(Perioade!$J24))))))</f>
        <v/>
      </c>
      <c r="G24" s="48" t="str">
        <f>IF($A24="","",IF(5&lt;$C24,"",IF($B24="Preț fix",IF(5=$C24,0,""),IF($B24="Standard",INDEX(p_Std,1,4),IF(Perioade!$K24="",IF(5=$C24,0,""),N(Perioade!$K24))))))</f>
        <v/>
      </c>
      <c r="H24" s="48" t="str">
        <f>IF($A24="","",IF(6&lt;$C24,"",IF($B24="Preț fix",IF(6=$C24,0,""),IF($B24="Standard",INDEX(p_Std,1,5),IF(Perioade!$L24="",IF(6=$C24,0,""),N(Perioade!$L24))))))</f>
        <v/>
      </c>
      <c r="I24" s="48" t="str">
        <f>IF($A24="","",IF(7&lt;$C24,"",IF($B24="Preț fix",IF(7=$C24,0,""),IF($B24="Standard",INDEX(p_Std,1,6),IF(Perioade!$M24="",IF(7=$C24,0,""),N(Perioade!$M24))))))</f>
        <v/>
      </c>
      <c r="J24" s="48" t="str">
        <f t="shared" si="0"/>
        <v/>
      </c>
      <c r="K24" s="48" t="str">
        <f t="shared" si="1"/>
        <v/>
      </c>
      <c r="L24" s="48" t="str">
        <f t="shared" si="2"/>
        <v/>
      </c>
      <c r="M24" s="48" t="str">
        <f t="shared" si="3"/>
        <v/>
      </c>
      <c r="N24" s="48" t="str">
        <f t="shared" si="4"/>
        <v/>
      </c>
      <c r="O24" s="48" t="str">
        <f t="shared" si="5"/>
        <v/>
      </c>
      <c r="P24" s="47" t="str">
        <f t="shared" si="6"/>
        <v/>
      </c>
      <c r="Q24" s="48" t="str">
        <f t="shared" si="7"/>
        <v/>
      </c>
      <c r="R24" s="49" t="str">
        <f>IF($A24="","",N(Perioade!$E24))</f>
        <v/>
      </c>
      <c r="S24" s="49" t="str">
        <f t="shared" si="8"/>
        <v/>
      </c>
      <c r="T24" s="49" t="str">
        <f t="shared" si="9"/>
        <v/>
      </c>
      <c r="U24" s="49" t="str">
        <f t="shared" si="10"/>
        <v/>
      </c>
      <c r="V24" s="50" t="str">
        <f t="shared" si="11"/>
        <v/>
      </c>
      <c r="W24" s="49" t="str">
        <f t="shared" si="12"/>
        <v/>
      </c>
      <c r="X24" s="48" t="str">
        <f t="shared" si="13"/>
        <v/>
      </c>
      <c r="Y24" s="49" t="str">
        <f t="shared" si="14"/>
        <v/>
      </c>
      <c r="Z24" s="50" t="str">
        <f t="shared" si="15"/>
        <v/>
      </c>
      <c r="AA24" s="49" t="str">
        <f t="shared" si="16"/>
        <v/>
      </c>
      <c r="AB24" s="48" t="str">
        <f t="shared" si="17"/>
        <v/>
      </c>
      <c r="AC24" s="49" t="str">
        <f t="shared" si="18"/>
        <v/>
      </c>
      <c r="AD24" s="49" t="str">
        <f t="shared" si="19"/>
        <v/>
      </c>
      <c r="AE24" s="49" t="str">
        <f>IF($A24="","",IF(N(Perioade!$O24)&gt;0,CEILING(MAX(AD24,AC24*(1-a_PondSug)+N(Perioade!$O24)*a_PondSug),a_Rot),CEILING(AC24,a_Rot)))</f>
        <v/>
      </c>
      <c r="AF24" s="50" t="str">
        <f t="shared" si="20"/>
        <v/>
      </c>
      <c r="AG24" s="49" t="str">
        <f t="shared" si="21"/>
        <v/>
      </c>
      <c r="AH24" s="48" t="str">
        <f t="shared" si="22"/>
        <v/>
      </c>
      <c r="AI24" s="49" t="str">
        <f t="shared" si="23"/>
        <v/>
      </c>
      <c r="AJ24" s="49" t="str">
        <f t="shared" si="24"/>
        <v/>
      </c>
      <c r="AK24" s="49" t="str">
        <f t="shared" si="25"/>
        <v/>
      </c>
      <c r="AL24" s="49" t="str">
        <f t="shared" si="26"/>
        <v/>
      </c>
      <c r="AM24" s="49" t="str">
        <f t="shared" si="27"/>
        <v/>
      </c>
      <c r="AN24" s="49" t="str">
        <f t="shared" si="28"/>
        <v/>
      </c>
      <c r="AO24" s="49" t="str">
        <f t="shared" si="29"/>
        <v/>
      </c>
      <c r="AP24" s="50" t="str">
        <f t="shared" si="30"/>
        <v/>
      </c>
      <c r="AQ24" s="50" t="str">
        <f t="shared" si="31"/>
        <v/>
      </c>
      <c r="AR24" s="50" t="str">
        <f t="shared" si="32"/>
        <v/>
      </c>
      <c r="AS24" s="43" t="str">
        <f t="shared" si="33"/>
        <v/>
      </c>
      <c r="AT24" s="49" t="str">
        <f t="shared" si="34"/>
        <v/>
      </c>
      <c r="AU24" s="49" t="str">
        <f t="shared" si="35"/>
        <v/>
      </c>
      <c r="AV24" s="49" t="str">
        <f t="shared" si="36"/>
        <v/>
      </c>
      <c r="AW24" s="49" t="str">
        <f t="shared" si="37"/>
        <v/>
      </c>
      <c r="AX24" s="49" t="str">
        <f t="shared" si="38"/>
        <v/>
      </c>
      <c r="AY24" s="49" t="str">
        <f t="shared" si="39"/>
        <v/>
      </c>
      <c r="AZ24" s="49" t="str">
        <f t="shared" si="40"/>
        <v/>
      </c>
      <c r="BA24" s="49" t="str">
        <f t="shared" si="41"/>
        <v/>
      </c>
      <c r="BB24" s="49" t="str">
        <f t="shared" si="42"/>
        <v/>
      </c>
      <c r="BC24" s="49" t="str">
        <f t="shared" si="43"/>
        <v/>
      </c>
      <c r="BD24" s="49" t="str">
        <f t="shared" si="44"/>
        <v/>
      </c>
      <c r="BE24" s="49" t="str">
        <f t="shared" si="45"/>
        <v/>
      </c>
      <c r="BF24" s="49" t="str">
        <f t="shared" si="46"/>
        <v/>
      </c>
      <c r="BG24" s="49" t="str">
        <f t="shared" si="47"/>
        <v/>
      </c>
      <c r="BH24" s="49" t="str">
        <f t="shared" si="48"/>
        <v/>
      </c>
      <c r="BI24" s="49" t="str">
        <f t="shared" si="49"/>
        <v/>
      </c>
      <c r="BJ24" s="49" t="str">
        <f t="shared" si="50"/>
        <v/>
      </c>
      <c r="BK24" s="49" t="str">
        <f t="shared" si="51"/>
        <v/>
      </c>
      <c r="BL24" s="49" t="str">
        <f t="shared" si="52"/>
        <v/>
      </c>
      <c r="BM24" s="49" t="str">
        <f t="shared" si="53"/>
        <v/>
      </c>
      <c r="BN24" s="49" t="str">
        <f t="shared" si="54"/>
        <v/>
      </c>
      <c r="BO24" s="49" t="str">
        <f t="shared" si="55"/>
        <v/>
      </c>
      <c r="BP24" s="49" t="str">
        <f t="shared" si="56"/>
        <v/>
      </c>
      <c r="BQ24" s="49" t="str">
        <f t="shared" si="57"/>
        <v/>
      </c>
      <c r="BR24" s="49" t="str">
        <f t="shared" si="58"/>
        <v/>
      </c>
      <c r="BS24" s="49" t="str">
        <f t="shared" si="59"/>
        <v/>
      </c>
      <c r="BT24" s="49" t="str">
        <f t="shared" si="60"/>
        <v/>
      </c>
      <c r="BU24" s="49" t="str">
        <f t="shared" si="61"/>
        <v/>
      </c>
      <c r="BV24" s="49" t="str">
        <f t="shared" si="62"/>
        <v/>
      </c>
      <c r="BW24" s="49" t="str">
        <f t="shared" si="63"/>
        <v/>
      </c>
      <c r="BX24" s="49" t="str">
        <f t="shared" si="64"/>
        <v/>
      </c>
      <c r="BY24" s="49" t="str">
        <f t="shared" si="65"/>
        <v/>
      </c>
      <c r="BZ24" s="49" t="str">
        <f t="shared" si="66"/>
        <v/>
      </c>
      <c r="CA24" s="49" t="str">
        <f t="shared" si="67"/>
        <v/>
      </c>
      <c r="CB24" s="49" t="str">
        <f t="shared" si="68"/>
        <v/>
      </c>
    </row>
    <row r="25" spans="1:80" x14ac:dyDescent="0.2">
      <c r="A25" s="43" t="str">
        <f>IF(Perioade!$A25="","",Perioade!$A25)</f>
        <v/>
      </c>
      <c r="B25" s="43" t="str">
        <f>IF($A25="","",IF(OR(Perioade!$G25="Preț fix",Perioade!$G25="Personalizat"),Perioade!$G25,"Standard"))</f>
        <v/>
      </c>
      <c r="C25" s="47" t="str">
        <f>IF($A25="","",N(Perioade!$F25))</f>
        <v/>
      </c>
      <c r="D25" s="48" t="str">
        <f>IF($A25="","",IF(2&lt;$C25,"",IF($B25="Preț fix",IF(2=$C25,0,""),IF($B25="Standard",INDEX(p_Std,1,1),IF(Perioade!$H25="",IF(2=$C25,0,""),N(Perioade!$H25))))))</f>
        <v/>
      </c>
      <c r="E25" s="48" t="str">
        <f>IF($A25="","",IF(3&lt;$C25,"",IF($B25="Preț fix",IF(3=$C25,0,""),IF($B25="Standard",INDEX(p_Std,1,2),IF(Perioade!$I25="",IF(3=$C25,0,""),N(Perioade!$I25))))))</f>
        <v/>
      </c>
      <c r="F25" s="48" t="str">
        <f>IF($A25="","",IF(4&lt;$C25,"",IF($B25="Preț fix",IF(4=$C25,0,""),IF($B25="Standard",INDEX(p_Std,1,3),IF(Perioade!$J25="",IF(4=$C25,0,""),N(Perioade!$J25))))))</f>
        <v/>
      </c>
      <c r="G25" s="48" t="str">
        <f>IF($A25="","",IF(5&lt;$C25,"",IF($B25="Preț fix",IF(5=$C25,0,""),IF($B25="Standard",INDEX(p_Std,1,4),IF(Perioade!$K25="",IF(5=$C25,0,""),N(Perioade!$K25))))))</f>
        <v/>
      </c>
      <c r="H25" s="48" t="str">
        <f>IF($A25="","",IF(6&lt;$C25,"",IF($B25="Preț fix",IF(6=$C25,0,""),IF($B25="Standard",INDEX(p_Std,1,5),IF(Perioade!$L25="",IF(6=$C25,0,""),N(Perioade!$L25))))))</f>
        <v/>
      </c>
      <c r="I25" s="48" t="str">
        <f>IF($A25="","",IF(7&lt;$C25,"",IF($B25="Preț fix",IF(7=$C25,0,""),IF($B25="Standard",INDEX(p_Std,1,6),IF(Perioade!$M25="",IF(7=$C25,0,""),N(Perioade!$M25))))))</f>
        <v/>
      </c>
      <c r="J25" s="48" t="str">
        <f t="shared" si="0"/>
        <v/>
      </c>
      <c r="K25" s="48" t="str">
        <f t="shared" si="1"/>
        <v/>
      </c>
      <c r="L25" s="48" t="str">
        <f t="shared" si="2"/>
        <v/>
      </c>
      <c r="M25" s="48" t="str">
        <f t="shared" si="3"/>
        <v/>
      </c>
      <c r="N25" s="48" t="str">
        <f t="shared" si="4"/>
        <v/>
      </c>
      <c r="O25" s="48" t="str">
        <f t="shared" si="5"/>
        <v/>
      </c>
      <c r="P25" s="47" t="str">
        <f t="shared" si="6"/>
        <v/>
      </c>
      <c r="Q25" s="48" t="str">
        <f t="shared" si="7"/>
        <v/>
      </c>
      <c r="R25" s="49" t="str">
        <f>IF($A25="","",N(Perioade!$E25))</f>
        <v/>
      </c>
      <c r="S25" s="49" t="str">
        <f t="shared" si="8"/>
        <v/>
      </c>
      <c r="T25" s="49" t="str">
        <f t="shared" si="9"/>
        <v/>
      </c>
      <c r="U25" s="49" t="str">
        <f t="shared" si="10"/>
        <v/>
      </c>
      <c r="V25" s="50" t="str">
        <f t="shared" si="11"/>
        <v/>
      </c>
      <c r="W25" s="49" t="str">
        <f t="shared" si="12"/>
        <v/>
      </c>
      <c r="X25" s="48" t="str">
        <f t="shared" si="13"/>
        <v/>
      </c>
      <c r="Y25" s="49" t="str">
        <f t="shared" si="14"/>
        <v/>
      </c>
      <c r="Z25" s="50" t="str">
        <f t="shared" si="15"/>
        <v/>
      </c>
      <c r="AA25" s="49" t="str">
        <f t="shared" si="16"/>
        <v/>
      </c>
      <c r="AB25" s="48" t="str">
        <f t="shared" si="17"/>
        <v/>
      </c>
      <c r="AC25" s="49" t="str">
        <f t="shared" si="18"/>
        <v/>
      </c>
      <c r="AD25" s="49" t="str">
        <f t="shared" si="19"/>
        <v/>
      </c>
      <c r="AE25" s="49" t="str">
        <f>IF($A25="","",IF(N(Perioade!$O25)&gt;0,CEILING(MAX(AD25,AC25*(1-a_PondSug)+N(Perioade!$O25)*a_PondSug),a_Rot),CEILING(AC25,a_Rot)))</f>
        <v/>
      </c>
      <c r="AF25" s="50" t="str">
        <f t="shared" si="20"/>
        <v/>
      </c>
      <c r="AG25" s="49" t="str">
        <f t="shared" si="21"/>
        <v/>
      </c>
      <c r="AH25" s="48" t="str">
        <f t="shared" si="22"/>
        <v/>
      </c>
      <c r="AI25" s="49" t="str">
        <f t="shared" si="23"/>
        <v/>
      </c>
      <c r="AJ25" s="49" t="str">
        <f t="shared" si="24"/>
        <v/>
      </c>
      <c r="AK25" s="49" t="str">
        <f t="shared" si="25"/>
        <v/>
      </c>
      <c r="AL25" s="49" t="str">
        <f t="shared" si="26"/>
        <v/>
      </c>
      <c r="AM25" s="49" t="str">
        <f t="shared" si="27"/>
        <v/>
      </c>
      <c r="AN25" s="49" t="str">
        <f t="shared" si="28"/>
        <v/>
      </c>
      <c r="AO25" s="49" t="str">
        <f t="shared" si="29"/>
        <v/>
      </c>
      <c r="AP25" s="50" t="str">
        <f t="shared" si="30"/>
        <v/>
      </c>
      <c r="AQ25" s="50" t="str">
        <f t="shared" si="31"/>
        <v/>
      </c>
      <c r="AR25" s="50" t="str">
        <f t="shared" si="32"/>
        <v/>
      </c>
      <c r="AS25" s="43" t="str">
        <f t="shared" si="33"/>
        <v/>
      </c>
      <c r="AT25" s="49" t="str">
        <f t="shared" si="34"/>
        <v/>
      </c>
      <c r="AU25" s="49" t="str">
        <f t="shared" si="35"/>
        <v/>
      </c>
      <c r="AV25" s="49" t="str">
        <f t="shared" si="36"/>
        <v/>
      </c>
      <c r="AW25" s="49" t="str">
        <f t="shared" si="37"/>
        <v/>
      </c>
      <c r="AX25" s="49" t="str">
        <f t="shared" si="38"/>
        <v/>
      </c>
      <c r="AY25" s="49" t="str">
        <f t="shared" si="39"/>
        <v/>
      </c>
      <c r="AZ25" s="49" t="str">
        <f t="shared" si="40"/>
        <v/>
      </c>
      <c r="BA25" s="49" t="str">
        <f t="shared" si="41"/>
        <v/>
      </c>
      <c r="BB25" s="49" t="str">
        <f t="shared" si="42"/>
        <v/>
      </c>
      <c r="BC25" s="49" t="str">
        <f t="shared" si="43"/>
        <v/>
      </c>
      <c r="BD25" s="49" t="str">
        <f t="shared" si="44"/>
        <v/>
      </c>
      <c r="BE25" s="49" t="str">
        <f t="shared" si="45"/>
        <v/>
      </c>
      <c r="BF25" s="49" t="str">
        <f t="shared" si="46"/>
        <v/>
      </c>
      <c r="BG25" s="49" t="str">
        <f t="shared" si="47"/>
        <v/>
      </c>
      <c r="BH25" s="49" t="str">
        <f t="shared" si="48"/>
        <v/>
      </c>
      <c r="BI25" s="49" t="str">
        <f t="shared" si="49"/>
        <v/>
      </c>
      <c r="BJ25" s="49" t="str">
        <f t="shared" si="50"/>
        <v/>
      </c>
      <c r="BK25" s="49" t="str">
        <f t="shared" si="51"/>
        <v/>
      </c>
      <c r="BL25" s="49" t="str">
        <f t="shared" si="52"/>
        <v/>
      </c>
      <c r="BM25" s="49" t="str">
        <f t="shared" si="53"/>
        <v/>
      </c>
      <c r="BN25" s="49" t="str">
        <f t="shared" si="54"/>
        <v/>
      </c>
      <c r="BO25" s="49" t="str">
        <f t="shared" si="55"/>
        <v/>
      </c>
      <c r="BP25" s="49" t="str">
        <f t="shared" si="56"/>
        <v/>
      </c>
      <c r="BQ25" s="49" t="str">
        <f t="shared" si="57"/>
        <v/>
      </c>
      <c r="BR25" s="49" t="str">
        <f t="shared" si="58"/>
        <v/>
      </c>
      <c r="BS25" s="49" t="str">
        <f t="shared" si="59"/>
        <v/>
      </c>
      <c r="BT25" s="49" t="str">
        <f t="shared" si="60"/>
        <v/>
      </c>
      <c r="BU25" s="49" t="str">
        <f t="shared" si="61"/>
        <v/>
      </c>
      <c r="BV25" s="49" t="str">
        <f t="shared" si="62"/>
        <v/>
      </c>
      <c r="BW25" s="49" t="str">
        <f t="shared" si="63"/>
        <v/>
      </c>
      <c r="BX25" s="49" t="str">
        <f t="shared" si="64"/>
        <v/>
      </c>
      <c r="BY25" s="49" t="str">
        <f t="shared" si="65"/>
        <v/>
      </c>
      <c r="BZ25" s="49" t="str">
        <f t="shared" si="66"/>
        <v/>
      </c>
      <c r="CA25" s="49" t="str">
        <f t="shared" si="67"/>
        <v/>
      </c>
      <c r="CB25" s="49" t="str">
        <f t="shared" si="68"/>
        <v/>
      </c>
    </row>
    <row r="26" spans="1:80" x14ac:dyDescent="0.2">
      <c r="A26" s="43" t="str">
        <f>IF(Perioade!$A26="","",Perioade!$A26)</f>
        <v/>
      </c>
      <c r="B26" s="43" t="str">
        <f>IF($A26="","",IF(OR(Perioade!$G26="Preț fix",Perioade!$G26="Personalizat"),Perioade!$G26,"Standard"))</f>
        <v/>
      </c>
      <c r="C26" s="47" t="str">
        <f>IF($A26="","",N(Perioade!$F26))</f>
        <v/>
      </c>
      <c r="D26" s="48" t="str">
        <f>IF($A26="","",IF(2&lt;$C26,"",IF($B26="Preț fix",IF(2=$C26,0,""),IF($B26="Standard",INDEX(p_Std,1,1),IF(Perioade!$H26="",IF(2=$C26,0,""),N(Perioade!$H26))))))</f>
        <v/>
      </c>
      <c r="E26" s="48" t="str">
        <f>IF($A26="","",IF(3&lt;$C26,"",IF($B26="Preț fix",IF(3=$C26,0,""),IF($B26="Standard",INDEX(p_Std,1,2),IF(Perioade!$I26="",IF(3=$C26,0,""),N(Perioade!$I26))))))</f>
        <v/>
      </c>
      <c r="F26" s="48" t="str">
        <f>IF($A26="","",IF(4&lt;$C26,"",IF($B26="Preț fix",IF(4=$C26,0,""),IF($B26="Standard",INDEX(p_Std,1,3),IF(Perioade!$J26="",IF(4=$C26,0,""),N(Perioade!$J26))))))</f>
        <v/>
      </c>
      <c r="G26" s="48" t="str">
        <f>IF($A26="","",IF(5&lt;$C26,"",IF($B26="Preț fix",IF(5=$C26,0,""),IF($B26="Standard",INDEX(p_Std,1,4),IF(Perioade!$K26="",IF(5=$C26,0,""),N(Perioade!$K26))))))</f>
        <v/>
      </c>
      <c r="H26" s="48" t="str">
        <f>IF($A26="","",IF(6&lt;$C26,"",IF($B26="Preț fix",IF(6=$C26,0,""),IF($B26="Standard",INDEX(p_Std,1,5),IF(Perioade!$L26="",IF(6=$C26,0,""),N(Perioade!$L26))))))</f>
        <v/>
      </c>
      <c r="I26" s="48" t="str">
        <f>IF($A26="","",IF(7&lt;$C26,"",IF($B26="Preț fix",IF(7=$C26,0,""),IF($B26="Standard",INDEX(p_Std,1,6),IF(Perioade!$M26="",IF(7=$C26,0,""),N(Perioade!$M26))))))</f>
        <v/>
      </c>
      <c r="J26" s="48" t="str">
        <f t="shared" si="0"/>
        <v/>
      </c>
      <c r="K26" s="48" t="str">
        <f t="shared" si="1"/>
        <v/>
      </c>
      <c r="L26" s="48" t="str">
        <f t="shared" si="2"/>
        <v/>
      </c>
      <c r="M26" s="48" t="str">
        <f t="shared" si="3"/>
        <v/>
      </c>
      <c r="N26" s="48" t="str">
        <f t="shared" si="4"/>
        <v/>
      </c>
      <c r="O26" s="48" t="str">
        <f t="shared" si="5"/>
        <v/>
      </c>
      <c r="P26" s="47" t="str">
        <f t="shared" si="6"/>
        <v/>
      </c>
      <c r="Q26" s="48" t="str">
        <f t="shared" si="7"/>
        <v/>
      </c>
      <c r="R26" s="49" t="str">
        <f>IF($A26="","",N(Perioade!$E26))</f>
        <v/>
      </c>
      <c r="S26" s="49" t="str">
        <f t="shared" si="8"/>
        <v/>
      </c>
      <c r="T26" s="49" t="str">
        <f t="shared" si="9"/>
        <v/>
      </c>
      <c r="U26" s="49" t="str">
        <f t="shared" si="10"/>
        <v/>
      </c>
      <c r="V26" s="50" t="str">
        <f t="shared" si="11"/>
        <v/>
      </c>
      <c r="W26" s="49" t="str">
        <f t="shared" si="12"/>
        <v/>
      </c>
      <c r="X26" s="48" t="str">
        <f t="shared" si="13"/>
        <v/>
      </c>
      <c r="Y26" s="49" t="str">
        <f t="shared" si="14"/>
        <v/>
      </c>
      <c r="Z26" s="50" t="str">
        <f t="shared" si="15"/>
        <v/>
      </c>
      <c r="AA26" s="49" t="str">
        <f t="shared" si="16"/>
        <v/>
      </c>
      <c r="AB26" s="48" t="str">
        <f t="shared" si="17"/>
        <v/>
      </c>
      <c r="AC26" s="49" t="str">
        <f t="shared" si="18"/>
        <v/>
      </c>
      <c r="AD26" s="49" t="str">
        <f t="shared" si="19"/>
        <v/>
      </c>
      <c r="AE26" s="49" t="str">
        <f>IF($A26="","",IF(N(Perioade!$O26)&gt;0,CEILING(MAX(AD26,AC26*(1-a_PondSug)+N(Perioade!$O26)*a_PondSug),a_Rot),CEILING(AC26,a_Rot)))</f>
        <v/>
      </c>
      <c r="AF26" s="50" t="str">
        <f t="shared" si="20"/>
        <v/>
      </c>
      <c r="AG26" s="49" t="str">
        <f t="shared" si="21"/>
        <v/>
      </c>
      <c r="AH26" s="48" t="str">
        <f t="shared" si="22"/>
        <v/>
      </c>
      <c r="AI26" s="49" t="str">
        <f t="shared" si="23"/>
        <v/>
      </c>
      <c r="AJ26" s="49" t="str">
        <f t="shared" si="24"/>
        <v/>
      </c>
      <c r="AK26" s="49" t="str">
        <f t="shared" si="25"/>
        <v/>
      </c>
      <c r="AL26" s="49" t="str">
        <f t="shared" si="26"/>
        <v/>
      </c>
      <c r="AM26" s="49" t="str">
        <f t="shared" si="27"/>
        <v/>
      </c>
      <c r="AN26" s="49" t="str">
        <f t="shared" si="28"/>
        <v/>
      </c>
      <c r="AO26" s="49" t="str">
        <f t="shared" si="29"/>
        <v/>
      </c>
      <c r="AP26" s="50" t="str">
        <f t="shared" si="30"/>
        <v/>
      </c>
      <c r="AQ26" s="50" t="str">
        <f t="shared" si="31"/>
        <v/>
      </c>
      <c r="AR26" s="50" t="str">
        <f t="shared" si="32"/>
        <v/>
      </c>
      <c r="AS26" s="43" t="str">
        <f t="shared" si="33"/>
        <v/>
      </c>
      <c r="AT26" s="49" t="str">
        <f t="shared" si="34"/>
        <v/>
      </c>
      <c r="AU26" s="49" t="str">
        <f t="shared" si="35"/>
        <v/>
      </c>
      <c r="AV26" s="49" t="str">
        <f t="shared" si="36"/>
        <v/>
      </c>
      <c r="AW26" s="49" t="str">
        <f t="shared" si="37"/>
        <v/>
      </c>
      <c r="AX26" s="49" t="str">
        <f t="shared" si="38"/>
        <v/>
      </c>
      <c r="AY26" s="49" t="str">
        <f t="shared" si="39"/>
        <v/>
      </c>
      <c r="AZ26" s="49" t="str">
        <f t="shared" si="40"/>
        <v/>
      </c>
      <c r="BA26" s="49" t="str">
        <f t="shared" si="41"/>
        <v/>
      </c>
      <c r="BB26" s="49" t="str">
        <f t="shared" si="42"/>
        <v/>
      </c>
      <c r="BC26" s="49" t="str">
        <f t="shared" si="43"/>
        <v/>
      </c>
      <c r="BD26" s="49" t="str">
        <f t="shared" si="44"/>
        <v/>
      </c>
      <c r="BE26" s="49" t="str">
        <f t="shared" si="45"/>
        <v/>
      </c>
      <c r="BF26" s="49" t="str">
        <f t="shared" si="46"/>
        <v/>
      </c>
      <c r="BG26" s="49" t="str">
        <f t="shared" si="47"/>
        <v/>
      </c>
      <c r="BH26" s="49" t="str">
        <f t="shared" si="48"/>
        <v/>
      </c>
      <c r="BI26" s="49" t="str">
        <f t="shared" si="49"/>
        <v/>
      </c>
      <c r="BJ26" s="49" t="str">
        <f t="shared" si="50"/>
        <v/>
      </c>
      <c r="BK26" s="49" t="str">
        <f t="shared" si="51"/>
        <v/>
      </c>
      <c r="BL26" s="49" t="str">
        <f t="shared" si="52"/>
        <v/>
      </c>
      <c r="BM26" s="49" t="str">
        <f t="shared" si="53"/>
        <v/>
      </c>
      <c r="BN26" s="49" t="str">
        <f t="shared" si="54"/>
        <v/>
      </c>
      <c r="BO26" s="49" t="str">
        <f t="shared" si="55"/>
        <v/>
      </c>
      <c r="BP26" s="49" t="str">
        <f t="shared" si="56"/>
        <v/>
      </c>
      <c r="BQ26" s="49" t="str">
        <f t="shared" si="57"/>
        <v/>
      </c>
      <c r="BR26" s="49" t="str">
        <f t="shared" si="58"/>
        <v/>
      </c>
      <c r="BS26" s="49" t="str">
        <f t="shared" si="59"/>
        <v/>
      </c>
      <c r="BT26" s="49" t="str">
        <f t="shared" si="60"/>
        <v/>
      </c>
      <c r="BU26" s="49" t="str">
        <f t="shared" si="61"/>
        <v/>
      </c>
      <c r="BV26" s="49" t="str">
        <f t="shared" si="62"/>
        <v/>
      </c>
      <c r="BW26" s="49" t="str">
        <f t="shared" si="63"/>
        <v/>
      </c>
      <c r="BX26" s="49" t="str">
        <f t="shared" si="64"/>
        <v/>
      </c>
      <c r="BY26" s="49" t="str">
        <f t="shared" si="65"/>
        <v/>
      </c>
      <c r="BZ26" s="49" t="str">
        <f t="shared" si="66"/>
        <v/>
      </c>
      <c r="CA26" s="49" t="str">
        <f t="shared" si="67"/>
        <v/>
      </c>
      <c r="CB26" s="49" t="str">
        <f t="shared" si="68"/>
        <v/>
      </c>
    </row>
    <row r="27" spans="1:80" x14ac:dyDescent="0.2">
      <c r="A27" s="43" t="str">
        <f>IF(Perioade!$A27="","",Perioade!$A27)</f>
        <v/>
      </c>
      <c r="B27" s="43" t="str">
        <f>IF($A27="","",IF(OR(Perioade!$G27="Preț fix",Perioade!$G27="Personalizat"),Perioade!$G27,"Standard"))</f>
        <v/>
      </c>
      <c r="C27" s="47" t="str">
        <f>IF($A27="","",N(Perioade!$F27))</f>
        <v/>
      </c>
      <c r="D27" s="48" t="str">
        <f>IF($A27="","",IF(2&lt;$C27,"",IF($B27="Preț fix",IF(2=$C27,0,""),IF($B27="Standard",INDEX(p_Std,1,1),IF(Perioade!$H27="",IF(2=$C27,0,""),N(Perioade!$H27))))))</f>
        <v/>
      </c>
      <c r="E27" s="48" t="str">
        <f>IF($A27="","",IF(3&lt;$C27,"",IF($B27="Preț fix",IF(3=$C27,0,""),IF($B27="Standard",INDEX(p_Std,1,2),IF(Perioade!$I27="",IF(3=$C27,0,""),N(Perioade!$I27))))))</f>
        <v/>
      </c>
      <c r="F27" s="48" t="str">
        <f>IF($A27="","",IF(4&lt;$C27,"",IF($B27="Preț fix",IF(4=$C27,0,""),IF($B27="Standard",INDEX(p_Std,1,3),IF(Perioade!$J27="",IF(4=$C27,0,""),N(Perioade!$J27))))))</f>
        <v/>
      </c>
      <c r="G27" s="48" t="str">
        <f>IF($A27="","",IF(5&lt;$C27,"",IF($B27="Preț fix",IF(5=$C27,0,""),IF($B27="Standard",INDEX(p_Std,1,4),IF(Perioade!$K27="",IF(5=$C27,0,""),N(Perioade!$K27))))))</f>
        <v/>
      </c>
      <c r="H27" s="48" t="str">
        <f>IF($A27="","",IF(6&lt;$C27,"",IF($B27="Preț fix",IF(6=$C27,0,""),IF($B27="Standard",INDEX(p_Std,1,5),IF(Perioade!$L27="",IF(6=$C27,0,""),N(Perioade!$L27))))))</f>
        <v/>
      </c>
      <c r="I27" s="48" t="str">
        <f>IF($A27="","",IF(7&lt;$C27,"",IF($B27="Preț fix",IF(7=$C27,0,""),IF($B27="Standard",INDEX(p_Std,1,6),IF(Perioade!$M27="",IF(7=$C27,0,""),N(Perioade!$M27))))))</f>
        <v/>
      </c>
      <c r="J27" s="48" t="str">
        <f t="shared" si="0"/>
        <v/>
      </c>
      <c r="K27" s="48" t="str">
        <f t="shared" si="1"/>
        <v/>
      </c>
      <c r="L27" s="48" t="str">
        <f t="shared" si="2"/>
        <v/>
      </c>
      <c r="M27" s="48" t="str">
        <f t="shared" si="3"/>
        <v/>
      </c>
      <c r="N27" s="48" t="str">
        <f t="shared" si="4"/>
        <v/>
      </c>
      <c r="O27" s="48" t="str">
        <f t="shared" si="5"/>
        <v/>
      </c>
      <c r="P27" s="47" t="str">
        <f t="shared" si="6"/>
        <v/>
      </c>
      <c r="Q27" s="48" t="str">
        <f t="shared" si="7"/>
        <v/>
      </c>
      <c r="R27" s="49" t="str">
        <f>IF($A27="","",N(Perioade!$E27))</f>
        <v/>
      </c>
      <c r="S27" s="49" t="str">
        <f t="shared" si="8"/>
        <v/>
      </c>
      <c r="T27" s="49" t="str">
        <f t="shared" si="9"/>
        <v/>
      </c>
      <c r="U27" s="49" t="str">
        <f t="shared" si="10"/>
        <v/>
      </c>
      <c r="V27" s="50" t="str">
        <f t="shared" si="11"/>
        <v/>
      </c>
      <c r="W27" s="49" t="str">
        <f t="shared" si="12"/>
        <v/>
      </c>
      <c r="X27" s="48" t="str">
        <f t="shared" si="13"/>
        <v/>
      </c>
      <c r="Y27" s="49" t="str">
        <f t="shared" si="14"/>
        <v/>
      </c>
      <c r="Z27" s="50" t="str">
        <f t="shared" si="15"/>
        <v/>
      </c>
      <c r="AA27" s="49" t="str">
        <f t="shared" si="16"/>
        <v/>
      </c>
      <c r="AB27" s="48" t="str">
        <f t="shared" si="17"/>
        <v/>
      </c>
      <c r="AC27" s="49" t="str">
        <f t="shared" si="18"/>
        <v/>
      </c>
      <c r="AD27" s="49" t="str">
        <f t="shared" si="19"/>
        <v/>
      </c>
      <c r="AE27" s="49" t="str">
        <f>IF($A27="","",IF(N(Perioade!$O27)&gt;0,CEILING(MAX(AD27,AC27*(1-a_PondSug)+N(Perioade!$O27)*a_PondSug),a_Rot),CEILING(AC27,a_Rot)))</f>
        <v/>
      </c>
      <c r="AF27" s="50" t="str">
        <f t="shared" si="20"/>
        <v/>
      </c>
      <c r="AG27" s="49" t="str">
        <f t="shared" si="21"/>
        <v/>
      </c>
      <c r="AH27" s="48" t="str">
        <f t="shared" si="22"/>
        <v/>
      </c>
      <c r="AI27" s="49" t="str">
        <f t="shared" si="23"/>
        <v/>
      </c>
      <c r="AJ27" s="49" t="str">
        <f t="shared" si="24"/>
        <v/>
      </c>
      <c r="AK27" s="49" t="str">
        <f t="shared" si="25"/>
        <v/>
      </c>
      <c r="AL27" s="49" t="str">
        <f t="shared" si="26"/>
        <v/>
      </c>
      <c r="AM27" s="49" t="str">
        <f t="shared" si="27"/>
        <v/>
      </c>
      <c r="AN27" s="49" t="str">
        <f t="shared" si="28"/>
        <v/>
      </c>
      <c r="AO27" s="49" t="str">
        <f t="shared" si="29"/>
        <v/>
      </c>
      <c r="AP27" s="50" t="str">
        <f t="shared" si="30"/>
        <v/>
      </c>
      <c r="AQ27" s="50" t="str">
        <f t="shared" si="31"/>
        <v/>
      </c>
      <c r="AR27" s="50" t="str">
        <f t="shared" si="32"/>
        <v/>
      </c>
      <c r="AS27" s="43" t="str">
        <f t="shared" si="33"/>
        <v/>
      </c>
      <c r="AT27" s="49" t="str">
        <f t="shared" si="34"/>
        <v/>
      </c>
      <c r="AU27" s="49" t="str">
        <f t="shared" si="35"/>
        <v/>
      </c>
      <c r="AV27" s="49" t="str">
        <f t="shared" si="36"/>
        <v/>
      </c>
      <c r="AW27" s="49" t="str">
        <f t="shared" si="37"/>
        <v/>
      </c>
      <c r="AX27" s="49" t="str">
        <f t="shared" si="38"/>
        <v/>
      </c>
      <c r="AY27" s="49" t="str">
        <f t="shared" si="39"/>
        <v/>
      </c>
      <c r="AZ27" s="49" t="str">
        <f t="shared" si="40"/>
        <v/>
      </c>
      <c r="BA27" s="49" t="str">
        <f t="shared" si="41"/>
        <v/>
      </c>
      <c r="BB27" s="49" t="str">
        <f t="shared" si="42"/>
        <v/>
      </c>
      <c r="BC27" s="49" t="str">
        <f t="shared" si="43"/>
        <v/>
      </c>
      <c r="BD27" s="49" t="str">
        <f t="shared" si="44"/>
        <v/>
      </c>
      <c r="BE27" s="49" t="str">
        <f t="shared" si="45"/>
        <v/>
      </c>
      <c r="BF27" s="49" t="str">
        <f t="shared" si="46"/>
        <v/>
      </c>
      <c r="BG27" s="49" t="str">
        <f t="shared" si="47"/>
        <v/>
      </c>
      <c r="BH27" s="49" t="str">
        <f t="shared" si="48"/>
        <v/>
      </c>
      <c r="BI27" s="49" t="str">
        <f t="shared" si="49"/>
        <v/>
      </c>
      <c r="BJ27" s="49" t="str">
        <f t="shared" si="50"/>
        <v/>
      </c>
      <c r="BK27" s="49" t="str">
        <f t="shared" si="51"/>
        <v/>
      </c>
      <c r="BL27" s="49" t="str">
        <f t="shared" si="52"/>
        <v/>
      </c>
      <c r="BM27" s="49" t="str">
        <f t="shared" si="53"/>
        <v/>
      </c>
      <c r="BN27" s="49" t="str">
        <f t="shared" si="54"/>
        <v/>
      </c>
      <c r="BO27" s="49" t="str">
        <f t="shared" si="55"/>
        <v/>
      </c>
      <c r="BP27" s="49" t="str">
        <f t="shared" si="56"/>
        <v/>
      </c>
      <c r="BQ27" s="49" t="str">
        <f t="shared" si="57"/>
        <v/>
      </c>
      <c r="BR27" s="49" t="str">
        <f t="shared" si="58"/>
        <v/>
      </c>
      <c r="BS27" s="49" t="str">
        <f t="shared" si="59"/>
        <v/>
      </c>
      <c r="BT27" s="49" t="str">
        <f t="shared" si="60"/>
        <v/>
      </c>
      <c r="BU27" s="49" t="str">
        <f t="shared" si="61"/>
        <v/>
      </c>
      <c r="BV27" s="49" t="str">
        <f t="shared" si="62"/>
        <v/>
      </c>
      <c r="BW27" s="49" t="str">
        <f t="shared" si="63"/>
        <v/>
      </c>
      <c r="BX27" s="49" t="str">
        <f t="shared" si="64"/>
        <v/>
      </c>
      <c r="BY27" s="49" t="str">
        <f t="shared" si="65"/>
        <v/>
      </c>
      <c r="BZ27" s="49" t="str">
        <f t="shared" si="66"/>
        <v/>
      </c>
      <c r="CA27" s="49" t="str">
        <f t="shared" si="67"/>
        <v/>
      </c>
      <c r="CB27" s="49" t="str">
        <f t="shared" si="68"/>
        <v/>
      </c>
    </row>
    <row r="28" spans="1:80" x14ac:dyDescent="0.2">
      <c r="A28" s="43" t="str">
        <f>IF(Perioade!$A28="","",Perioade!$A28)</f>
        <v/>
      </c>
      <c r="B28" s="43" t="str">
        <f>IF($A28="","",IF(OR(Perioade!$G28="Preț fix",Perioade!$G28="Personalizat"),Perioade!$G28,"Standard"))</f>
        <v/>
      </c>
      <c r="C28" s="47" t="str">
        <f>IF($A28="","",N(Perioade!$F28))</f>
        <v/>
      </c>
      <c r="D28" s="48" t="str">
        <f>IF($A28="","",IF(2&lt;$C28,"",IF($B28="Preț fix",IF(2=$C28,0,""),IF($B28="Standard",INDEX(p_Std,1,1),IF(Perioade!$H28="",IF(2=$C28,0,""),N(Perioade!$H28))))))</f>
        <v/>
      </c>
      <c r="E28" s="48" t="str">
        <f>IF($A28="","",IF(3&lt;$C28,"",IF($B28="Preț fix",IF(3=$C28,0,""),IF($B28="Standard",INDEX(p_Std,1,2),IF(Perioade!$I28="",IF(3=$C28,0,""),N(Perioade!$I28))))))</f>
        <v/>
      </c>
      <c r="F28" s="48" t="str">
        <f>IF($A28="","",IF(4&lt;$C28,"",IF($B28="Preț fix",IF(4=$C28,0,""),IF($B28="Standard",INDEX(p_Std,1,3),IF(Perioade!$J28="",IF(4=$C28,0,""),N(Perioade!$J28))))))</f>
        <v/>
      </c>
      <c r="G28" s="48" t="str">
        <f>IF($A28="","",IF(5&lt;$C28,"",IF($B28="Preț fix",IF(5=$C28,0,""),IF($B28="Standard",INDEX(p_Std,1,4),IF(Perioade!$K28="",IF(5=$C28,0,""),N(Perioade!$K28))))))</f>
        <v/>
      </c>
      <c r="H28" s="48" t="str">
        <f>IF($A28="","",IF(6&lt;$C28,"",IF($B28="Preț fix",IF(6=$C28,0,""),IF($B28="Standard",INDEX(p_Std,1,5),IF(Perioade!$L28="",IF(6=$C28,0,""),N(Perioade!$L28))))))</f>
        <v/>
      </c>
      <c r="I28" s="48" t="str">
        <f>IF($A28="","",IF(7&lt;$C28,"",IF($B28="Preț fix",IF(7=$C28,0,""),IF($B28="Standard",INDEX(p_Std,1,6),IF(Perioade!$M28="",IF(7=$C28,0,""),N(Perioade!$M28))))))</f>
        <v/>
      </c>
      <c r="J28" s="48" t="str">
        <f t="shared" si="0"/>
        <v/>
      </c>
      <c r="K28" s="48" t="str">
        <f t="shared" si="1"/>
        <v/>
      </c>
      <c r="L28" s="48" t="str">
        <f t="shared" si="2"/>
        <v/>
      </c>
      <c r="M28" s="48" t="str">
        <f t="shared" si="3"/>
        <v/>
      </c>
      <c r="N28" s="48" t="str">
        <f t="shared" si="4"/>
        <v/>
      </c>
      <c r="O28" s="48" t="str">
        <f t="shared" si="5"/>
        <v/>
      </c>
      <c r="P28" s="47" t="str">
        <f t="shared" si="6"/>
        <v/>
      </c>
      <c r="Q28" s="48" t="str">
        <f t="shared" si="7"/>
        <v/>
      </c>
      <c r="R28" s="49" t="str">
        <f>IF($A28="","",N(Perioade!$E28))</f>
        <v/>
      </c>
      <c r="S28" s="49" t="str">
        <f t="shared" si="8"/>
        <v/>
      </c>
      <c r="T28" s="49" t="str">
        <f t="shared" si="9"/>
        <v/>
      </c>
      <c r="U28" s="49" t="str">
        <f t="shared" si="10"/>
        <v/>
      </c>
      <c r="V28" s="50" t="str">
        <f t="shared" si="11"/>
        <v/>
      </c>
      <c r="W28" s="49" t="str">
        <f t="shared" si="12"/>
        <v/>
      </c>
      <c r="X28" s="48" t="str">
        <f t="shared" si="13"/>
        <v/>
      </c>
      <c r="Y28" s="49" t="str">
        <f t="shared" si="14"/>
        <v/>
      </c>
      <c r="Z28" s="50" t="str">
        <f t="shared" si="15"/>
        <v/>
      </c>
      <c r="AA28" s="49" t="str">
        <f t="shared" si="16"/>
        <v/>
      </c>
      <c r="AB28" s="48" t="str">
        <f t="shared" si="17"/>
        <v/>
      </c>
      <c r="AC28" s="49" t="str">
        <f t="shared" si="18"/>
        <v/>
      </c>
      <c r="AD28" s="49" t="str">
        <f t="shared" si="19"/>
        <v/>
      </c>
      <c r="AE28" s="49" t="str">
        <f>IF($A28="","",IF(N(Perioade!$O28)&gt;0,CEILING(MAX(AD28,AC28*(1-a_PondSug)+N(Perioade!$O28)*a_PondSug),a_Rot),CEILING(AC28,a_Rot)))</f>
        <v/>
      </c>
      <c r="AF28" s="50" t="str">
        <f t="shared" si="20"/>
        <v/>
      </c>
      <c r="AG28" s="49" t="str">
        <f t="shared" si="21"/>
        <v/>
      </c>
      <c r="AH28" s="48" t="str">
        <f t="shared" si="22"/>
        <v/>
      </c>
      <c r="AI28" s="49" t="str">
        <f t="shared" si="23"/>
        <v/>
      </c>
      <c r="AJ28" s="49" t="str">
        <f t="shared" si="24"/>
        <v/>
      </c>
      <c r="AK28" s="49" t="str">
        <f t="shared" si="25"/>
        <v/>
      </c>
      <c r="AL28" s="49" t="str">
        <f t="shared" si="26"/>
        <v/>
      </c>
      <c r="AM28" s="49" t="str">
        <f t="shared" si="27"/>
        <v/>
      </c>
      <c r="AN28" s="49" t="str">
        <f t="shared" si="28"/>
        <v/>
      </c>
      <c r="AO28" s="49" t="str">
        <f t="shared" si="29"/>
        <v/>
      </c>
      <c r="AP28" s="50" t="str">
        <f t="shared" si="30"/>
        <v/>
      </c>
      <c r="AQ28" s="50" t="str">
        <f t="shared" si="31"/>
        <v/>
      </c>
      <c r="AR28" s="50" t="str">
        <f t="shared" si="32"/>
        <v/>
      </c>
      <c r="AS28" s="43" t="str">
        <f t="shared" si="33"/>
        <v/>
      </c>
      <c r="AT28" s="49" t="str">
        <f t="shared" si="34"/>
        <v/>
      </c>
      <c r="AU28" s="49" t="str">
        <f t="shared" si="35"/>
        <v/>
      </c>
      <c r="AV28" s="49" t="str">
        <f t="shared" si="36"/>
        <v/>
      </c>
      <c r="AW28" s="49" t="str">
        <f t="shared" si="37"/>
        <v/>
      </c>
      <c r="AX28" s="49" t="str">
        <f t="shared" si="38"/>
        <v/>
      </c>
      <c r="AY28" s="49" t="str">
        <f t="shared" si="39"/>
        <v/>
      </c>
      <c r="AZ28" s="49" t="str">
        <f t="shared" si="40"/>
        <v/>
      </c>
      <c r="BA28" s="49" t="str">
        <f t="shared" si="41"/>
        <v/>
      </c>
      <c r="BB28" s="49" t="str">
        <f t="shared" si="42"/>
        <v/>
      </c>
      <c r="BC28" s="49" t="str">
        <f t="shared" si="43"/>
        <v/>
      </c>
      <c r="BD28" s="49" t="str">
        <f t="shared" si="44"/>
        <v/>
      </c>
      <c r="BE28" s="49" t="str">
        <f t="shared" si="45"/>
        <v/>
      </c>
      <c r="BF28" s="49" t="str">
        <f t="shared" si="46"/>
        <v/>
      </c>
      <c r="BG28" s="49" t="str">
        <f t="shared" si="47"/>
        <v/>
      </c>
      <c r="BH28" s="49" t="str">
        <f t="shared" si="48"/>
        <v/>
      </c>
      <c r="BI28" s="49" t="str">
        <f t="shared" si="49"/>
        <v/>
      </c>
      <c r="BJ28" s="49" t="str">
        <f t="shared" si="50"/>
        <v/>
      </c>
      <c r="BK28" s="49" t="str">
        <f t="shared" si="51"/>
        <v/>
      </c>
      <c r="BL28" s="49" t="str">
        <f t="shared" si="52"/>
        <v/>
      </c>
      <c r="BM28" s="49" t="str">
        <f t="shared" si="53"/>
        <v/>
      </c>
      <c r="BN28" s="49" t="str">
        <f t="shared" si="54"/>
        <v/>
      </c>
      <c r="BO28" s="49" t="str">
        <f t="shared" si="55"/>
        <v/>
      </c>
      <c r="BP28" s="49" t="str">
        <f t="shared" si="56"/>
        <v/>
      </c>
      <c r="BQ28" s="49" t="str">
        <f t="shared" si="57"/>
        <v/>
      </c>
      <c r="BR28" s="49" t="str">
        <f t="shared" si="58"/>
        <v/>
      </c>
      <c r="BS28" s="49" t="str">
        <f t="shared" si="59"/>
        <v/>
      </c>
      <c r="BT28" s="49" t="str">
        <f t="shared" si="60"/>
        <v/>
      </c>
      <c r="BU28" s="49" t="str">
        <f t="shared" si="61"/>
        <v/>
      </c>
      <c r="BV28" s="49" t="str">
        <f t="shared" si="62"/>
        <v/>
      </c>
      <c r="BW28" s="49" t="str">
        <f t="shared" si="63"/>
        <v/>
      </c>
      <c r="BX28" s="49" t="str">
        <f t="shared" si="64"/>
        <v/>
      </c>
      <c r="BY28" s="49" t="str">
        <f t="shared" si="65"/>
        <v/>
      </c>
      <c r="BZ28" s="49" t="str">
        <f t="shared" si="66"/>
        <v/>
      </c>
      <c r="CA28" s="49" t="str">
        <f t="shared" si="67"/>
        <v/>
      </c>
      <c r="CB28" s="49" t="str">
        <f t="shared" si="68"/>
        <v/>
      </c>
    </row>
    <row r="29" spans="1:80" x14ac:dyDescent="0.2">
      <c r="A29" s="43" t="str">
        <f>IF(Perioade!$A29="","",Perioade!$A29)</f>
        <v/>
      </c>
      <c r="B29" s="43" t="str">
        <f>IF($A29="","",IF(OR(Perioade!$G29="Preț fix",Perioade!$G29="Personalizat"),Perioade!$G29,"Standard"))</f>
        <v/>
      </c>
      <c r="C29" s="47" t="str">
        <f>IF($A29="","",N(Perioade!$F29))</f>
        <v/>
      </c>
      <c r="D29" s="48" t="str">
        <f>IF($A29="","",IF(2&lt;$C29,"",IF($B29="Preț fix",IF(2=$C29,0,""),IF($B29="Standard",INDEX(p_Std,1,1),IF(Perioade!$H29="",IF(2=$C29,0,""),N(Perioade!$H29))))))</f>
        <v/>
      </c>
      <c r="E29" s="48" t="str">
        <f>IF($A29="","",IF(3&lt;$C29,"",IF($B29="Preț fix",IF(3=$C29,0,""),IF($B29="Standard",INDEX(p_Std,1,2),IF(Perioade!$I29="",IF(3=$C29,0,""),N(Perioade!$I29))))))</f>
        <v/>
      </c>
      <c r="F29" s="48" t="str">
        <f>IF($A29="","",IF(4&lt;$C29,"",IF($B29="Preț fix",IF(4=$C29,0,""),IF($B29="Standard",INDEX(p_Std,1,3),IF(Perioade!$J29="",IF(4=$C29,0,""),N(Perioade!$J29))))))</f>
        <v/>
      </c>
      <c r="G29" s="48" t="str">
        <f>IF($A29="","",IF(5&lt;$C29,"",IF($B29="Preț fix",IF(5=$C29,0,""),IF($B29="Standard",INDEX(p_Std,1,4),IF(Perioade!$K29="",IF(5=$C29,0,""),N(Perioade!$K29))))))</f>
        <v/>
      </c>
      <c r="H29" s="48" t="str">
        <f>IF($A29="","",IF(6&lt;$C29,"",IF($B29="Preț fix",IF(6=$C29,0,""),IF($B29="Standard",INDEX(p_Std,1,5),IF(Perioade!$L29="",IF(6=$C29,0,""),N(Perioade!$L29))))))</f>
        <v/>
      </c>
      <c r="I29" s="48" t="str">
        <f>IF($A29="","",IF(7&lt;$C29,"",IF($B29="Preț fix",IF(7=$C29,0,""),IF($B29="Standard",INDEX(p_Std,1,6),IF(Perioade!$M29="",IF(7=$C29,0,""),N(Perioade!$M29))))))</f>
        <v/>
      </c>
      <c r="J29" s="48" t="str">
        <f t="shared" si="0"/>
        <v/>
      </c>
      <c r="K29" s="48" t="str">
        <f t="shared" si="1"/>
        <v/>
      </c>
      <c r="L29" s="48" t="str">
        <f t="shared" si="2"/>
        <v/>
      </c>
      <c r="M29" s="48" t="str">
        <f t="shared" si="3"/>
        <v/>
      </c>
      <c r="N29" s="48" t="str">
        <f t="shared" si="4"/>
        <v/>
      </c>
      <c r="O29" s="48" t="str">
        <f t="shared" si="5"/>
        <v/>
      </c>
      <c r="P29" s="47" t="str">
        <f t="shared" si="6"/>
        <v/>
      </c>
      <c r="Q29" s="48" t="str">
        <f t="shared" si="7"/>
        <v/>
      </c>
      <c r="R29" s="49" t="str">
        <f>IF($A29="","",N(Perioade!$E29))</f>
        <v/>
      </c>
      <c r="S29" s="49" t="str">
        <f t="shared" si="8"/>
        <v/>
      </c>
      <c r="T29" s="49" t="str">
        <f t="shared" si="9"/>
        <v/>
      </c>
      <c r="U29" s="49" t="str">
        <f t="shared" si="10"/>
        <v/>
      </c>
      <c r="V29" s="50" t="str">
        <f t="shared" si="11"/>
        <v/>
      </c>
      <c r="W29" s="49" t="str">
        <f t="shared" si="12"/>
        <v/>
      </c>
      <c r="X29" s="48" t="str">
        <f t="shared" si="13"/>
        <v/>
      </c>
      <c r="Y29" s="49" t="str">
        <f t="shared" si="14"/>
        <v/>
      </c>
      <c r="Z29" s="50" t="str">
        <f t="shared" si="15"/>
        <v/>
      </c>
      <c r="AA29" s="49" t="str">
        <f t="shared" si="16"/>
        <v/>
      </c>
      <c r="AB29" s="48" t="str">
        <f t="shared" si="17"/>
        <v/>
      </c>
      <c r="AC29" s="49" t="str">
        <f t="shared" si="18"/>
        <v/>
      </c>
      <c r="AD29" s="49" t="str">
        <f t="shared" si="19"/>
        <v/>
      </c>
      <c r="AE29" s="49" t="str">
        <f>IF($A29="","",IF(N(Perioade!$O29)&gt;0,CEILING(MAX(AD29,AC29*(1-a_PondSug)+N(Perioade!$O29)*a_PondSug),a_Rot),CEILING(AC29,a_Rot)))</f>
        <v/>
      </c>
      <c r="AF29" s="50" t="str">
        <f t="shared" si="20"/>
        <v/>
      </c>
      <c r="AG29" s="49" t="str">
        <f t="shared" si="21"/>
        <v/>
      </c>
      <c r="AH29" s="48" t="str">
        <f t="shared" si="22"/>
        <v/>
      </c>
      <c r="AI29" s="49" t="str">
        <f t="shared" si="23"/>
        <v/>
      </c>
      <c r="AJ29" s="49" t="str">
        <f t="shared" si="24"/>
        <v/>
      </c>
      <c r="AK29" s="49" t="str">
        <f t="shared" si="25"/>
        <v/>
      </c>
      <c r="AL29" s="49" t="str">
        <f t="shared" si="26"/>
        <v/>
      </c>
      <c r="AM29" s="49" t="str">
        <f t="shared" si="27"/>
        <v/>
      </c>
      <c r="AN29" s="49" t="str">
        <f t="shared" si="28"/>
        <v/>
      </c>
      <c r="AO29" s="49" t="str">
        <f t="shared" si="29"/>
        <v/>
      </c>
      <c r="AP29" s="50" t="str">
        <f t="shared" si="30"/>
        <v/>
      </c>
      <c r="AQ29" s="50" t="str">
        <f t="shared" si="31"/>
        <v/>
      </c>
      <c r="AR29" s="50" t="str">
        <f t="shared" si="32"/>
        <v/>
      </c>
      <c r="AS29" s="43" t="str">
        <f t="shared" si="33"/>
        <v/>
      </c>
      <c r="AT29" s="49" t="str">
        <f t="shared" si="34"/>
        <v/>
      </c>
      <c r="AU29" s="49" t="str">
        <f t="shared" si="35"/>
        <v/>
      </c>
      <c r="AV29" s="49" t="str">
        <f t="shared" si="36"/>
        <v/>
      </c>
      <c r="AW29" s="49" t="str">
        <f t="shared" si="37"/>
        <v/>
      </c>
      <c r="AX29" s="49" t="str">
        <f t="shared" si="38"/>
        <v/>
      </c>
      <c r="AY29" s="49" t="str">
        <f t="shared" si="39"/>
        <v/>
      </c>
      <c r="AZ29" s="49" t="str">
        <f t="shared" si="40"/>
        <v/>
      </c>
      <c r="BA29" s="49" t="str">
        <f t="shared" si="41"/>
        <v/>
      </c>
      <c r="BB29" s="49" t="str">
        <f t="shared" si="42"/>
        <v/>
      </c>
      <c r="BC29" s="49" t="str">
        <f t="shared" si="43"/>
        <v/>
      </c>
      <c r="BD29" s="49" t="str">
        <f t="shared" si="44"/>
        <v/>
      </c>
      <c r="BE29" s="49" t="str">
        <f t="shared" si="45"/>
        <v/>
      </c>
      <c r="BF29" s="49" t="str">
        <f t="shared" si="46"/>
        <v/>
      </c>
      <c r="BG29" s="49" t="str">
        <f t="shared" si="47"/>
        <v/>
      </c>
      <c r="BH29" s="49" t="str">
        <f t="shared" si="48"/>
        <v/>
      </c>
      <c r="BI29" s="49" t="str">
        <f t="shared" si="49"/>
        <v/>
      </c>
      <c r="BJ29" s="49" t="str">
        <f t="shared" si="50"/>
        <v/>
      </c>
      <c r="BK29" s="49" t="str">
        <f t="shared" si="51"/>
        <v/>
      </c>
      <c r="BL29" s="49" t="str">
        <f t="shared" si="52"/>
        <v/>
      </c>
      <c r="BM29" s="49" t="str">
        <f t="shared" si="53"/>
        <v/>
      </c>
      <c r="BN29" s="49" t="str">
        <f t="shared" si="54"/>
        <v/>
      </c>
      <c r="BO29" s="49" t="str">
        <f t="shared" si="55"/>
        <v/>
      </c>
      <c r="BP29" s="49" t="str">
        <f t="shared" si="56"/>
        <v/>
      </c>
      <c r="BQ29" s="49" t="str">
        <f t="shared" si="57"/>
        <v/>
      </c>
      <c r="BR29" s="49" t="str">
        <f t="shared" si="58"/>
        <v/>
      </c>
      <c r="BS29" s="49" t="str">
        <f t="shared" si="59"/>
        <v/>
      </c>
      <c r="BT29" s="49" t="str">
        <f t="shared" si="60"/>
        <v/>
      </c>
      <c r="BU29" s="49" t="str">
        <f t="shared" si="61"/>
        <v/>
      </c>
      <c r="BV29" s="49" t="str">
        <f t="shared" si="62"/>
        <v/>
      </c>
      <c r="BW29" s="49" t="str">
        <f t="shared" si="63"/>
        <v/>
      </c>
      <c r="BX29" s="49" t="str">
        <f t="shared" si="64"/>
        <v/>
      </c>
      <c r="BY29" s="49" t="str">
        <f t="shared" si="65"/>
        <v/>
      </c>
      <c r="BZ29" s="49" t="str">
        <f t="shared" si="66"/>
        <v/>
      </c>
      <c r="CA29" s="49" t="str">
        <f t="shared" si="67"/>
        <v/>
      </c>
      <c r="CB29" s="49" t="str">
        <f t="shared" si="68"/>
        <v/>
      </c>
    </row>
    <row r="30" spans="1:80" x14ac:dyDescent="0.2">
      <c r="A30" s="43" t="str">
        <f>IF(Perioade!$A30="","",Perioade!$A30)</f>
        <v/>
      </c>
      <c r="B30" s="43" t="str">
        <f>IF($A30="","",IF(OR(Perioade!$G30="Preț fix",Perioade!$G30="Personalizat"),Perioade!$G30,"Standard"))</f>
        <v/>
      </c>
      <c r="C30" s="47" t="str">
        <f>IF($A30="","",N(Perioade!$F30))</f>
        <v/>
      </c>
      <c r="D30" s="48" t="str">
        <f>IF($A30="","",IF(2&lt;$C30,"",IF($B30="Preț fix",IF(2=$C30,0,""),IF($B30="Standard",INDEX(p_Std,1,1),IF(Perioade!$H30="",IF(2=$C30,0,""),N(Perioade!$H30))))))</f>
        <v/>
      </c>
      <c r="E30" s="48" t="str">
        <f>IF($A30="","",IF(3&lt;$C30,"",IF($B30="Preț fix",IF(3=$C30,0,""),IF($B30="Standard",INDEX(p_Std,1,2),IF(Perioade!$I30="",IF(3=$C30,0,""),N(Perioade!$I30))))))</f>
        <v/>
      </c>
      <c r="F30" s="48" t="str">
        <f>IF($A30="","",IF(4&lt;$C30,"",IF($B30="Preț fix",IF(4=$C30,0,""),IF($B30="Standard",INDEX(p_Std,1,3),IF(Perioade!$J30="",IF(4=$C30,0,""),N(Perioade!$J30))))))</f>
        <v/>
      </c>
      <c r="G30" s="48" t="str">
        <f>IF($A30="","",IF(5&lt;$C30,"",IF($B30="Preț fix",IF(5=$C30,0,""),IF($B30="Standard",INDEX(p_Std,1,4),IF(Perioade!$K30="",IF(5=$C30,0,""),N(Perioade!$K30))))))</f>
        <v/>
      </c>
      <c r="H30" s="48" t="str">
        <f>IF($A30="","",IF(6&lt;$C30,"",IF($B30="Preț fix",IF(6=$C30,0,""),IF($B30="Standard",INDEX(p_Std,1,5),IF(Perioade!$L30="",IF(6=$C30,0,""),N(Perioade!$L30))))))</f>
        <v/>
      </c>
      <c r="I30" s="48" t="str">
        <f>IF($A30="","",IF(7&lt;$C30,"",IF($B30="Preț fix",IF(7=$C30,0,""),IF($B30="Standard",INDEX(p_Std,1,6),IF(Perioade!$M30="",IF(7=$C30,0,""),N(Perioade!$M30))))))</f>
        <v/>
      </c>
      <c r="J30" s="48" t="str">
        <f t="shared" si="0"/>
        <v/>
      </c>
      <c r="K30" s="48" t="str">
        <f t="shared" si="1"/>
        <v/>
      </c>
      <c r="L30" s="48" t="str">
        <f t="shared" si="2"/>
        <v/>
      </c>
      <c r="M30" s="48" t="str">
        <f t="shared" si="3"/>
        <v/>
      </c>
      <c r="N30" s="48" t="str">
        <f t="shared" si="4"/>
        <v/>
      </c>
      <c r="O30" s="48" t="str">
        <f t="shared" si="5"/>
        <v/>
      </c>
      <c r="P30" s="47" t="str">
        <f t="shared" si="6"/>
        <v/>
      </c>
      <c r="Q30" s="48" t="str">
        <f t="shared" si="7"/>
        <v/>
      </c>
      <c r="R30" s="49" t="str">
        <f>IF($A30="","",N(Perioade!$E30))</f>
        <v/>
      </c>
      <c r="S30" s="49" t="str">
        <f t="shared" si="8"/>
        <v/>
      </c>
      <c r="T30" s="49" t="str">
        <f t="shared" si="9"/>
        <v/>
      </c>
      <c r="U30" s="49" t="str">
        <f t="shared" si="10"/>
        <v/>
      </c>
      <c r="V30" s="50" t="str">
        <f t="shared" si="11"/>
        <v/>
      </c>
      <c r="W30" s="49" t="str">
        <f t="shared" si="12"/>
        <v/>
      </c>
      <c r="X30" s="48" t="str">
        <f t="shared" si="13"/>
        <v/>
      </c>
      <c r="Y30" s="49" t="str">
        <f t="shared" si="14"/>
        <v/>
      </c>
      <c r="Z30" s="50" t="str">
        <f t="shared" si="15"/>
        <v/>
      </c>
      <c r="AA30" s="49" t="str">
        <f t="shared" si="16"/>
        <v/>
      </c>
      <c r="AB30" s="48" t="str">
        <f t="shared" si="17"/>
        <v/>
      </c>
      <c r="AC30" s="49" t="str">
        <f t="shared" si="18"/>
        <v/>
      </c>
      <c r="AD30" s="49" t="str">
        <f t="shared" si="19"/>
        <v/>
      </c>
      <c r="AE30" s="49" t="str">
        <f>IF($A30="","",IF(N(Perioade!$O30)&gt;0,CEILING(MAX(AD30,AC30*(1-a_PondSug)+N(Perioade!$O30)*a_PondSug),a_Rot),CEILING(AC30,a_Rot)))</f>
        <v/>
      </c>
      <c r="AF30" s="50" t="str">
        <f t="shared" si="20"/>
        <v/>
      </c>
      <c r="AG30" s="49" t="str">
        <f t="shared" si="21"/>
        <v/>
      </c>
      <c r="AH30" s="48" t="str">
        <f t="shared" si="22"/>
        <v/>
      </c>
      <c r="AI30" s="49" t="str">
        <f t="shared" si="23"/>
        <v/>
      </c>
      <c r="AJ30" s="49" t="str">
        <f t="shared" si="24"/>
        <v/>
      </c>
      <c r="AK30" s="49" t="str">
        <f t="shared" si="25"/>
        <v/>
      </c>
      <c r="AL30" s="49" t="str">
        <f t="shared" si="26"/>
        <v/>
      </c>
      <c r="AM30" s="49" t="str">
        <f t="shared" si="27"/>
        <v/>
      </c>
      <c r="AN30" s="49" t="str">
        <f t="shared" si="28"/>
        <v/>
      </c>
      <c r="AO30" s="49" t="str">
        <f t="shared" si="29"/>
        <v/>
      </c>
      <c r="AP30" s="50" t="str">
        <f t="shared" si="30"/>
        <v/>
      </c>
      <c r="AQ30" s="50" t="str">
        <f t="shared" si="31"/>
        <v/>
      </c>
      <c r="AR30" s="50" t="str">
        <f t="shared" si="32"/>
        <v/>
      </c>
      <c r="AS30" s="43" t="str">
        <f t="shared" si="33"/>
        <v/>
      </c>
      <c r="AT30" s="49" t="str">
        <f t="shared" si="34"/>
        <v/>
      </c>
      <c r="AU30" s="49" t="str">
        <f t="shared" si="35"/>
        <v/>
      </c>
      <c r="AV30" s="49" t="str">
        <f t="shared" si="36"/>
        <v/>
      </c>
      <c r="AW30" s="49" t="str">
        <f t="shared" si="37"/>
        <v/>
      </c>
      <c r="AX30" s="49" t="str">
        <f t="shared" si="38"/>
        <v/>
      </c>
      <c r="AY30" s="49" t="str">
        <f t="shared" si="39"/>
        <v/>
      </c>
      <c r="AZ30" s="49" t="str">
        <f t="shared" si="40"/>
        <v/>
      </c>
      <c r="BA30" s="49" t="str">
        <f t="shared" si="41"/>
        <v/>
      </c>
      <c r="BB30" s="49" t="str">
        <f t="shared" si="42"/>
        <v/>
      </c>
      <c r="BC30" s="49" t="str">
        <f t="shared" si="43"/>
        <v/>
      </c>
      <c r="BD30" s="49" t="str">
        <f t="shared" si="44"/>
        <v/>
      </c>
      <c r="BE30" s="49" t="str">
        <f t="shared" si="45"/>
        <v/>
      </c>
      <c r="BF30" s="49" t="str">
        <f t="shared" si="46"/>
        <v/>
      </c>
      <c r="BG30" s="49" t="str">
        <f t="shared" si="47"/>
        <v/>
      </c>
      <c r="BH30" s="49" t="str">
        <f t="shared" si="48"/>
        <v/>
      </c>
      <c r="BI30" s="49" t="str">
        <f t="shared" si="49"/>
        <v/>
      </c>
      <c r="BJ30" s="49" t="str">
        <f t="shared" si="50"/>
        <v/>
      </c>
      <c r="BK30" s="49" t="str">
        <f t="shared" si="51"/>
        <v/>
      </c>
      <c r="BL30" s="49" t="str">
        <f t="shared" si="52"/>
        <v/>
      </c>
      <c r="BM30" s="49" t="str">
        <f t="shared" si="53"/>
        <v/>
      </c>
      <c r="BN30" s="49" t="str">
        <f t="shared" si="54"/>
        <v/>
      </c>
      <c r="BO30" s="49" t="str">
        <f t="shared" si="55"/>
        <v/>
      </c>
      <c r="BP30" s="49" t="str">
        <f t="shared" si="56"/>
        <v/>
      </c>
      <c r="BQ30" s="49" t="str">
        <f t="shared" si="57"/>
        <v/>
      </c>
      <c r="BR30" s="49" t="str">
        <f t="shared" si="58"/>
        <v/>
      </c>
      <c r="BS30" s="49" t="str">
        <f t="shared" si="59"/>
        <v/>
      </c>
      <c r="BT30" s="49" t="str">
        <f t="shared" si="60"/>
        <v/>
      </c>
      <c r="BU30" s="49" t="str">
        <f t="shared" si="61"/>
        <v/>
      </c>
      <c r="BV30" s="49" t="str">
        <f t="shared" si="62"/>
        <v/>
      </c>
      <c r="BW30" s="49" t="str">
        <f t="shared" si="63"/>
        <v/>
      </c>
      <c r="BX30" s="49" t="str">
        <f t="shared" si="64"/>
        <v/>
      </c>
      <c r="BY30" s="49" t="str">
        <f t="shared" si="65"/>
        <v/>
      </c>
      <c r="BZ30" s="49" t="str">
        <f t="shared" si="66"/>
        <v/>
      </c>
      <c r="CA30" s="49" t="str">
        <f t="shared" si="67"/>
        <v/>
      </c>
      <c r="CB30" s="49" t="str">
        <f t="shared" si="68"/>
        <v/>
      </c>
    </row>
    <row r="31" spans="1:80" x14ac:dyDescent="0.2">
      <c r="A31" s="43" t="str">
        <f>IF(Perioade!$A31="","",Perioade!$A31)</f>
        <v/>
      </c>
      <c r="B31" s="43" t="str">
        <f>IF($A31="","",IF(OR(Perioade!$G31="Preț fix",Perioade!$G31="Personalizat"),Perioade!$G31,"Standard"))</f>
        <v/>
      </c>
      <c r="C31" s="47" t="str">
        <f>IF($A31="","",N(Perioade!$F31))</f>
        <v/>
      </c>
      <c r="D31" s="48" t="str">
        <f>IF($A31="","",IF(2&lt;$C31,"",IF($B31="Preț fix",IF(2=$C31,0,""),IF($B31="Standard",INDEX(p_Std,1,1),IF(Perioade!$H31="",IF(2=$C31,0,""),N(Perioade!$H31))))))</f>
        <v/>
      </c>
      <c r="E31" s="48" t="str">
        <f>IF($A31="","",IF(3&lt;$C31,"",IF($B31="Preț fix",IF(3=$C31,0,""),IF($B31="Standard",INDEX(p_Std,1,2),IF(Perioade!$I31="",IF(3=$C31,0,""),N(Perioade!$I31))))))</f>
        <v/>
      </c>
      <c r="F31" s="48" t="str">
        <f>IF($A31="","",IF(4&lt;$C31,"",IF($B31="Preț fix",IF(4=$C31,0,""),IF($B31="Standard",INDEX(p_Std,1,3),IF(Perioade!$J31="",IF(4=$C31,0,""),N(Perioade!$J31))))))</f>
        <v/>
      </c>
      <c r="G31" s="48" t="str">
        <f>IF($A31="","",IF(5&lt;$C31,"",IF($B31="Preț fix",IF(5=$C31,0,""),IF($B31="Standard",INDEX(p_Std,1,4),IF(Perioade!$K31="",IF(5=$C31,0,""),N(Perioade!$K31))))))</f>
        <v/>
      </c>
      <c r="H31" s="48" t="str">
        <f>IF($A31="","",IF(6&lt;$C31,"",IF($B31="Preț fix",IF(6=$C31,0,""),IF($B31="Standard",INDEX(p_Std,1,5),IF(Perioade!$L31="",IF(6=$C31,0,""),N(Perioade!$L31))))))</f>
        <v/>
      </c>
      <c r="I31" s="48" t="str">
        <f>IF($A31="","",IF(7&lt;$C31,"",IF($B31="Preț fix",IF(7=$C31,0,""),IF($B31="Standard",INDEX(p_Std,1,6),IF(Perioade!$M31="",IF(7=$C31,0,""),N(Perioade!$M31))))))</f>
        <v/>
      </c>
      <c r="J31" s="48" t="str">
        <f t="shared" si="0"/>
        <v/>
      </c>
      <c r="K31" s="48" t="str">
        <f t="shared" si="1"/>
        <v/>
      </c>
      <c r="L31" s="48" t="str">
        <f t="shared" si="2"/>
        <v/>
      </c>
      <c r="M31" s="48" t="str">
        <f t="shared" si="3"/>
        <v/>
      </c>
      <c r="N31" s="48" t="str">
        <f t="shared" si="4"/>
        <v/>
      </c>
      <c r="O31" s="48" t="str">
        <f t="shared" si="5"/>
        <v/>
      </c>
      <c r="P31" s="47" t="str">
        <f t="shared" si="6"/>
        <v/>
      </c>
      <c r="Q31" s="48" t="str">
        <f t="shared" si="7"/>
        <v/>
      </c>
      <c r="R31" s="49" t="str">
        <f>IF($A31="","",N(Perioade!$E31))</f>
        <v/>
      </c>
      <c r="S31" s="49" t="str">
        <f t="shared" si="8"/>
        <v/>
      </c>
      <c r="T31" s="49" t="str">
        <f t="shared" si="9"/>
        <v/>
      </c>
      <c r="U31" s="49" t="str">
        <f t="shared" si="10"/>
        <v/>
      </c>
      <c r="V31" s="50" t="str">
        <f t="shared" si="11"/>
        <v/>
      </c>
      <c r="W31" s="49" t="str">
        <f t="shared" si="12"/>
        <v/>
      </c>
      <c r="X31" s="48" t="str">
        <f t="shared" si="13"/>
        <v/>
      </c>
      <c r="Y31" s="49" t="str">
        <f t="shared" si="14"/>
        <v/>
      </c>
      <c r="Z31" s="50" t="str">
        <f t="shared" si="15"/>
        <v/>
      </c>
      <c r="AA31" s="49" t="str">
        <f t="shared" si="16"/>
        <v/>
      </c>
      <c r="AB31" s="48" t="str">
        <f t="shared" si="17"/>
        <v/>
      </c>
      <c r="AC31" s="49" t="str">
        <f t="shared" si="18"/>
        <v/>
      </c>
      <c r="AD31" s="49" t="str">
        <f t="shared" si="19"/>
        <v/>
      </c>
      <c r="AE31" s="49" t="str">
        <f>IF($A31="","",IF(N(Perioade!$O31)&gt;0,CEILING(MAX(AD31,AC31*(1-a_PondSug)+N(Perioade!$O31)*a_PondSug),a_Rot),CEILING(AC31,a_Rot)))</f>
        <v/>
      </c>
      <c r="AF31" s="50" t="str">
        <f t="shared" si="20"/>
        <v/>
      </c>
      <c r="AG31" s="49" t="str">
        <f t="shared" si="21"/>
        <v/>
      </c>
      <c r="AH31" s="48" t="str">
        <f t="shared" si="22"/>
        <v/>
      </c>
      <c r="AI31" s="49" t="str">
        <f t="shared" si="23"/>
        <v/>
      </c>
      <c r="AJ31" s="49" t="str">
        <f t="shared" si="24"/>
        <v/>
      </c>
      <c r="AK31" s="49" t="str">
        <f t="shared" si="25"/>
        <v/>
      </c>
      <c r="AL31" s="49" t="str">
        <f t="shared" si="26"/>
        <v/>
      </c>
      <c r="AM31" s="49" t="str">
        <f t="shared" si="27"/>
        <v/>
      </c>
      <c r="AN31" s="49" t="str">
        <f t="shared" si="28"/>
        <v/>
      </c>
      <c r="AO31" s="49" t="str">
        <f t="shared" si="29"/>
        <v/>
      </c>
      <c r="AP31" s="50" t="str">
        <f t="shared" si="30"/>
        <v/>
      </c>
      <c r="AQ31" s="50" t="str">
        <f t="shared" si="31"/>
        <v/>
      </c>
      <c r="AR31" s="50" t="str">
        <f t="shared" si="32"/>
        <v/>
      </c>
      <c r="AS31" s="43" t="str">
        <f t="shared" si="33"/>
        <v/>
      </c>
      <c r="AT31" s="49" t="str">
        <f t="shared" si="34"/>
        <v/>
      </c>
      <c r="AU31" s="49" t="str">
        <f t="shared" si="35"/>
        <v/>
      </c>
      <c r="AV31" s="49" t="str">
        <f t="shared" si="36"/>
        <v/>
      </c>
      <c r="AW31" s="49" t="str">
        <f t="shared" si="37"/>
        <v/>
      </c>
      <c r="AX31" s="49" t="str">
        <f t="shared" si="38"/>
        <v/>
      </c>
      <c r="AY31" s="49" t="str">
        <f t="shared" si="39"/>
        <v/>
      </c>
      <c r="AZ31" s="49" t="str">
        <f t="shared" si="40"/>
        <v/>
      </c>
      <c r="BA31" s="49" t="str">
        <f t="shared" si="41"/>
        <v/>
      </c>
      <c r="BB31" s="49" t="str">
        <f t="shared" si="42"/>
        <v/>
      </c>
      <c r="BC31" s="49" t="str">
        <f t="shared" si="43"/>
        <v/>
      </c>
      <c r="BD31" s="49" t="str">
        <f t="shared" si="44"/>
        <v/>
      </c>
      <c r="BE31" s="49" t="str">
        <f t="shared" si="45"/>
        <v/>
      </c>
      <c r="BF31" s="49" t="str">
        <f t="shared" si="46"/>
        <v/>
      </c>
      <c r="BG31" s="49" t="str">
        <f t="shared" si="47"/>
        <v/>
      </c>
      <c r="BH31" s="49" t="str">
        <f t="shared" si="48"/>
        <v/>
      </c>
      <c r="BI31" s="49" t="str">
        <f t="shared" si="49"/>
        <v/>
      </c>
      <c r="BJ31" s="49" t="str">
        <f t="shared" si="50"/>
        <v/>
      </c>
      <c r="BK31" s="49" t="str">
        <f t="shared" si="51"/>
        <v/>
      </c>
      <c r="BL31" s="49" t="str">
        <f t="shared" si="52"/>
        <v/>
      </c>
      <c r="BM31" s="49" t="str">
        <f t="shared" si="53"/>
        <v/>
      </c>
      <c r="BN31" s="49" t="str">
        <f t="shared" si="54"/>
        <v/>
      </c>
      <c r="BO31" s="49" t="str">
        <f t="shared" si="55"/>
        <v/>
      </c>
      <c r="BP31" s="49" t="str">
        <f t="shared" si="56"/>
        <v/>
      </c>
      <c r="BQ31" s="49" t="str">
        <f t="shared" si="57"/>
        <v/>
      </c>
      <c r="BR31" s="49" t="str">
        <f t="shared" si="58"/>
        <v/>
      </c>
      <c r="BS31" s="49" t="str">
        <f t="shared" si="59"/>
        <v/>
      </c>
      <c r="BT31" s="49" t="str">
        <f t="shared" si="60"/>
        <v/>
      </c>
      <c r="BU31" s="49" t="str">
        <f t="shared" si="61"/>
        <v/>
      </c>
      <c r="BV31" s="49" t="str">
        <f t="shared" si="62"/>
        <v/>
      </c>
      <c r="BW31" s="49" t="str">
        <f t="shared" si="63"/>
        <v/>
      </c>
      <c r="BX31" s="49" t="str">
        <f t="shared" si="64"/>
        <v/>
      </c>
      <c r="BY31" s="49" t="str">
        <f t="shared" si="65"/>
        <v/>
      </c>
      <c r="BZ31" s="49" t="str">
        <f t="shared" si="66"/>
        <v/>
      </c>
      <c r="CA31" s="49" t="str">
        <f t="shared" si="67"/>
        <v/>
      </c>
      <c r="CB31" s="49" t="str">
        <f t="shared" si="68"/>
        <v/>
      </c>
    </row>
    <row r="32" spans="1:80" x14ac:dyDescent="0.2">
      <c r="A32" s="43" t="str">
        <f>IF(Perioade!$A32="","",Perioade!$A32)</f>
        <v/>
      </c>
      <c r="B32" s="43" t="str">
        <f>IF($A32="","",IF(OR(Perioade!$G32="Preț fix",Perioade!$G32="Personalizat"),Perioade!$G32,"Standard"))</f>
        <v/>
      </c>
      <c r="C32" s="47" t="str">
        <f>IF($A32="","",N(Perioade!$F32))</f>
        <v/>
      </c>
      <c r="D32" s="48" t="str">
        <f>IF($A32="","",IF(2&lt;$C32,"",IF($B32="Preț fix",IF(2=$C32,0,""),IF($B32="Standard",INDEX(p_Std,1,1),IF(Perioade!$H32="",IF(2=$C32,0,""),N(Perioade!$H32))))))</f>
        <v/>
      </c>
      <c r="E32" s="48" t="str">
        <f>IF($A32="","",IF(3&lt;$C32,"",IF($B32="Preț fix",IF(3=$C32,0,""),IF($B32="Standard",INDEX(p_Std,1,2),IF(Perioade!$I32="",IF(3=$C32,0,""),N(Perioade!$I32))))))</f>
        <v/>
      </c>
      <c r="F32" s="48" t="str">
        <f>IF($A32="","",IF(4&lt;$C32,"",IF($B32="Preț fix",IF(4=$C32,0,""),IF($B32="Standard",INDEX(p_Std,1,3),IF(Perioade!$J32="",IF(4=$C32,0,""),N(Perioade!$J32))))))</f>
        <v/>
      </c>
      <c r="G32" s="48" t="str">
        <f>IF($A32="","",IF(5&lt;$C32,"",IF($B32="Preț fix",IF(5=$C32,0,""),IF($B32="Standard",INDEX(p_Std,1,4),IF(Perioade!$K32="",IF(5=$C32,0,""),N(Perioade!$K32))))))</f>
        <v/>
      </c>
      <c r="H32" s="48" t="str">
        <f>IF($A32="","",IF(6&lt;$C32,"",IF($B32="Preț fix",IF(6=$C32,0,""),IF($B32="Standard",INDEX(p_Std,1,5),IF(Perioade!$L32="",IF(6=$C32,0,""),N(Perioade!$L32))))))</f>
        <v/>
      </c>
      <c r="I32" s="48" t="str">
        <f>IF($A32="","",IF(7&lt;$C32,"",IF($B32="Preț fix",IF(7=$C32,0,""),IF($B32="Standard",INDEX(p_Std,1,6),IF(Perioade!$M32="",IF(7=$C32,0,""),N(Perioade!$M32))))))</f>
        <v/>
      </c>
      <c r="J32" s="48" t="str">
        <f t="shared" si="0"/>
        <v/>
      </c>
      <c r="K32" s="48" t="str">
        <f t="shared" si="1"/>
        <v/>
      </c>
      <c r="L32" s="48" t="str">
        <f t="shared" si="2"/>
        <v/>
      </c>
      <c r="M32" s="48" t="str">
        <f t="shared" si="3"/>
        <v/>
      </c>
      <c r="N32" s="48" t="str">
        <f t="shared" si="4"/>
        <v/>
      </c>
      <c r="O32" s="48" t="str">
        <f t="shared" si="5"/>
        <v/>
      </c>
      <c r="P32" s="47" t="str">
        <f t="shared" si="6"/>
        <v/>
      </c>
      <c r="Q32" s="48" t="str">
        <f t="shared" si="7"/>
        <v/>
      </c>
      <c r="R32" s="49" t="str">
        <f>IF($A32="","",N(Perioade!$E32))</f>
        <v/>
      </c>
      <c r="S32" s="49" t="str">
        <f t="shared" si="8"/>
        <v/>
      </c>
      <c r="T32" s="49" t="str">
        <f t="shared" si="9"/>
        <v/>
      </c>
      <c r="U32" s="49" t="str">
        <f t="shared" si="10"/>
        <v/>
      </c>
      <c r="V32" s="50" t="str">
        <f t="shared" si="11"/>
        <v/>
      </c>
      <c r="W32" s="49" t="str">
        <f t="shared" si="12"/>
        <v/>
      </c>
      <c r="X32" s="48" t="str">
        <f t="shared" si="13"/>
        <v/>
      </c>
      <c r="Y32" s="49" t="str">
        <f t="shared" si="14"/>
        <v/>
      </c>
      <c r="Z32" s="50" t="str">
        <f t="shared" si="15"/>
        <v/>
      </c>
      <c r="AA32" s="49" t="str">
        <f t="shared" si="16"/>
        <v/>
      </c>
      <c r="AB32" s="48" t="str">
        <f t="shared" si="17"/>
        <v/>
      </c>
      <c r="AC32" s="49" t="str">
        <f t="shared" si="18"/>
        <v/>
      </c>
      <c r="AD32" s="49" t="str">
        <f t="shared" si="19"/>
        <v/>
      </c>
      <c r="AE32" s="49" t="str">
        <f>IF($A32="","",IF(N(Perioade!$O32)&gt;0,CEILING(MAX(AD32,AC32*(1-a_PondSug)+N(Perioade!$O32)*a_PondSug),a_Rot),CEILING(AC32,a_Rot)))</f>
        <v/>
      </c>
      <c r="AF32" s="50" t="str">
        <f t="shared" si="20"/>
        <v/>
      </c>
      <c r="AG32" s="49" t="str">
        <f t="shared" si="21"/>
        <v/>
      </c>
      <c r="AH32" s="48" t="str">
        <f t="shared" si="22"/>
        <v/>
      </c>
      <c r="AI32" s="49" t="str">
        <f t="shared" si="23"/>
        <v/>
      </c>
      <c r="AJ32" s="49" t="str">
        <f t="shared" si="24"/>
        <v/>
      </c>
      <c r="AK32" s="49" t="str">
        <f t="shared" si="25"/>
        <v/>
      </c>
      <c r="AL32" s="49" t="str">
        <f t="shared" si="26"/>
        <v/>
      </c>
      <c r="AM32" s="49" t="str">
        <f t="shared" si="27"/>
        <v/>
      </c>
      <c r="AN32" s="49" t="str">
        <f t="shared" si="28"/>
        <v/>
      </c>
      <c r="AO32" s="49" t="str">
        <f t="shared" si="29"/>
        <v/>
      </c>
      <c r="AP32" s="50" t="str">
        <f t="shared" si="30"/>
        <v/>
      </c>
      <c r="AQ32" s="50" t="str">
        <f t="shared" si="31"/>
        <v/>
      </c>
      <c r="AR32" s="50" t="str">
        <f t="shared" si="32"/>
        <v/>
      </c>
      <c r="AS32" s="43" t="str">
        <f t="shared" si="33"/>
        <v/>
      </c>
      <c r="AT32" s="49" t="str">
        <f t="shared" si="34"/>
        <v/>
      </c>
      <c r="AU32" s="49" t="str">
        <f t="shared" si="35"/>
        <v/>
      </c>
      <c r="AV32" s="49" t="str">
        <f t="shared" si="36"/>
        <v/>
      </c>
      <c r="AW32" s="49" t="str">
        <f t="shared" si="37"/>
        <v/>
      </c>
      <c r="AX32" s="49" t="str">
        <f t="shared" si="38"/>
        <v/>
      </c>
      <c r="AY32" s="49" t="str">
        <f t="shared" si="39"/>
        <v/>
      </c>
      <c r="AZ32" s="49" t="str">
        <f t="shared" si="40"/>
        <v/>
      </c>
      <c r="BA32" s="49" t="str">
        <f t="shared" si="41"/>
        <v/>
      </c>
      <c r="BB32" s="49" t="str">
        <f t="shared" si="42"/>
        <v/>
      </c>
      <c r="BC32" s="49" t="str">
        <f t="shared" si="43"/>
        <v/>
      </c>
      <c r="BD32" s="49" t="str">
        <f t="shared" si="44"/>
        <v/>
      </c>
      <c r="BE32" s="49" t="str">
        <f t="shared" si="45"/>
        <v/>
      </c>
      <c r="BF32" s="49" t="str">
        <f t="shared" si="46"/>
        <v/>
      </c>
      <c r="BG32" s="49" t="str">
        <f t="shared" si="47"/>
        <v/>
      </c>
      <c r="BH32" s="49" t="str">
        <f t="shared" si="48"/>
        <v/>
      </c>
      <c r="BI32" s="49" t="str">
        <f t="shared" si="49"/>
        <v/>
      </c>
      <c r="BJ32" s="49" t="str">
        <f t="shared" si="50"/>
        <v/>
      </c>
      <c r="BK32" s="49" t="str">
        <f t="shared" si="51"/>
        <v/>
      </c>
      <c r="BL32" s="49" t="str">
        <f t="shared" si="52"/>
        <v/>
      </c>
      <c r="BM32" s="49" t="str">
        <f t="shared" si="53"/>
        <v/>
      </c>
      <c r="BN32" s="49" t="str">
        <f t="shared" si="54"/>
        <v/>
      </c>
      <c r="BO32" s="49" t="str">
        <f t="shared" si="55"/>
        <v/>
      </c>
      <c r="BP32" s="49" t="str">
        <f t="shared" si="56"/>
        <v/>
      </c>
      <c r="BQ32" s="49" t="str">
        <f t="shared" si="57"/>
        <v/>
      </c>
      <c r="BR32" s="49" t="str">
        <f t="shared" si="58"/>
        <v/>
      </c>
      <c r="BS32" s="49" t="str">
        <f t="shared" si="59"/>
        <v/>
      </c>
      <c r="BT32" s="49" t="str">
        <f t="shared" si="60"/>
        <v/>
      </c>
      <c r="BU32" s="49" t="str">
        <f t="shared" si="61"/>
        <v/>
      </c>
      <c r="BV32" s="49" t="str">
        <f t="shared" si="62"/>
        <v/>
      </c>
      <c r="BW32" s="49" t="str">
        <f t="shared" si="63"/>
        <v/>
      </c>
      <c r="BX32" s="49" t="str">
        <f t="shared" si="64"/>
        <v/>
      </c>
      <c r="BY32" s="49" t="str">
        <f t="shared" si="65"/>
        <v/>
      </c>
      <c r="BZ32" s="49" t="str">
        <f t="shared" si="66"/>
        <v/>
      </c>
      <c r="CA32" s="49" t="str">
        <f t="shared" si="67"/>
        <v/>
      </c>
      <c r="CB32" s="49" t="str">
        <f t="shared" si="68"/>
        <v/>
      </c>
    </row>
    <row r="33" spans="1:80" x14ac:dyDescent="0.2">
      <c r="A33" s="43" t="str">
        <f>IF(Perioade!$A33="","",Perioade!$A33)</f>
        <v/>
      </c>
      <c r="B33" s="43" t="str">
        <f>IF($A33="","",IF(OR(Perioade!$G33="Preț fix",Perioade!$G33="Personalizat"),Perioade!$G33,"Standard"))</f>
        <v/>
      </c>
      <c r="C33" s="47" t="str">
        <f>IF($A33="","",N(Perioade!$F33))</f>
        <v/>
      </c>
      <c r="D33" s="48" t="str">
        <f>IF($A33="","",IF(2&lt;$C33,"",IF($B33="Preț fix",IF(2=$C33,0,""),IF($B33="Standard",INDEX(p_Std,1,1),IF(Perioade!$H33="",IF(2=$C33,0,""),N(Perioade!$H33))))))</f>
        <v/>
      </c>
      <c r="E33" s="48" t="str">
        <f>IF($A33="","",IF(3&lt;$C33,"",IF($B33="Preț fix",IF(3=$C33,0,""),IF($B33="Standard",INDEX(p_Std,1,2),IF(Perioade!$I33="",IF(3=$C33,0,""),N(Perioade!$I33))))))</f>
        <v/>
      </c>
      <c r="F33" s="48" t="str">
        <f>IF($A33="","",IF(4&lt;$C33,"",IF($B33="Preț fix",IF(4=$C33,0,""),IF($B33="Standard",INDEX(p_Std,1,3),IF(Perioade!$J33="",IF(4=$C33,0,""),N(Perioade!$J33))))))</f>
        <v/>
      </c>
      <c r="G33" s="48" t="str">
        <f>IF($A33="","",IF(5&lt;$C33,"",IF($B33="Preț fix",IF(5=$C33,0,""),IF($B33="Standard",INDEX(p_Std,1,4),IF(Perioade!$K33="",IF(5=$C33,0,""),N(Perioade!$K33))))))</f>
        <v/>
      </c>
      <c r="H33" s="48" t="str">
        <f>IF($A33="","",IF(6&lt;$C33,"",IF($B33="Preț fix",IF(6=$C33,0,""),IF($B33="Standard",INDEX(p_Std,1,5),IF(Perioade!$L33="",IF(6=$C33,0,""),N(Perioade!$L33))))))</f>
        <v/>
      </c>
      <c r="I33" s="48" t="str">
        <f>IF($A33="","",IF(7&lt;$C33,"",IF($B33="Preț fix",IF(7=$C33,0,""),IF($B33="Standard",INDEX(p_Std,1,6),IF(Perioade!$M33="",IF(7=$C33,0,""),N(Perioade!$M33))))))</f>
        <v/>
      </c>
      <c r="J33" s="48" t="str">
        <f t="shared" si="0"/>
        <v/>
      </c>
      <c r="K33" s="48" t="str">
        <f t="shared" si="1"/>
        <v/>
      </c>
      <c r="L33" s="48" t="str">
        <f t="shared" si="2"/>
        <v/>
      </c>
      <c r="M33" s="48" t="str">
        <f t="shared" si="3"/>
        <v/>
      </c>
      <c r="N33" s="48" t="str">
        <f t="shared" si="4"/>
        <v/>
      </c>
      <c r="O33" s="48" t="str">
        <f t="shared" si="5"/>
        <v/>
      </c>
      <c r="P33" s="47" t="str">
        <f t="shared" si="6"/>
        <v/>
      </c>
      <c r="Q33" s="48" t="str">
        <f t="shared" si="7"/>
        <v/>
      </c>
      <c r="R33" s="49" t="str">
        <f>IF($A33="","",N(Perioade!$E33))</f>
        <v/>
      </c>
      <c r="S33" s="49" t="str">
        <f t="shared" si="8"/>
        <v/>
      </c>
      <c r="T33" s="49" t="str">
        <f t="shared" si="9"/>
        <v/>
      </c>
      <c r="U33" s="49" t="str">
        <f t="shared" si="10"/>
        <v/>
      </c>
      <c r="V33" s="50" t="str">
        <f t="shared" si="11"/>
        <v/>
      </c>
      <c r="W33" s="49" t="str">
        <f t="shared" si="12"/>
        <v/>
      </c>
      <c r="X33" s="48" t="str">
        <f t="shared" si="13"/>
        <v/>
      </c>
      <c r="Y33" s="49" t="str">
        <f t="shared" si="14"/>
        <v/>
      </c>
      <c r="Z33" s="50" t="str">
        <f t="shared" si="15"/>
        <v/>
      </c>
      <c r="AA33" s="49" t="str">
        <f t="shared" si="16"/>
        <v/>
      </c>
      <c r="AB33" s="48" t="str">
        <f t="shared" si="17"/>
        <v/>
      </c>
      <c r="AC33" s="49" t="str">
        <f t="shared" si="18"/>
        <v/>
      </c>
      <c r="AD33" s="49" t="str">
        <f t="shared" si="19"/>
        <v/>
      </c>
      <c r="AE33" s="49" t="str">
        <f>IF($A33="","",IF(N(Perioade!$O33)&gt;0,CEILING(MAX(AD33,AC33*(1-a_PondSug)+N(Perioade!$O33)*a_PondSug),a_Rot),CEILING(AC33,a_Rot)))</f>
        <v/>
      </c>
      <c r="AF33" s="50" t="str">
        <f t="shared" si="20"/>
        <v/>
      </c>
      <c r="AG33" s="49" t="str">
        <f t="shared" si="21"/>
        <v/>
      </c>
      <c r="AH33" s="48" t="str">
        <f t="shared" si="22"/>
        <v/>
      </c>
      <c r="AI33" s="49" t="str">
        <f t="shared" si="23"/>
        <v/>
      </c>
      <c r="AJ33" s="49" t="str">
        <f t="shared" si="24"/>
        <v/>
      </c>
      <c r="AK33" s="49" t="str">
        <f t="shared" si="25"/>
        <v/>
      </c>
      <c r="AL33" s="49" t="str">
        <f t="shared" si="26"/>
        <v/>
      </c>
      <c r="AM33" s="49" t="str">
        <f t="shared" si="27"/>
        <v/>
      </c>
      <c r="AN33" s="49" t="str">
        <f t="shared" si="28"/>
        <v/>
      </c>
      <c r="AO33" s="49" t="str">
        <f t="shared" si="29"/>
        <v/>
      </c>
      <c r="AP33" s="50" t="str">
        <f t="shared" si="30"/>
        <v/>
      </c>
      <c r="AQ33" s="50" t="str">
        <f t="shared" si="31"/>
        <v/>
      </c>
      <c r="AR33" s="50" t="str">
        <f t="shared" si="32"/>
        <v/>
      </c>
      <c r="AS33" s="43" t="str">
        <f t="shared" si="33"/>
        <v/>
      </c>
      <c r="AT33" s="49" t="str">
        <f t="shared" si="34"/>
        <v/>
      </c>
      <c r="AU33" s="49" t="str">
        <f t="shared" si="35"/>
        <v/>
      </c>
      <c r="AV33" s="49" t="str">
        <f t="shared" si="36"/>
        <v/>
      </c>
      <c r="AW33" s="49" t="str">
        <f t="shared" si="37"/>
        <v/>
      </c>
      <c r="AX33" s="49" t="str">
        <f t="shared" si="38"/>
        <v/>
      </c>
      <c r="AY33" s="49" t="str">
        <f t="shared" si="39"/>
        <v/>
      </c>
      <c r="AZ33" s="49" t="str">
        <f t="shared" si="40"/>
        <v/>
      </c>
      <c r="BA33" s="49" t="str">
        <f t="shared" si="41"/>
        <v/>
      </c>
      <c r="BB33" s="49" t="str">
        <f t="shared" si="42"/>
        <v/>
      </c>
      <c r="BC33" s="49" t="str">
        <f t="shared" si="43"/>
        <v/>
      </c>
      <c r="BD33" s="49" t="str">
        <f t="shared" si="44"/>
        <v/>
      </c>
      <c r="BE33" s="49" t="str">
        <f t="shared" si="45"/>
        <v/>
      </c>
      <c r="BF33" s="49" t="str">
        <f t="shared" si="46"/>
        <v/>
      </c>
      <c r="BG33" s="49" t="str">
        <f t="shared" si="47"/>
        <v/>
      </c>
      <c r="BH33" s="49" t="str">
        <f t="shared" si="48"/>
        <v/>
      </c>
      <c r="BI33" s="49" t="str">
        <f t="shared" si="49"/>
        <v/>
      </c>
      <c r="BJ33" s="49" t="str">
        <f t="shared" si="50"/>
        <v/>
      </c>
      <c r="BK33" s="49" t="str">
        <f t="shared" si="51"/>
        <v/>
      </c>
      <c r="BL33" s="49" t="str">
        <f t="shared" si="52"/>
        <v/>
      </c>
      <c r="BM33" s="49" t="str">
        <f t="shared" si="53"/>
        <v/>
      </c>
      <c r="BN33" s="49" t="str">
        <f t="shared" si="54"/>
        <v/>
      </c>
      <c r="BO33" s="49" t="str">
        <f t="shared" si="55"/>
        <v/>
      </c>
      <c r="BP33" s="49" t="str">
        <f t="shared" si="56"/>
        <v/>
      </c>
      <c r="BQ33" s="49" t="str">
        <f t="shared" si="57"/>
        <v/>
      </c>
      <c r="BR33" s="49" t="str">
        <f t="shared" si="58"/>
        <v/>
      </c>
      <c r="BS33" s="49" t="str">
        <f t="shared" si="59"/>
        <v/>
      </c>
      <c r="BT33" s="49" t="str">
        <f t="shared" si="60"/>
        <v/>
      </c>
      <c r="BU33" s="49" t="str">
        <f t="shared" si="61"/>
        <v/>
      </c>
      <c r="BV33" s="49" t="str">
        <f t="shared" si="62"/>
        <v/>
      </c>
      <c r="BW33" s="49" t="str">
        <f t="shared" si="63"/>
        <v/>
      </c>
      <c r="BX33" s="49" t="str">
        <f t="shared" si="64"/>
        <v/>
      </c>
      <c r="BY33" s="49" t="str">
        <f t="shared" si="65"/>
        <v/>
      </c>
      <c r="BZ33" s="49" t="str">
        <f t="shared" si="66"/>
        <v/>
      </c>
      <c r="CA33" s="49" t="str">
        <f t="shared" si="67"/>
        <v/>
      </c>
      <c r="CB33" s="49" t="str">
        <f t="shared" si="68"/>
        <v/>
      </c>
    </row>
    <row r="34" spans="1:80" x14ac:dyDescent="0.2">
      <c r="A34" s="43" t="str">
        <f>IF(Perioade!$A34="","",Perioade!$A34)</f>
        <v/>
      </c>
      <c r="B34" s="43" t="str">
        <f>IF($A34="","",IF(OR(Perioade!$G34="Preț fix",Perioade!$G34="Personalizat"),Perioade!$G34,"Standard"))</f>
        <v/>
      </c>
      <c r="C34" s="47" t="str">
        <f>IF($A34="","",N(Perioade!$F34))</f>
        <v/>
      </c>
      <c r="D34" s="48" t="str">
        <f>IF($A34="","",IF(2&lt;$C34,"",IF($B34="Preț fix",IF(2=$C34,0,""),IF($B34="Standard",INDEX(p_Std,1,1),IF(Perioade!$H34="",IF(2=$C34,0,""),N(Perioade!$H34))))))</f>
        <v/>
      </c>
      <c r="E34" s="48" t="str">
        <f>IF($A34="","",IF(3&lt;$C34,"",IF($B34="Preț fix",IF(3=$C34,0,""),IF($B34="Standard",INDEX(p_Std,1,2),IF(Perioade!$I34="",IF(3=$C34,0,""),N(Perioade!$I34))))))</f>
        <v/>
      </c>
      <c r="F34" s="48" t="str">
        <f>IF($A34="","",IF(4&lt;$C34,"",IF($B34="Preț fix",IF(4=$C34,0,""),IF($B34="Standard",INDEX(p_Std,1,3),IF(Perioade!$J34="",IF(4=$C34,0,""),N(Perioade!$J34))))))</f>
        <v/>
      </c>
      <c r="G34" s="48" t="str">
        <f>IF($A34="","",IF(5&lt;$C34,"",IF($B34="Preț fix",IF(5=$C34,0,""),IF($B34="Standard",INDEX(p_Std,1,4),IF(Perioade!$K34="",IF(5=$C34,0,""),N(Perioade!$K34))))))</f>
        <v/>
      </c>
      <c r="H34" s="48" t="str">
        <f>IF($A34="","",IF(6&lt;$C34,"",IF($B34="Preț fix",IF(6=$C34,0,""),IF($B34="Standard",INDEX(p_Std,1,5),IF(Perioade!$L34="",IF(6=$C34,0,""),N(Perioade!$L34))))))</f>
        <v/>
      </c>
      <c r="I34" s="48" t="str">
        <f>IF($A34="","",IF(7&lt;$C34,"",IF($B34="Preț fix",IF(7=$C34,0,""),IF($B34="Standard",INDEX(p_Std,1,6),IF(Perioade!$M34="",IF(7=$C34,0,""),N(Perioade!$M34))))))</f>
        <v/>
      </c>
      <c r="J34" s="48" t="str">
        <f t="shared" si="0"/>
        <v/>
      </c>
      <c r="K34" s="48" t="str">
        <f t="shared" si="1"/>
        <v/>
      </c>
      <c r="L34" s="48" t="str">
        <f t="shared" si="2"/>
        <v/>
      </c>
      <c r="M34" s="48" t="str">
        <f t="shared" si="3"/>
        <v/>
      </c>
      <c r="N34" s="48" t="str">
        <f t="shared" si="4"/>
        <v/>
      </c>
      <c r="O34" s="48" t="str">
        <f t="shared" si="5"/>
        <v/>
      </c>
      <c r="P34" s="47" t="str">
        <f t="shared" si="6"/>
        <v/>
      </c>
      <c r="Q34" s="48" t="str">
        <f t="shared" si="7"/>
        <v/>
      </c>
      <c r="R34" s="49" t="str">
        <f>IF($A34="","",N(Perioade!$E34))</f>
        <v/>
      </c>
      <c r="S34" s="49" t="str">
        <f t="shared" si="8"/>
        <v/>
      </c>
      <c r="T34" s="49" t="str">
        <f t="shared" si="9"/>
        <v/>
      </c>
      <c r="U34" s="49" t="str">
        <f t="shared" si="10"/>
        <v/>
      </c>
      <c r="V34" s="50" t="str">
        <f t="shared" si="11"/>
        <v/>
      </c>
      <c r="W34" s="49" t="str">
        <f t="shared" si="12"/>
        <v/>
      </c>
      <c r="X34" s="48" t="str">
        <f t="shared" si="13"/>
        <v/>
      </c>
      <c r="Y34" s="49" t="str">
        <f t="shared" si="14"/>
        <v/>
      </c>
      <c r="Z34" s="50" t="str">
        <f t="shared" si="15"/>
        <v/>
      </c>
      <c r="AA34" s="49" t="str">
        <f t="shared" si="16"/>
        <v/>
      </c>
      <c r="AB34" s="48" t="str">
        <f t="shared" si="17"/>
        <v/>
      </c>
      <c r="AC34" s="49" t="str">
        <f t="shared" si="18"/>
        <v/>
      </c>
      <c r="AD34" s="49" t="str">
        <f t="shared" si="19"/>
        <v/>
      </c>
      <c r="AE34" s="49" t="str">
        <f>IF($A34="","",IF(N(Perioade!$O34)&gt;0,CEILING(MAX(AD34,AC34*(1-a_PondSug)+N(Perioade!$O34)*a_PondSug),a_Rot),CEILING(AC34,a_Rot)))</f>
        <v/>
      </c>
      <c r="AF34" s="50" t="str">
        <f t="shared" si="20"/>
        <v/>
      </c>
      <c r="AG34" s="49" t="str">
        <f t="shared" si="21"/>
        <v/>
      </c>
      <c r="AH34" s="48" t="str">
        <f t="shared" si="22"/>
        <v/>
      </c>
      <c r="AI34" s="49" t="str">
        <f t="shared" si="23"/>
        <v/>
      </c>
      <c r="AJ34" s="49" t="str">
        <f t="shared" si="24"/>
        <v/>
      </c>
      <c r="AK34" s="49" t="str">
        <f t="shared" si="25"/>
        <v/>
      </c>
      <c r="AL34" s="49" t="str">
        <f t="shared" si="26"/>
        <v/>
      </c>
      <c r="AM34" s="49" t="str">
        <f t="shared" si="27"/>
        <v/>
      </c>
      <c r="AN34" s="49" t="str">
        <f t="shared" si="28"/>
        <v/>
      </c>
      <c r="AO34" s="49" t="str">
        <f t="shared" si="29"/>
        <v/>
      </c>
      <c r="AP34" s="50" t="str">
        <f t="shared" si="30"/>
        <v/>
      </c>
      <c r="AQ34" s="50" t="str">
        <f t="shared" si="31"/>
        <v/>
      </c>
      <c r="AR34" s="50" t="str">
        <f t="shared" si="32"/>
        <v/>
      </c>
      <c r="AS34" s="43" t="str">
        <f t="shared" si="33"/>
        <v/>
      </c>
      <c r="AT34" s="49" t="str">
        <f t="shared" si="34"/>
        <v/>
      </c>
      <c r="AU34" s="49" t="str">
        <f t="shared" si="35"/>
        <v/>
      </c>
      <c r="AV34" s="49" t="str">
        <f t="shared" si="36"/>
        <v/>
      </c>
      <c r="AW34" s="49" t="str">
        <f t="shared" si="37"/>
        <v/>
      </c>
      <c r="AX34" s="49" t="str">
        <f t="shared" si="38"/>
        <v/>
      </c>
      <c r="AY34" s="49" t="str">
        <f t="shared" si="39"/>
        <v/>
      </c>
      <c r="AZ34" s="49" t="str">
        <f t="shared" si="40"/>
        <v/>
      </c>
      <c r="BA34" s="49" t="str">
        <f t="shared" si="41"/>
        <v/>
      </c>
      <c r="BB34" s="49" t="str">
        <f t="shared" si="42"/>
        <v/>
      </c>
      <c r="BC34" s="49" t="str">
        <f t="shared" si="43"/>
        <v/>
      </c>
      <c r="BD34" s="49" t="str">
        <f t="shared" si="44"/>
        <v/>
      </c>
      <c r="BE34" s="49" t="str">
        <f t="shared" si="45"/>
        <v/>
      </c>
      <c r="BF34" s="49" t="str">
        <f t="shared" si="46"/>
        <v/>
      </c>
      <c r="BG34" s="49" t="str">
        <f t="shared" si="47"/>
        <v/>
      </c>
      <c r="BH34" s="49" t="str">
        <f t="shared" si="48"/>
        <v/>
      </c>
      <c r="BI34" s="49" t="str">
        <f t="shared" si="49"/>
        <v/>
      </c>
      <c r="BJ34" s="49" t="str">
        <f t="shared" si="50"/>
        <v/>
      </c>
      <c r="BK34" s="49" t="str">
        <f t="shared" si="51"/>
        <v/>
      </c>
      <c r="BL34" s="49" t="str">
        <f t="shared" si="52"/>
        <v/>
      </c>
      <c r="BM34" s="49" t="str">
        <f t="shared" si="53"/>
        <v/>
      </c>
      <c r="BN34" s="49" t="str">
        <f t="shared" si="54"/>
        <v/>
      </c>
      <c r="BO34" s="49" t="str">
        <f t="shared" si="55"/>
        <v/>
      </c>
      <c r="BP34" s="49" t="str">
        <f t="shared" si="56"/>
        <v/>
      </c>
      <c r="BQ34" s="49" t="str">
        <f t="shared" si="57"/>
        <v/>
      </c>
      <c r="BR34" s="49" t="str">
        <f t="shared" si="58"/>
        <v/>
      </c>
      <c r="BS34" s="49" t="str">
        <f t="shared" si="59"/>
        <v/>
      </c>
      <c r="BT34" s="49" t="str">
        <f t="shared" si="60"/>
        <v/>
      </c>
      <c r="BU34" s="49" t="str">
        <f t="shared" si="61"/>
        <v/>
      </c>
      <c r="BV34" s="49" t="str">
        <f t="shared" si="62"/>
        <v/>
      </c>
      <c r="BW34" s="49" t="str">
        <f t="shared" si="63"/>
        <v/>
      </c>
      <c r="BX34" s="49" t="str">
        <f t="shared" si="64"/>
        <v/>
      </c>
      <c r="BY34" s="49" t="str">
        <f t="shared" si="65"/>
        <v/>
      </c>
      <c r="BZ34" s="49" t="str">
        <f t="shared" si="66"/>
        <v/>
      </c>
      <c r="CA34" s="49" t="str">
        <f t="shared" si="67"/>
        <v/>
      </c>
      <c r="CB34" s="49" t="str">
        <f t="shared" si="68"/>
        <v/>
      </c>
    </row>
    <row r="35" spans="1:80" x14ac:dyDescent="0.2">
      <c r="A35" s="43" t="str">
        <f>IF(Perioade!$A35="","",Perioade!$A35)</f>
        <v/>
      </c>
      <c r="B35" s="43" t="str">
        <f>IF($A35="","",IF(OR(Perioade!$G35="Preț fix",Perioade!$G35="Personalizat"),Perioade!$G35,"Standard"))</f>
        <v/>
      </c>
      <c r="C35" s="47" t="str">
        <f>IF($A35="","",N(Perioade!$F35))</f>
        <v/>
      </c>
      <c r="D35" s="48" t="str">
        <f>IF($A35="","",IF(2&lt;$C35,"",IF($B35="Preț fix",IF(2=$C35,0,""),IF($B35="Standard",INDEX(p_Std,1,1),IF(Perioade!$H35="",IF(2=$C35,0,""),N(Perioade!$H35))))))</f>
        <v/>
      </c>
      <c r="E35" s="48" t="str">
        <f>IF($A35="","",IF(3&lt;$C35,"",IF($B35="Preț fix",IF(3=$C35,0,""),IF($B35="Standard",INDEX(p_Std,1,2),IF(Perioade!$I35="",IF(3=$C35,0,""),N(Perioade!$I35))))))</f>
        <v/>
      </c>
      <c r="F35" s="48" t="str">
        <f>IF($A35="","",IF(4&lt;$C35,"",IF($B35="Preț fix",IF(4=$C35,0,""),IF($B35="Standard",INDEX(p_Std,1,3),IF(Perioade!$J35="",IF(4=$C35,0,""),N(Perioade!$J35))))))</f>
        <v/>
      </c>
      <c r="G35" s="48" t="str">
        <f>IF($A35="","",IF(5&lt;$C35,"",IF($B35="Preț fix",IF(5=$C35,0,""),IF($B35="Standard",INDEX(p_Std,1,4),IF(Perioade!$K35="",IF(5=$C35,0,""),N(Perioade!$K35))))))</f>
        <v/>
      </c>
      <c r="H35" s="48" t="str">
        <f>IF($A35="","",IF(6&lt;$C35,"",IF($B35="Preț fix",IF(6=$C35,0,""),IF($B35="Standard",INDEX(p_Std,1,5),IF(Perioade!$L35="",IF(6=$C35,0,""),N(Perioade!$L35))))))</f>
        <v/>
      </c>
      <c r="I35" s="48" t="str">
        <f>IF($A35="","",IF(7&lt;$C35,"",IF($B35="Preț fix",IF(7=$C35,0,""),IF($B35="Standard",INDEX(p_Std,1,6),IF(Perioade!$M35="",IF(7=$C35,0,""),N(Perioade!$M35))))))</f>
        <v/>
      </c>
      <c r="J35" s="48" t="str">
        <f t="shared" si="0"/>
        <v/>
      </c>
      <c r="K35" s="48" t="str">
        <f t="shared" si="1"/>
        <v/>
      </c>
      <c r="L35" s="48" t="str">
        <f t="shared" si="2"/>
        <v/>
      </c>
      <c r="M35" s="48" t="str">
        <f t="shared" si="3"/>
        <v/>
      </c>
      <c r="N35" s="48" t="str">
        <f t="shared" si="4"/>
        <v/>
      </c>
      <c r="O35" s="48" t="str">
        <f t="shared" si="5"/>
        <v/>
      </c>
      <c r="P35" s="47" t="str">
        <f t="shared" si="6"/>
        <v/>
      </c>
      <c r="Q35" s="48" t="str">
        <f t="shared" si="7"/>
        <v/>
      </c>
      <c r="R35" s="49" t="str">
        <f>IF($A35="","",N(Perioade!$E35))</f>
        <v/>
      </c>
      <c r="S35" s="49" t="str">
        <f t="shared" si="8"/>
        <v/>
      </c>
      <c r="T35" s="49" t="str">
        <f t="shared" si="9"/>
        <v/>
      </c>
      <c r="U35" s="49" t="str">
        <f t="shared" si="10"/>
        <v/>
      </c>
      <c r="V35" s="50" t="str">
        <f t="shared" si="11"/>
        <v/>
      </c>
      <c r="W35" s="49" t="str">
        <f t="shared" si="12"/>
        <v/>
      </c>
      <c r="X35" s="48" t="str">
        <f t="shared" si="13"/>
        <v/>
      </c>
      <c r="Y35" s="49" t="str">
        <f t="shared" si="14"/>
        <v/>
      </c>
      <c r="Z35" s="50" t="str">
        <f t="shared" si="15"/>
        <v/>
      </c>
      <c r="AA35" s="49" t="str">
        <f t="shared" si="16"/>
        <v/>
      </c>
      <c r="AB35" s="48" t="str">
        <f t="shared" si="17"/>
        <v/>
      </c>
      <c r="AC35" s="49" t="str">
        <f t="shared" si="18"/>
        <v/>
      </c>
      <c r="AD35" s="49" t="str">
        <f t="shared" si="19"/>
        <v/>
      </c>
      <c r="AE35" s="49" t="str">
        <f>IF($A35="","",IF(N(Perioade!$O35)&gt;0,CEILING(MAX(AD35,AC35*(1-a_PondSug)+N(Perioade!$O35)*a_PondSug),a_Rot),CEILING(AC35,a_Rot)))</f>
        <v/>
      </c>
      <c r="AF35" s="50" t="str">
        <f t="shared" si="20"/>
        <v/>
      </c>
      <c r="AG35" s="49" t="str">
        <f t="shared" si="21"/>
        <v/>
      </c>
      <c r="AH35" s="48" t="str">
        <f t="shared" si="22"/>
        <v/>
      </c>
      <c r="AI35" s="49" t="str">
        <f t="shared" si="23"/>
        <v/>
      </c>
      <c r="AJ35" s="49" t="str">
        <f t="shared" si="24"/>
        <v/>
      </c>
      <c r="AK35" s="49" t="str">
        <f t="shared" si="25"/>
        <v/>
      </c>
      <c r="AL35" s="49" t="str">
        <f t="shared" si="26"/>
        <v/>
      </c>
      <c r="AM35" s="49" t="str">
        <f t="shared" si="27"/>
        <v/>
      </c>
      <c r="AN35" s="49" t="str">
        <f t="shared" si="28"/>
        <v/>
      </c>
      <c r="AO35" s="49" t="str">
        <f t="shared" si="29"/>
        <v/>
      </c>
      <c r="AP35" s="50" t="str">
        <f t="shared" si="30"/>
        <v/>
      </c>
      <c r="AQ35" s="50" t="str">
        <f t="shared" si="31"/>
        <v/>
      </c>
      <c r="AR35" s="50" t="str">
        <f t="shared" si="32"/>
        <v/>
      </c>
      <c r="AS35" s="43" t="str">
        <f t="shared" si="33"/>
        <v/>
      </c>
      <c r="AT35" s="49" t="str">
        <f t="shared" si="34"/>
        <v/>
      </c>
      <c r="AU35" s="49" t="str">
        <f t="shared" si="35"/>
        <v/>
      </c>
      <c r="AV35" s="49" t="str">
        <f t="shared" si="36"/>
        <v/>
      </c>
      <c r="AW35" s="49" t="str">
        <f t="shared" si="37"/>
        <v/>
      </c>
      <c r="AX35" s="49" t="str">
        <f t="shared" si="38"/>
        <v/>
      </c>
      <c r="AY35" s="49" t="str">
        <f t="shared" si="39"/>
        <v/>
      </c>
      <c r="AZ35" s="49" t="str">
        <f t="shared" si="40"/>
        <v/>
      </c>
      <c r="BA35" s="49" t="str">
        <f t="shared" si="41"/>
        <v/>
      </c>
      <c r="BB35" s="49" t="str">
        <f t="shared" si="42"/>
        <v/>
      </c>
      <c r="BC35" s="49" t="str">
        <f t="shared" si="43"/>
        <v/>
      </c>
      <c r="BD35" s="49" t="str">
        <f t="shared" si="44"/>
        <v/>
      </c>
      <c r="BE35" s="49" t="str">
        <f t="shared" si="45"/>
        <v/>
      </c>
      <c r="BF35" s="49" t="str">
        <f t="shared" si="46"/>
        <v/>
      </c>
      <c r="BG35" s="49" t="str">
        <f t="shared" si="47"/>
        <v/>
      </c>
      <c r="BH35" s="49" t="str">
        <f t="shared" si="48"/>
        <v/>
      </c>
      <c r="BI35" s="49" t="str">
        <f t="shared" si="49"/>
        <v/>
      </c>
      <c r="BJ35" s="49" t="str">
        <f t="shared" si="50"/>
        <v/>
      </c>
      <c r="BK35" s="49" t="str">
        <f t="shared" si="51"/>
        <v/>
      </c>
      <c r="BL35" s="49" t="str">
        <f t="shared" si="52"/>
        <v/>
      </c>
      <c r="BM35" s="49" t="str">
        <f t="shared" si="53"/>
        <v/>
      </c>
      <c r="BN35" s="49" t="str">
        <f t="shared" si="54"/>
        <v/>
      </c>
      <c r="BO35" s="49" t="str">
        <f t="shared" si="55"/>
        <v/>
      </c>
      <c r="BP35" s="49" t="str">
        <f t="shared" si="56"/>
        <v/>
      </c>
      <c r="BQ35" s="49" t="str">
        <f t="shared" si="57"/>
        <v/>
      </c>
      <c r="BR35" s="49" t="str">
        <f t="shared" si="58"/>
        <v/>
      </c>
      <c r="BS35" s="49" t="str">
        <f t="shared" si="59"/>
        <v/>
      </c>
      <c r="BT35" s="49" t="str">
        <f t="shared" si="60"/>
        <v/>
      </c>
      <c r="BU35" s="49" t="str">
        <f t="shared" si="61"/>
        <v/>
      </c>
      <c r="BV35" s="49" t="str">
        <f t="shared" si="62"/>
        <v/>
      </c>
      <c r="BW35" s="49" t="str">
        <f t="shared" si="63"/>
        <v/>
      </c>
      <c r="BX35" s="49" t="str">
        <f t="shared" si="64"/>
        <v/>
      </c>
      <c r="BY35" s="49" t="str">
        <f t="shared" si="65"/>
        <v/>
      </c>
      <c r="BZ35" s="49" t="str">
        <f t="shared" si="66"/>
        <v/>
      </c>
      <c r="CA35" s="49" t="str">
        <f t="shared" si="67"/>
        <v/>
      </c>
      <c r="CB35" s="49" t="str">
        <f t="shared" si="68"/>
        <v/>
      </c>
    </row>
    <row r="36" spans="1:80" x14ac:dyDescent="0.2">
      <c r="A36" s="43" t="str">
        <f>IF(Perioade!$A36="","",Perioade!$A36)</f>
        <v/>
      </c>
      <c r="B36" s="43" t="str">
        <f>IF($A36="","",IF(OR(Perioade!$G36="Preț fix",Perioade!$G36="Personalizat"),Perioade!$G36,"Standard"))</f>
        <v/>
      </c>
      <c r="C36" s="47" t="str">
        <f>IF($A36="","",N(Perioade!$F36))</f>
        <v/>
      </c>
      <c r="D36" s="48" t="str">
        <f>IF($A36="","",IF(2&lt;$C36,"",IF($B36="Preț fix",IF(2=$C36,0,""),IF($B36="Standard",INDEX(p_Std,1,1),IF(Perioade!$H36="",IF(2=$C36,0,""),N(Perioade!$H36))))))</f>
        <v/>
      </c>
      <c r="E36" s="48" t="str">
        <f>IF($A36="","",IF(3&lt;$C36,"",IF($B36="Preț fix",IF(3=$C36,0,""),IF($B36="Standard",INDEX(p_Std,1,2),IF(Perioade!$I36="",IF(3=$C36,0,""),N(Perioade!$I36))))))</f>
        <v/>
      </c>
      <c r="F36" s="48" t="str">
        <f>IF($A36="","",IF(4&lt;$C36,"",IF($B36="Preț fix",IF(4=$C36,0,""),IF($B36="Standard",INDEX(p_Std,1,3),IF(Perioade!$J36="",IF(4=$C36,0,""),N(Perioade!$J36))))))</f>
        <v/>
      </c>
      <c r="G36" s="48" t="str">
        <f>IF($A36="","",IF(5&lt;$C36,"",IF($B36="Preț fix",IF(5=$C36,0,""),IF($B36="Standard",INDEX(p_Std,1,4),IF(Perioade!$K36="",IF(5=$C36,0,""),N(Perioade!$K36))))))</f>
        <v/>
      </c>
      <c r="H36" s="48" t="str">
        <f>IF($A36="","",IF(6&lt;$C36,"",IF($B36="Preț fix",IF(6=$C36,0,""),IF($B36="Standard",INDEX(p_Std,1,5),IF(Perioade!$L36="",IF(6=$C36,0,""),N(Perioade!$L36))))))</f>
        <v/>
      </c>
      <c r="I36" s="48" t="str">
        <f>IF($A36="","",IF(7&lt;$C36,"",IF($B36="Preț fix",IF(7=$C36,0,""),IF($B36="Standard",INDEX(p_Std,1,6),IF(Perioade!$M36="",IF(7=$C36,0,""),N(Perioade!$M36))))))</f>
        <v/>
      </c>
      <c r="J36" s="48" t="str">
        <f t="shared" si="0"/>
        <v/>
      </c>
      <c r="K36" s="48" t="str">
        <f t="shared" si="1"/>
        <v/>
      </c>
      <c r="L36" s="48" t="str">
        <f t="shared" si="2"/>
        <v/>
      </c>
      <c r="M36" s="48" t="str">
        <f t="shared" si="3"/>
        <v/>
      </c>
      <c r="N36" s="48" t="str">
        <f t="shared" si="4"/>
        <v/>
      </c>
      <c r="O36" s="48" t="str">
        <f t="shared" si="5"/>
        <v/>
      </c>
      <c r="P36" s="47" t="str">
        <f t="shared" si="6"/>
        <v/>
      </c>
      <c r="Q36" s="48" t="str">
        <f t="shared" si="7"/>
        <v/>
      </c>
      <c r="R36" s="49" t="str">
        <f>IF($A36="","",N(Perioade!$E36))</f>
        <v/>
      </c>
      <c r="S36" s="49" t="str">
        <f t="shared" si="8"/>
        <v/>
      </c>
      <c r="T36" s="49" t="str">
        <f t="shared" si="9"/>
        <v/>
      </c>
      <c r="U36" s="49" t="str">
        <f t="shared" si="10"/>
        <v/>
      </c>
      <c r="V36" s="50" t="str">
        <f t="shared" si="11"/>
        <v/>
      </c>
      <c r="W36" s="49" t="str">
        <f t="shared" si="12"/>
        <v/>
      </c>
      <c r="X36" s="48" t="str">
        <f t="shared" si="13"/>
        <v/>
      </c>
      <c r="Y36" s="49" t="str">
        <f t="shared" si="14"/>
        <v/>
      </c>
      <c r="Z36" s="50" t="str">
        <f t="shared" si="15"/>
        <v/>
      </c>
      <c r="AA36" s="49" t="str">
        <f t="shared" si="16"/>
        <v/>
      </c>
      <c r="AB36" s="48" t="str">
        <f t="shared" si="17"/>
        <v/>
      </c>
      <c r="AC36" s="49" t="str">
        <f t="shared" si="18"/>
        <v/>
      </c>
      <c r="AD36" s="49" t="str">
        <f t="shared" si="19"/>
        <v/>
      </c>
      <c r="AE36" s="49" t="str">
        <f>IF($A36="","",IF(N(Perioade!$O36)&gt;0,CEILING(MAX(AD36,AC36*(1-a_PondSug)+N(Perioade!$O36)*a_PondSug),a_Rot),CEILING(AC36,a_Rot)))</f>
        <v/>
      </c>
      <c r="AF36" s="50" t="str">
        <f t="shared" si="20"/>
        <v/>
      </c>
      <c r="AG36" s="49" t="str">
        <f t="shared" si="21"/>
        <v/>
      </c>
      <c r="AH36" s="48" t="str">
        <f t="shared" si="22"/>
        <v/>
      </c>
      <c r="AI36" s="49" t="str">
        <f t="shared" si="23"/>
        <v/>
      </c>
      <c r="AJ36" s="49" t="str">
        <f t="shared" si="24"/>
        <v/>
      </c>
      <c r="AK36" s="49" t="str">
        <f t="shared" si="25"/>
        <v/>
      </c>
      <c r="AL36" s="49" t="str">
        <f t="shared" si="26"/>
        <v/>
      </c>
      <c r="AM36" s="49" t="str">
        <f t="shared" si="27"/>
        <v/>
      </c>
      <c r="AN36" s="49" t="str">
        <f t="shared" si="28"/>
        <v/>
      </c>
      <c r="AO36" s="49" t="str">
        <f t="shared" si="29"/>
        <v/>
      </c>
      <c r="AP36" s="50" t="str">
        <f t="shared" si="30"/>
        <v/>
      </c>
      <c r="AQ36" s="50" t="str">
        <f t="shared" si="31"/>
        <v/>
      </c>
      <c r="AR36" s="50" t="str">
        <f t="shared" si="32"/>
        <v/>
      </c>
      <c r="AS36" s="43" t="str">
        <f t="shared" si="33"/>
        <v/>
      </c>
      <c r="AT36" s="49" t="str">
        <f t="shared" si="34"/>
        <v/>
      </c>
      <c r="AU36" s="49" t="str">
        <f t="shared" si="35"/>
        <v/>
      </c>
      <c r="AV36" s="49" t="str">
        <f t="shared" si="36"/>
        <v/>
      </c>
      <c r="AW36" s="49" t="str">
        <f t="shared" si="37"/>
        <v/>
      </c>
      <c r="AX36" s="49" t="str">
        <f t="shared" si="38"/>
        <v/>
      </c>
      <c r="AY36" s="49" t="str">
        <f t="shared" si="39"/>
        <v/>
      </c>
      <c r="AZ36" s="49" t="str">
        <f t="shared" si="40"/>
        <v/>
      </c>
      <c r="BA36" s="49" t="str">
        <f t="shared" si="41"/>
        <v/>
      </c>
      <c r="BB36" s="49" t="str">
        <f t="shared" si="42"/>
        <v/>
      </c>
      <c r="BC36" s="49" t="str">
        <f t="shared" si="43"/>
        <v/>
      </c>
      <c r="BD36" s="49" t="str">
        <f t="shared" si="44"/>
        <v/>
      </c>
      <c r="BE36" s="49" t="str">
        <f t="shared" si="45"/>
        <v/>
      </c>
      <c r="BF36" s="49" t="str">
        <f t="shared" si="46"/>
        <v/>
      </c>
      <c r="BG36" s="49" t="str">
        <f t="shared" si="47"/>
        <v/>
      </c>
      <c r="BH36" s="49" t="str">
        <f t="shared" si="48"/>
        <v/>
      </c>
      <c r="BI36" s="49" t="str">
        <f t="shared" si="49"/>
        <v/>
      </c>
      <c r="BJ36" s="49" t="str">
        <f t="shared" si="50"/>
        <v/>
      </c>
      <c r="BK36" s="49" t="str">
        <f t="shared" si="51"/>
        <v/>
      </c>
      <c r="BL36" s="49" t="str">
        <f t="shared" si="52"/>
        <v/>
      </c>
      <c r="BM36" s="49" t="str">
        <f t="shared" si="53"/>
        <v/>
      </c>
      <c r="BN36" s="49" t="str">
        <f t="shared" si="54"/>
        <v/>
      </c>
      <c r="BO36" s="49" t="str">
        <f t="shared" si="55"/>
        <v/>
      </c>
      <c r="BP36" s="49" t="str">
        <f t="shared" si="56"/>
        <v/>
      </c>
      <c r="BQ36" s="49" t="str">
        <f t="shared" si="57"/>
        <v/>
      </c>
      <c r="BR36" s="49" t="str">
        <f t="shared" si="58"/>
        <v/>
      </c>
      <c r="BS36" s="49" t="str">
        <f t="shared" si="59"/>
        <v/>
      </c>
      <c r="BT36" s="49" t="str">
        <f t="shared" si="60"/>
        <v/>
      </c>
      <c r="BU36" s="49" t="str">
        <f t="shared" si="61"/>
        <v/>
      </c>
      <c r="BV36" s="49" t="str">
        <f t="shared" si="62"/>
        <v/>
      </c>
      <c r="BW36" s="49" t="str">
        <f t="shared" si="63"/>
        <v/>
      </c>
      <c r="BX36" s="49" t="str">
        <f t="shared" si="64"/>
        <v/>
      </c>
      <c r="BY36" s="49" t="str">
        <f t="shared" si="65"/>
        <v/>
      </c>
      <c r="BZ36" s="49" t="str">
        <f t="shared" si="66"/>
        <v/>
      </c>
      <c r="CA36" s="49" t="str">
        <f t="shared" si="67"/>
        <v/>
      </c>
      <c r="CB36" s="49" t="str">
        <f t="shared" si="68"/>
        <v/>
      </c>
    </row>
    <row r="37" spans="1:80" x14ac:dyDescent="0.2">
      <c r="A37" s="43" t="str">
        <f>IF(Perioade!$A37="","",Perioade!$A37)</f>
        <v/>
      </c>
      <c r="B37" s="43" t="str">
        <f>IF($A37="","",IF(OR(Perioade!$G37="Preț fix",Perioade!$G37="Personalizat"),Perioade!$G37,"Standard"))</f>
        <v/>
      </c>
      <c r="C37" s="47" t="str">
        <f>IF($A37="","",N(Perioade!$F37))</f>
        <v/>
      </c>
      <c r="D37" s="48" t="str">
        <f>IF($A37="","",IF(2&lt;$C37,"",IF($B37="Preț fix",IF(2=$C37,0,""),IF($B37="Standard",INDEX(p_Std,1,1),IF(Perioade!$H37="",IF(2=$C37,0,""),N(Perioade!$H37))))))</f>
        <v/>
      </c>
      <c r="E37" s="48" t="str">
        <f>IF($A37="","",IF(3&lt;$C37,"",IF($B37="Preț fix",IF(3=$C37,0,""),IF($B37="Standard",INDEX(p_Std,1,2),IF(Perioade!$I37="",IF(3=$C37,0,""),N(Perioade!$I37))))))</f>
        <v/>
      </c>
      <c r="F37" s="48" t="str">
        <f>IF($A37="","",IF(4&lt;$C37,"",IF($B37="Preț fix",IF(4=$C37,0,""),IF($B37="Standard",INDEX(p_Std,1,3),IF(Perioade!$J37="",IF(4=$C37,0,""),N(Perioade!$J37))))))</f>
        <v/>
      </c>
      <c r="G37" s="48" t="str">
        <f>IF($A37="","",IF(5&lt;$C37,"",IF($B37="Preț fix",IF(5=$C37,0,""),IF($B37="Standard",INDEX(p_Std,1,4),IF(Perioade!$K37="",IF(5=$C37,0,""),N(Perioade!$K37))))))</f>
        <v/>
      </c>
      <c r="H37" s="48" t="str">
        <f>IF($A37="","",IF(6&lt;$C37,"",IF($B37="Preț fix",IF(6=$C37,0,""),IF($B37="Standard",INDEX(p_Std,1,5),IF(Perioade!$L37="",IF(6=$C37,0,""),N(Perioade!$L37))))))</f>
        <v/>
      </c>
      <c r="I37" s="48" t="str">
        <f>IF($A37="","",IF(7&lt;$C37,"",IF($B37="Preț fix",IF(7=$C37,0,""),IF($B37="Standard",INDEX(p_Std,1,6),IF(Perioade!$M37="",IF(7=$C37,0,""),N(Perioade!$M37))))))</f>
        <v/>
      </c>
      <c r="J37" s="48" t="str">
        <f t="shared" si="0"/>
        <v/>
      </c>
      <c r="K37" s="48" t="str">
        <f t="shared" si="1"/>
        <v/>
      </c>
      <c r="L37" s="48" t="str">
        <f t="shared" si="2"/>
        <v/>
      </c>
      <c r="M37" s="48" t="str">
        <f t="shared" si="3"/>
        <v/>
      </c>
      <c r="N37" s="48" t="str">
        <f t="shared" si="4"/>
        <v/>
      </c>
      <c r="O37" s="48" t="str">
        <f t="shared" si="5"/>
        <v/>
      </c>
      <c r="P37" s="47" t="str">
        <f t="shared" si="6"/>
        <v/>
      </c>
      <c r="Q37" s="48" t="str">
        <f t="shared" si="7"/>
        <v/>
      </c>
      <c r="R37" s="49" t="str">
        <f>IF($A37="","",N(Perioade!$E37))</f>
        <v/>
      </c>
      <c r="S37" s="49" t="str">
        <f t="shared" si="8"/>
        <v/>
      </c>
      <c r="T37" s="49" t="str">
        <f t="shared" si="9"/>
        <v/>
      </c>
      <c r="U37" s="49" t="str">
        <f t="shared" si="10"/>
        <v/>
      </c>
      <c r="V37" s="50" t="str">
        <f t="shared" si="11"/>
        <v/>
      </c>
      <c r="W37" s="49" t="str">
        <f t="shared" si="12"/>
        <v/>
      </c>
      <c r="X37" s="48" t="str">
        <f t="shared" si="13"/>
        <v/>
      </c>
      <c r="Y37" s="49" t="str">
        <f t="shared" si="14"/>
        <v/>
      </c>
      <c r="Z37" s="50" t="str">
        <f t="shared" si="15"/>
        <v/>
      </c>
      <c r="AA37" s="49" t="str">
        <f t="shared" si="16"/>
        <v/>
      </c>
      <c r="AB37" s="48" t="str">
        <f t="shared" si="17"/>
        <v/>
      </c>
      <c r="AC37" s="49" t="str">
        <f t="shared" si="18"/>
        <v/>
      </c>
      <c r="AD37" s="49" t="str">
        <f t="shared" si="19"/>
        <v/>
      </c>
      <c r="AE37" s="49" t="str">
        <f>IF($A37="","",IF(N(Perioade!$O37)&gt;0,CEILING(MAX(AD37,AC37*(1-a_PondSug)+N(Perioade!$O37)*a_PondSug),a_Rot),CEILING(AC37,a_Rot)))</f>
        <v/>
      </c>
      <c r="AF37" s="50" t="str">
        <f t="shared" si="20"/>
        <v/>
      </c>
      <c r="AG37" s="49" t="str">
        <f t="shared" si="21"/>
        <v/>
      </c>
      <c r="AH37" s="48" t="str">
        <f t="shared" si="22"/>
        <v/>
      </c>
      <c r="AI37" s="49" t="str">
        <f t="shared" si="23"/>
        <v/>
      </c>
      <c r="AJ37" s="49" t="str">
        <f t="shared" si="24"/>
        <v/>
      </c>
      <c r="AK37" s="49" t="str">
        <f t="shared" si="25"/>
        <v/>
      </c>
      <c r="AL37" s="49" t="str">
        <f t="shared" si="26"/>
        <v/>
      </c>
      <c r="AM37" s="49" t="str">
        <f t="shared" si="27"/>
        <v/>
      </c>
      <c r="AN37" s="49" t="str">
        <f t="shared" si="28"/>
        <v/>
      </c>
      <c r="AO37" s="49" t="str">
        <f t="shared" si="29"/>
        <v/>
      </c>
      <c r="AP37" s="50" t="str">
        <f t="shared" si="30"/>
        <v/>
      </c>
      <c r="AQ37" s="50" t="str">
        <f t="shared" si="31"/>
        <v/>
      </c>
      <c r="AR37" s="50" t="str">
        <f t="shared" si="32"/>
        <v/>
      </c>
      <c r="AS37" s="43" t="str">
        <f t="shared" si="33"/>
        <v/>
      </c>
      <c r="AT37" s="49" t="str">
        <f t="shared" si="34"/>
        <v/>
      </c>
      <c r="AU37" s="49" t="str">
        <f t="shared" si="35"/>
        <v/>
      </c>
      <c r="AV37" s="49" t="str">
        <f t="shared" si="36"/>
        <v/>
      </c>
      <c r="AW37" s="49" t="str">
        <f t="shared" si="37"/>
        <v/>
      </c>
      <c r="AX37" s="49" t="str">
        <f t="shared" si="38"/>
        <v/>
      </c>
      <c r="AY37" s="49" t="str">
        <f t="shared" si="39"/>
        <v/>
      </c>
      <c r="AZ37" s="49" t="str">
        <f t="shared" si="40"/>
        <v/>
      </c>
      <c r="BA37" s="49" t="str">
        <f t="shared" si="41"/>
        <v/>
      </c>
      <c r="BB37" s="49" t="str">
        <f t="shared" si="42"/>
        <v/>
      </c>
      <c r="BC37" s="49" t="str">
        <f t="shared" si="43"/>
        <v/>
      </c>
      <c r="BD37" s="49" t="str">
        <f t="shared" si="44"/>
        <v/>
      </c>
      <c r="BE37" s="49" t="str">
        <f t="shared" si="45"/>
        <v/>
      </c>
      <c r="BF37" s="49" t="str">
        <f t="shared" si="46"/>
        <v/>
      </c>
      <c r="BG37" s="49" t="str">
        <f t="shared" si="47"/>
        <v/>
      </c>
      <c r="BH37" s="49" t="str">
        <f t="shared" si="48"/>
        <v/>
      </c>
      <c r="BI37" s="49" t="str">
        <f t="shared" si="49"/>
        <v/>
      </c>
      <c r="BJ37" s="49" t="str">
        <f t="shared" si="50"/>
        <v/>
      </c>
      <c r="BK37" s="49" t="str">
        <f t="shared" si="51"/>
        <v/>
      </c>
      <c r="BL37" s="49" t="str">
        <f t="shared" si="52"/>
        <v/>
      </c>
      <c r="BM37" s="49" t="str">
        <f t="shared" si="53"/>
        <v/>
      </c>
      <c r="BN37" s="49" t="str">
        <f t="shared" si="54"/>
        <v/>
      </c>
      <c r="BO37" s="49" t="str">
        <f t="shared" si="55"/>
        <v/>
      </c>
      <c r="BP37" s="49" t="str">
        <f t="shared" si="56"/>
        <v/>
      </c>
      <c r="BQ37" s="49" t="str">
        <f t="shared" si="57"/>
        <v/>
      </c>
      <c r="BR37" s="49" t="str">
        <f t="shared" si="58"/>
        <v/>
      </c>
      <c r="BS37" s="49" t="str">
        <f t="shared" si="59"/>
        <v/>
      </c>
      <c r="BT37" s="49" t="str">
        <f t="shared" si="60"/>
        <v/>
      </c>
      <c r="BU37" s="49" t="str">
        <f t="shared" si="61"/>
        <v/>
      </c>
      <c r="BV37" s="49" t="str">
        <f t="shared" si="62"/>
        <v/>
      </c>
      <c r="BW37" s="49" t="str">
        <f t="shared" si="63"/>
        <v/>
      </c>
      <c r="BX37" s="49" t="str">
        <f t="shared" si="64"/>
        <v/>
      </c>
      <c r="BY37" s="49" t="str">
        <f t="shared" si="65"/>
        <v/>
      </c>
      <c r="BZ37" s="49" t="str">
        <f t="shared" si="66"/>
        <v/>
      </c>
      <c r="CA37" s="49" t="str">
        <f t="shared" si="67"/>
        <v/>
      </c>
      <c r="CB37" s="49" t="str">
        <f t="shared" si="68"/>
        <v/>
      </c>
    </row>
    <row r="38" spans="1:80" x14ac:dyDescent="0.2">
      <c r="A38" s="43" t="str">
        <f>IF(Perioade!$A38="","",Perioade!$A38)</f>
        <v/>
      </c>
      <c r="B38" s="43" t="str">
        <f>IF($A38="","",IF(OR(Perioade!$G38="Preț fix",Perioade!$G38="Personalizat"),Perioade!$G38,"Standard"))</f>
        <v/>
      </c>
      <c r="C38" s="47" t="str">
        <f>IF($A38="","",N(Perioade!$F38))</f>
        <v/>
      </c>
      <c r="D38" s="48" t="str">
        <f>IF($A38="","",IF(2&lt;$C38,"",IF($B38="Preț fix",IF(2=$C38,0,""),IF($B38="Standard",INDEX(p_Std,1,1),IF(Perioade!$H38="",IF(2=$C38,0,""),N(Perioade!$H38))))))</f>
        <v/>
      </c>
      <c r="E38" s="48" t="str">
        <f>IF($A38="","",IF(3&lt;$C38,"",IF($B38="Preț fix",IF(3=$C38,0,""),IF($B38="Standard",INDEX(p_Std,1,2),IF(Perioade!$I38="",IF(3=$C38,0,""),N(Perioade!$I38))))))</f>
        <v/>
      </c>
      <c r="F38" s="48" t="str">
        <f>IF($A38="","",IF(4&lt;$C38,"",IF($B38="Preț fix",IF(4=$C38,0,""),IF($B38="Standard",INDEX(p_Std,1,3),IF(Perioade!$J38="",IF(4=$C38,0,""),N(Perioade!$J38))))))</f>
        <v/>
      </c>
      <c r="G38" s="48" t="str">
        <f>IF($A38="","",IF(5&lt;$C38,"",IF($B38="Preț fix",IF(5=$C38,0,""),IF($B38="Standard",INDEX(p_Std,1,4),IF(Perioade!$K38="",IF(5=$C38,0,""),N(Perioade!$K38))))))</f>
        <v/>
      </c>
      <c r="H38" s="48" t="str">
        <f>IF($A38="","",IF(6&lt;$C38,"",IF($B38="Preț fix",IF(6=$C38,0,""),IF($B38="Standard",INDEX(p_Std,1,5),IF(Perioade!$L38="",IF(6=$C38,0,""),N(Perioade!$L38))))))</f>
        <v/>
      </c>
      <c r="I38" s="48" t="str">
        <f>IF($A38="","",IF(7&lt;$C38,"",IF($B38="Preț fix",IF(7=$C38,0,""),IF($B38="Standard",INDEX(p_Std,1,6),IF(Perioade!$M38="",IF(7=$C38,0,""),N(Perioade!$M38))))))</f>
        <v/>
      </c>
      <c r="J38" s="48" t="str">
        <f t="shared" si="0"/>
        <v/>
      </c>
      <c r="K38" s="48" t="str">
        <f t="shared" si="1"/>
        <v/>
      </c>
      <c r="L38" s="48" t="str">
        <f t="shared" si="2"/>
        <v/>
      </c>
      <c r="M38" s="48" t="str">
        <f t="shared" si="3"/>
        <v/>
      </c>
      <c r="N38" s="48" t="str">
        <f t="shared" si="4"/>
        <v/>
      </c>
      <c r="O38" s="48" t="str">
        <f t="shared" si="5"/>
        <v/>
      </c>
      <c r="P38" s="47" t="str">
        <f t="shared" si="6"/>
        <v/>
      </c>
      <c r="Q38" s="48" t="str">
        <f t="shared" si="7"/>
        <v/>
      </c>
      <c r="R38" s="49" t="str">
        <f>IF($A38="","",N(Perioade!$E38))</f>
        <v/>
      </c>
      <c r="S38" s="49" t="str">
        <f t="shared" si="8"/>
        <v/>
      </c>
      <c r="T38" s="49" t="str">
        <f t="shared" si="9"/>
        <v/>
      </c>
      <c r="U38" s="49" t="str">
        <f t="shared" si="10"/>
        <v/>
      </c>
      <c r="V38" s="50" t="str">
        <f t="shared" si="11"/>
        <v/>
      </c>
      <c r="W38" s="49" t="str">
        <f t="shared" si="12"/>
        <v/>
      </c>
      <c r="X38" s="48" t="str">
        <f t="shared" si="13"/>
        <v/>
      </c>
      <c r="Y38" s="49" t="str">
        <f t="shared" si="14"/>
        <v/>
      </c>
      <c r="Z38" s="50" t="str">
        <f t="shared" si="15"/>
        <v/>
      </c>
      <c r="AA38" s="49" t="str">
        <f t="shared" si="16"/>
        <v/>
      </c>
      <c r="AB38" s="48" t="str">
        <f t="shared" si="17"/>
        <v/>
      </c>
      <c r="AC38" s="49" t="str">
        <f t="shared" si="18"/>
        <v/>
      </c>
      <c r="AD38" s="49" t="str">
        <f t="shared" si="19"/>
        <v/>
      </c>
      <c r="AE38" s="49" t="str">
        <f>IF($A38="","",IF(N(Perioade!$O38)&gt;0,CEILING(MAX(AD38,AC38*(1-a_PondSug)+N(Perioade!$O38)*a_PondSug),a_Rot),CEILING(AC38,a_Rot)))</f>
        <v/>
      </c>
      <c r="AF38" s="50" t="str">
        <f t="shared" si="20"/>
        <v/>
      </c>
      <c r="AG38" s="49" t="str">
        <f t="shared" si="21"/>
        <v/>
      </c>
      <c r="AH38" s="48" t="str">
        <f t="shared" si="22"/>
        <v/>
      </c>
      <c r="AI38" s="49" t="str">
        <f t="shared" si="23"/>
        <v/>
      </c>
      <c r="AJ38" s="49" t="str">
        <f t="shared" si="24"/>
        <v/>
      </c>
      <c r="AK38" s="49" t="str">
        <f t="shared" si="25"/>
        <v/>
      </c>
      <c r="AL38" s="49" t="str">
        <f t="shared" si="26"/>
        <v/>
      </c>
      <c r="AM38" s="49" t="str">
        <f t="shared" si="27"/>
        <v/>
      </c>
      <c r="AN38" s="49" t="str">
        <f t="shared" si="28"/>
        <v/>
      </c>
      <c r="AO38" s="49" t="str">
        <f t="shared" si="29"/>
        <v/>
      </c>
      <c r="AP38" s="50" t="str">
        <f t="shared" si="30"/>
        <v/>
      </c>
      <c r="AQ38" s="50" t="str">
        <f t="shared" si="31"/>
        <v/>
      </c>
      <c r="AR38" s="50" t="str">
        <f t="shared" si="32"/>
        <v/>
      </c>
      <c r="AS38" s="43" t="str">
        <f t="shared" si="33"/>
        <v/>
      </c>
      <c r="AT38" s="49" t="str">
        <f t="shared" si="34"/>
        <v/>
      </c>
      <c r="AU38" s="49" t="str">
        <f t="shared" si="35"/>
        <v/>
      </c>
      <c r="AV38" s="49" t="str">
        <f t="shared" si="36"/>
        <v/>
      </c>
      <c r="AW38" s="49" t="str">
        <f t="shared" si="37"/>
        <v/>
      </c>
      <c r="AX38" s="49" t="str">
        <f t="shared" si="38"/>
        <v/>
      </c>
      <c r="AY38" s="49" t="str">
        <f t="shared" si="39"/>
        <v/>
      </c>
      <c r="AZ38" s="49" t="str">
        <f t="shared" si="40"/>
        <v/>
      </c>
      <c r="BA38" s="49" t="str">
        <f t="shared" si="41"/>
        <v/>
      </c>
      <c r="BB38" s="49" t="str">
        <f t="shared" si="42"/>
        <v/>
      </c>
      <c r="BC38" s="49" t="str">
        <f t="shared" si="43"/>
        <v/>
      </c>
      <c r="BD38" s="49" t="str">
        <f t="shared" si="44"/>
        <v/>
      </c>
      <c r="BE38" s="49" t="str">
        <f t="shared" si="45"/>
        <v/>
      </c>
      <c r="BF38" s="49" t="str">
        <f t="shared" si="46"/>
        <v/>
      </c>
      <c r="BG38" s="49" t="str">
        <f t="shared" si="47"/>
        <v/>
      </c>
      <c r="BH38" s="49" t="str">
        <f t="shared" si="48"/>
        <v/>
      </c>
      <c r="BI38" s="49" t="str">
        <f t="shared" si="49"/>
        <v/>
      </c>
      <c r="BJ38" s="49" t="str">
        <f t="shared" si="50"/>
        <v/>
      </c>
      <c r="BK38" s="49" t="str">
        <f t="shared" si="51"/>
        <v/>
      </c>
      <c r="BL38" s="49" t="str">
        <f t="shared" si="52"/>
        <v/>
      </c>
      <c r="BM38" s="49" t="str">
        <f t="shared" si="53"/>
        <v/>
      </c>
      <c r="BN38" s="49" t="str">
        <f t="shared" si="54"/>
        <v/>
      </c>
      <c r="BO38" s="49" t="str">
        <f t="shared" si="55"/>
        <v/>
      </c>
      <c r="BP38" s="49" t="str">
        <f t="shared" si="56"/>
        <v/>
      </c>
      <c r="BQ38" s="49" t="str">
        <f t="shared" si="57"/>
        <v/>
      </c>
      <c r="BR38" s="49" t="str">
        <f t="shared" si="58"/>
        <v/>
      </c>
      <c r="BS38" s="49" t="str">
        <f t="shared" si="59"/>
        <v/>
      </c>
      <c r="BT38" s="49" t="str">
        <f t="shared" si="60"/>
        <v/>
      </c>
      <c r="BU38" s="49" t="str">
        <f t="shared" si="61"/>
        <v/>
      </c>
      <c r="BV38" s="49" t="str">
        <f t="shared" si="62"/>
        <v/>
      </c>
      <c r="BW38" s="49" t="str">
        <f t="shared" si="63"/>
        <v/>
      </c>
      <c r="BX38" s="49" t="str">
        <f t="shared" si="64"/>
        <v/>
      </c>
      <c r="BY38" s="49" t="str">
        <f t="shared" si="65"/>
        <v/>
      </c>
      <c r="BZ38" s="49" t="str">
        <f t="shared" si="66"/>
        <v/>
      </c>
      <c r="CA38" s="49" t="str">
        <f t="shared" si="67"/>
        <v/>
      </c>
      <c r="CB38" s="49" t="str">
        <f t="shared" si="68"/>
        <v/>
      </c>
    </row>
    <row r="39" spans="1:80" x14ac:dyDescent="0.2">
      <c r="A39" s="43" t="str">
        <f>IF(Perioade!$A39="","",Perioade!$A39)</f>
        <v/>
      </c>
      <c r="B39" s="43" t="str">
        <f>IF($A39="","",IF(OR(Perioade!$G39="Preț fix",Perioade!$G39="Personalizat"),Perioade!$G39,"Standard"))</f>
        <v/>
      </c>
      <c r="C39" s="47" t="str">
        <f>IF($A39="","",N(Perioade!$F39))</f>
        <v/>
      </c>
      <c r="D39" s="48" t="str">
        <f>IF($A39="","",IF(2&lt;$C39,"",IF($B39="Preț fix",IF(2=$C39,0,""),IF($B39="Standard",INDEX(p_Std,1,1),IF(Perioade!$H39="",IF(2=$C39,0,""),N(Perioade!$H39))))))</f>
        <v/>
      </c>
      <c r="E39" s="48" t="str">
        <f>IF($A39="","",IF(3&lt;$C39,"",IF($B39="Preț fix",IF(3=$C39,0,""),IF($B39="Standard",INDEX(p_Std,1,2),IF(Perioade!$I39="",IF(3=$C39,0,""),N(Perioade!$I39))))))</f>
        <v/>
      </c>
      <c r="F39" s="48" t="str">
        <f>IF($A39="","",IF(4&lt;$C39,"",IF($B39="Preț fix",IF(4=$C39,0,""),IF($B39="Standard",INDEX(p_Std,1,3),IF(Perioade!$J39="",IF(4=$C39,0,""),N(Perioade!$J39))))))</f>
        <v/>
      </c>
      <c r="G39" s="48" t="str">
        <f>IF($A39="","",IF(5&lt;$C39,"",IF($B39="Preț fix",IF(5=$C39,0,""),IF($B39="Standard",INDEX(p_Std,1,4),IF(Perioade!$K39="",IF(5=$C39,0,""),N(Perioade!$K39))))))</f>
        <v/>
      </c>
      <c r="H39" s="48" t="str">
        <f>IF($A39="","",IF(6&lt;$C39,"",IF($B39="Preț fix",IF(6=$C39,0,""),IF($B39="Standard",INDEX(p_Std,1,5),IF(Perioade!$L39="",IF(6=$C39,0,""),N(Perioade!$L39))))))</f>
        <v/>
      </c>
      <c r="I39" s="48" t="str">
        <f>IF($A39="","",IF(7&lt;$C39,"",IF($B39="Preț fix",IF(7=$C39,0,""),IF($B39="Standard",INDEX(p_Std,1,6),IF(Perioade!$M39="",IF(7=$C39,0,""),N(Perioade!$M39))))))</f>
        <v/>
      </c>
      <c r="J39" s="48" t="str">
        <f t="shared" si="0"/>
        <v/>
      </c>
      <c r="K39" s="48" t="str">
        <f t="shared" si="1"/>
        <v/>
      </c>
      <c r="L39" s="48" t="str">
        <f t="shared" si="2"/>
        <v/>
      </c>
      <c r="M39" s="48" t="str">
        <f t="shared" si="3"/>
        <v/>
      </c>
      <c r="N39" s="48" t="str">
        <f t="shared" si="4"/>
        <v/>
      </c>
      <c r="O39" s="48" t="str">
        <f t="shared" si="5"/>
        <v/>
      </c>
      <c r="P39" s="47" t="str">
        <f t="shared" si="6"/>
        <v/>
      </c>
      <c r="Q39" s="48" t="str">
        <f t="shared" si="7"/>
        <v/>
      </c>
      <c r="R39" s="49" t="str">
        <f>IF($A39="","",N(Perioade!$E39))</f>
        <v/>
      </c>
      <c r="S39" s="49" t="str">
        <f t="shared" si="8"/>
        <v/>
      </c>
      <c r="T39" s="49" t="str">
        <f t="shared" si="9"/>
        <v/>
      </c>
      <c r="U39" s="49" t="str">
        <f t="shared" si="10"/>
        <v/>
      </c>
      <c r="V39" s="50" t="str">
        <f t="shared" si="11"/>
        <v/>
      </c>
      <c r="W39" s="49" t="str">
        <f t="shared" si="12"/>
        <v/>
      </c>
      <c r="X39" s="48" t="str">
        <f t="shared" si="13"/>
        <v/>
      </c>
      <c r="Y39" s="49" t="str">
        <f t="shared" si="14"/>
        <v/>
      </c>
      <c r="Z39" s="50" t="str">
        <f t="shared" si="15"/>
        <v/>
      </c>
      <c r="AA39" s="49" t="str">
        <f t="shared" si="16"/>
        <v/>
      </c>
      <c r="AB39" s="48" t="str">
        <f t="shared" si="17"/>
        <v/>
      </c>
      <c r="AC39" s="49" t="str">
        <f t="shared" si="18"/>
        <v/>
      </c>
      <c r="AD39" s="49" t="str">
        <f t="shared" si="19"/>
        <v/>
      </c>
      <c r="AE39" s="49" t="str">
        <f>IF($A39="","",IF(N(Perioade!$O39)&gt;0,CEILING(MAX(AD39,AC39*(1-a_PondSug)+N(Perioade!$O39)*a_PondSug),a_Rot),CEILING(AC39,a_Rot)))</f>
        <v/>
      </c>
      <c r="AF39" s="50" t="str">
        <f t="shared" si="20"/>
        <v/>
      </c>
      <c r="AG39" s="49" t="str">
        <f t="shared" si="21"/>
        <v/>
      </c>
      <c r="AH39" s="48" t="str">
        <f t="shared" si="22"/>
        <v/>
      </c>
      <c r="AI39" s="49" t="str">
        <f t="shared" si="23"/>
        <v/>
      </c>
      <c r="AJ39" s="49" t="str">
        <f t="shared" si="24"/>
        <v/>
      </c>
      <c r="AK39" s="49" t="str">
        <f t="shared" si="25"/>
        <v/>
      </c>
      <c r="AL39" s="49" t="str">
        <f t="shared" si="26"/>
        <v/>
      </c>
      <c r="AM39" s="49" t="str">
        <f t="shared" si="27"/>
        <v/>
      </c>
      <c r="AN39" s="49" t="str">
        <f t="shared" si="28"/>
        <v/>
      </c>
      <c r="AO39" s="49" t="str">
        <f t="shared" si="29"/>
        <v/>
      </c>
      <c r="AP39" s="50" t="str">
        <f t="shared" si="30"/>
        <v/>
      </c>
      <c r="AQ39" s="50" t="str">
        <f t="shared" si="31"/>
        <v/>
      </c>
      <c r="AR39" s="50" t="str">
        <f t="shared" si="32"/>
        <v/>
      </c>
      <c r="AS39" s="43" t="str">
        <f t="shared" si="33"/>
        <v/>
      </c>
      <c r="AT39" s="49" t="str">
        <f t="shared" si="34"/>
        <v/>
      </c>
      <c r="AU39" s="49" t="str">
        <f t="shared" si="35"/>
        <v/>
      </c>
      <c r="AV39" s="49" t="str">
        <f t="shared" si="36"/>
        <v/>
      </c>
      <c r="AW39" s="49" t="str">
        <f t="shared" si="37"/>
        <v/>
      </c>
      <c r="AX39" s="49" t="str">
        <f t="shared" si="38"/>
        <v/>
      </c>
      <c r="AY39" s="49" t="str">
        <f t="shared" si="39"/>
        <v/>
      </c>
      <c r="AZ39" s="49" t="str">
        <f t="shared" si="40"/>
        <v/>
      </c>
      <c r="BA39" s="49" t="str">
        <f t="shared" si="41"/>
        <v/>
      </c>
      <c r="BB39" s="49" t="str">
        <f t="shared" si="42"/>
        <v/>
      </c>
      <c r="BC39" s="49" t="str">
        <f t="shared" si="43"/>
        <v/>
      </c>
      <c r="BD39" s="49" t="str">
        <f t="shared" si="44"/>
        <v/>
      </c>
      <c r="BE39" s="49" t="str">
        <f t="shared" si="45"/>
        <v/>
      </c>
      <c r="BF39" s="49" t="str">
        <f t="shared" si="46"/>
        <v/>
      </c>
      <c r="BG39" s="49" t="str">
        <f t="shared" si="47"/>
        <v/>
      </c>
      <c r="BH39" s="49" t="str">
        <f t="shared" si="48"/>
        <v/>
      </c>
      <c r="BI39" s="49" t="str">
        <f t="shared" si="49"/>
        <v/>
      </c>
      <c r="BJ39" s="49" t="str">
        <f t="shared" si="50"/>
        <v/>
      </c>
      <c r="BK39" s="49" t="str">
        <f t="shared" si="51"/>
        <v/>
      </c>
      <c r="BL39" s="49" t="str">
        <f t="shared" si="52"/>
        <v/>
      </c>
      <c r="BM39" s="49" t="str">
        <f t="shared" si="53"/>
        <v/>
      </c>
      <c r="BN39" s="49" t="str">
        <f t="shared" si="54"/>
        <v/>
      </c>
      <c r="BO39" s="49" t="str">
        <f t="shared" si="55"/>
        <v/>
      </c>
      <c r="BP39" s="49" t="str">
        <f t="shared" si="56"/>
        <v/>
      </c>
      <c r="BQ39" s="49" t="str">
        <f t="shared" si="57"/>
        <v/>
      </c>
      <c r="BR39" s="49" t="str">
        <f t="shared" si="58"/>
        <v/>
      </c>
      <c r="BS39" s="49" t="str">
        <f t="shared" si="59"/>
        <v/>
      </c>
      <c r="BT39" s="49" t="str">
        <f t="shared" si="60"/>
        <v/>
      </c>
      <c r="BU39" s="49" t="str">
        <f t="shared" si="61"/>
        <v/>
      </c>
      <c r="BV39" s="49" t="str">
        <f t="shared" si="62"/>
        <v/>
      </c>
      <c r="BW39" s="49" t="str">
        <f t="shared" si="63"/>
        <v/>
      </c>
      <c r="BX39" s="49" t="str">
        <f t="shared" si="64"/>
        <v/>
      </c>
      <c r="BY39" s="49" t="str">
        <f t="shared" si="65"/>
        <v/>
      </c>
      <c r="BZ39" s="49" t="str">
        <f t="shared" si="66"/>
        <v/>
      </c>
      <c r="CA39" s="49" t="str">
        <f t="shared" si="67"/>
        <v/>
      </c>
      <c r="CB39" s="49" t="str">
        <f t="shared" si="68"/>
        <v/>
      </c>
    </row>
    <row r="40" spans="1:80" x14ac:dyDescent="0.2">
      <c r="A40" s="43" t="str">
        <f>IF(Perioade!$A40="","",Perioade!$A40)</f>
        <v/>
      </c>
      <c r="B40" s="43" t="str">
        <f>IF($A40="","",IF(OR(Perioade!$G40="Preț fix",Perioade!$G40="Personalizat"),Perioade!$G40,"Standard"))</f>
        <v/>
      </c>
      <c r="C40" s="47" t="str">
        <f>IF($A40="","",N(Perioade!$F40))</f>
        <v/>
      </c>
      <c r="D40" s="48" t="str">
        <f>IF($A40="","",IF(2&lt;$C40,"",IF($B40="Preț fix",IF(2=$C40,0,""),IF($B40="Standard",INDEX(p_Std,1,1),IF(Perioade!$H40="",IF(2=$C40,0,""),N(Perioade!$H40))))))</f>
        <v/>
      </c>
      <c r="E40" s="48" t="str">
        <f>IF($A40="","",IF(3&lt;$C40,"",IF($B40="Preț fix",IF(3=$C40,0,""),IF($B40="Standard",INDEX(p_Std,1,2),IF(Perioade!$I40="",IF(3=$C40,0,""),N(Perioade!$I40))))))</f>
        <v/>
      </c>
      <c r="F40" s="48" t="str">
        <f>IF($A40="","",IF(4&lt;$C40,"",IF($B40="Preț fix",IF(4=$C40,0,""),IF($B40="Standard",INDEX(p_Std,1,3),IF(Perioade!$J40="",IF(4=$C40,0,""),N(Perioade!$J40))))))</f>
        <v/>
      </c>
      <c r="G40" s="48" t="str">
        <f>IF($A40="","",IF(5&lt;$C40,"",IF($B40="Preț fix",IF(5=$C40,0,""),IF($B40="Standard",INDEX(p_Std,1,4),IF(Perioade!$K40="",IF(5=$C40,0,""),N(Perioade!$K40))))))</f>
        <v/>
      </c>
      <c r="H40" s="48" t="str">
        <f>IF($A40="","",IF(6&lt;$C40,"",IF($B40="Preț fix",IF(6=$C40,0,""),IF($B40="Standard",INDEX(p_Std,1,5),IF(Perioade!$L40="",IF(6=$C40,0,""),N(Perioade!$L40))))))</f>
        <v/>
      </c>
      <c r="I40" s="48" t="str">
        <f>IF($A40="","",IF(7&lt;$C40,"",IF($B40="Preț fix",IF(7=$C40,0,""),IF($B40="Standard",INDEX(p_Std,1,6),IF(Perioade!$M40="",IF(7=$C40,0,""),N(Perioade!$M40))))))</f>
        <v/>
      </c>
      <c r="J40" s="48" t="str">
        <f t="shared" si="0"/>
        <v/>
      </c>
      <c r="K40" s="48" t="str">
        <f t="shared" si="1"/>
        <v/>
      </c>
      <c r="L40" s="48" t="str">
        <f t="shared" si="2"/>
        <v/>
      </c>
      <c r="M40" s="48" t="str">
        <f t="shared" si="3"/>
        <v/>
      </c>
      <c r="N40" s="48" t="str">
        <f t="shared" si="4"/>
        <v/>
      </c>
      <c r="O40" s="48" t="str">
        <f t="shared" si="5"/>
        <v/>
      </c>
      <c r="P40" s="47" t="str">
        <f t="shared" si="6"/>
        <v/>
      </c>
      <c r="Q40" s="48" t="str">
        <f t="shared" si="7"/>
        <v/>
      </c>
      <c r="R40" s="49" t="str">
        <f>IF($A40="","",N(Perioade!$E40))</f>
        <v/>
      </c>
      <c r="S40" s="49" t="str">
        <f t="shared" si="8"/>
        <v/>
      </c>
      <c r="T40" s="49" t="str">
        <f t="shared" si="9"/>
        <v/>
      </c>
      <c r="U40" s="49" t="str">
        <f t="shared" si="10"/>
        <v/>
      </c>
      <c r="V40" s="50" t="str">
        <f t="shared" si="11"/>
        <v/>
      </c>
      <c r="W40" s="49" t="str">
        <f t="shared" si="12"/>
        <v/>
      </c>
      <c r="X40" s="48" t="str">
        <f t="shared" si="13"/>
        <v/>
      </c>
      <c r="Y40" s="49" t="str">
        <f t="shared" si="14"/>
        <v/>
      </c>
      <c r="Z40" s="50" t="str">
        <f t="shared" si="15"/>
        <v/>
      </c>
      <c r="AA40" s="49" t="str">
        <f t="shared" si="16"/>
        <v/>
      </c>
      <c r="AB40" s="48" t="str">
        <f t="shared" si="17"/>
        <v/>
      </c>
      <c r="AC40" s="49" t="str">
        <f t="shared" si="18"/>
        <v/>
      </c>
      <c r="AD40" s="49" t="str">
        <f t="shared" si="19"/>
        <v/>
      </c>
      <c r="AE40" s="49" t="str">
        <f>IF($A40="","",IF(N(Perioade!$O40)&gt;0,CEILING(MAX(AD40,AC40*(1-a_PondSug)+N(Perioade!$O40)*a_PondSug),a_Rot),CEILING(AC40,a_Rot)))</f>
        <v/>
      </c>
      <c r="AF40" s="50" t="str">
        <f t="shared" si="20"/>
        <v/>
      </c>
      <c r="AG40" s="49" t="str">
        <f t="shared" si="21"/>
        <v/>
      </c>
      <c r="AH40" s="48" t="str">
        <f t="shared" si="22"/>
        <v/>
      </c>
      <c r="AI40" s="49" t="str">
        <f t="shared" si="23"/>
        <v/>
      </c>
      <c r="AJ40" s="49" t="str">
        <f t="shared" si="24"/>
        <v/>
      </c>
      <c r="AK40" s="49" t="str">
        <f t="shared" si="25"/>
        <v/>
      </c>
      <c r="AL40" s="49" t="str">
        <f t="shared" si="26"/>
        <v/>
      </c>
      <c r="AM40" s="49" t="str">
        <f t="shared" si="27"/>
        <v/>
      </c>
      <c r="AN40" s="49" t="str">
        <f t="shared" si="28"/>
        <v/>
      </c>
      <c r="AO40" s="49" t="str">
        <f t="shared" si="29"/>
        <v/>
      </c>
      <c r="AP40" s="50" t="str">
        <f t="shared" si="30"/>
        <v/>
      </c>
      <c r="AQ40" s="50" t="str">
        <f t="shared" si="31"/>
        <v/>
      </c>
      <c r="AR40" s="50" t="str">
        <f t="shared" si="32"/>
        <v/>
      </c>
      <c r="AS40" s="43" t="str">
        <f t="shared" si="33"/>
        <v/>
      </c>
      <c r="AT40" s="49" t="str">
        <f t="shared" si="34"/>
        <v/>
      </c>
      <c r="AU40" s="49" t="str">
        <f t="shared" si="35"/>
        <v/>
      </c>
      <c r="AV40" s="49" t="str">
        <f t="shared" si="36"/>
        <v/>
      </c>
      <c r="AW40" s="49" t="str">
        <f t="shared" si="37"/>
        <v/>
      </c>
      <c r="AX40" s="49" t="str">
        <f t="shared" si="38"/>
        <v/>
      </c>
      <c r="AY40" s="49" t="str">
        <f t="shared" si="39"/>
        <v/>
      </c>
      <c r="AZ40" s="49" t="str">
        <f t="shared" si="40"/>
        <v/>
      </c>
      <c r="BA40" s="49" t="str">
        <f t="shared" si="41"/>
        <v/>
      </c>
      <c r="BB40" s="49" t="str">
        <f t="shared" si="42"/>
        <v/>
      </c>
      <c r="BC40" s="49" t="str">
        <f t="shared" si="43"/>
        <v/>
      </c>
      <c r="BD40" s="49" t="str">
        <f t="shared" si="44"/>
        <v/>
      </c>
      <c r="BE40" s="49" t="str">
        <f t="shared" si="45"/>
        <v/>
      </c>
      <c r="BF40" s="49" t="str">
        <f t="shared" si="46"/>
        <v/>
      </c>
      <c r="BG40" s="49" t="str">
        <f t="shared" si="47"/>
        <v/>
      </c>
      <c r="BH40" s="49" t="str">
        <f t="shared" si="48"/>
        <v/>
      </c>
      <c r="BI40" s="49" t="str">
        <f t="shared" si="49"/>
        <v/>
      </c>
      <c r="BJ40" s="49" t="str">
        <f t="shared" si="50"/>
        <v/>
      </c>
      <c r="BK40" s="49" t="str">
        <f t="shared" si="51"/>
        <v/>
      </c>
      <c r="BL40" s="49" t="str">
        <f t="shared" si="52"/>
        <v/>
      </c>
      <c r="BM40" s="49" t="str">
        <f t="shared" si="53"/>
        <v/>
      </c>
      <c r="BN40" s="49" t="str">
        <f t="shared" si="54"/>
        <v/>
      </c>
      <c r="BO40" s="49" t="str">
        <f t="shared" si="55"/>
        <v/>
      </c>
      <c r="BP40" s="49" t="str">
        <f t="shared" si="56"/>
        <v/>
      </c>
      <c r="BQ40" s="49" t="str">
        <f t="shared" si="57"/>
        <v/>
      </c>
      <c r="BR40" s="49" t="str">
        <f t="shared" si="58"/>
        <v/>
      </c>
      <c r="BS40" s="49" t="str">
        <f t="shared" si="59"/>
        <v/>
      </c>
      <c r="BT40" s="49" t="str">
        <f t="shared" si="60"/>
        <v/>
      </c>
      <c r="BU40" s="49" t="str">
        <f t="shared" si="61"/>
        <v/>
      </c>
      <c r="BV40" s="49" t="str">
        <f t="shared" si="62"/>
        <v/>
      </c>
      <c r="BW40" s="49" t="str">
        <f t="shared" si="63"/>
        <v/>
      </c>
      <c r="BX40" s="49" t="str">
        <f t="shared" si="64"/>
        <v/>
      </c>
      <c r="BY40" s="49" t="str">
        <f t="shared" si="65"/>
        <v/>
      </c>
      <c r="BZ40" s="49" t="str">
        <f t="shared" si="66"/>
        <v/>
      </c>
      <c r="CA40" s="49" t="str">
        <f t="shared" si="67"/>
        <v/>
      </c>
      <c r="CB40" s="49" t="str">
        <f t="shared" si="68"/>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ED514-93C2-4933-8EE7-09D16B191E32}">
  <sheetPr>
    <tabColor rgb="FF7F7F7F"/>
  </sheetPr>
  <dimension ref="A1:M36"/>
  <sheetViews>
    <sheetView workbookViewId="0"/>
  </sheetViews>
  <sheetFormatPr defaultRowHeight="12.75" x14ac:dyDescent="0.2"/>
  <cols>
    <col min="1" max="1" width="20.7109375" customWidth="1"/>
    <col min="2" max="2" width="16.7109375" customWidth="1"/>
    <col min="3" max="5" width="13.7109375" customWidth="1"/>
  </cols>
  <sheetData>
    <row r="1" spans="1:13" x14ac:dyDescent="0.2">
      <c r="A1" s="79" t="s">
        <v>342</v>
      </c>
      <c r="B1" s="79" t="s">
        <v>343</v>
      </c>
      <c r="C1" s="79" t="s">
        <v>344</v>
      </c>
      <c r="D1" s="79" t="s">
        <v>345</v>
      </c>
      <c r="E1" s="79" t="s">
        <v>346</v>
      </c>
      <c r="F1" s="79" t="s">
        <v>347</v>
      </c>
      <c r="G1" s="79" t="s">
        <v>348</v>
      </c>
      <c r="H1" s="79" t="s">
        <v>349</v>
      </c>
      <c r="I1" s="79" t="s">
        <v>350</v>
      </c>
      <c r="J1" s="79" t="s">
        <v>351</v>
      </c>
      <c r="K1" s="79" t="s">
        <v>352</v>
      </c>
      <c r="M1" s="80" t="s">
        <v>353</v>
      </c>
    </row>
    <row r="2" spans="1:13" x14ac:dyDescent="0.2">
      <c r="A2" t="str">
        <f>IF(Perioade!$A6="","",Perioade!A6)</f>
        <v>vara-toamna-2026</v>
      </c>
      <c r="B2" t="str">
        <f>IF(Perioade!$A6="","",Perioade!B6)</f>
        <v>Sezon vară</v>
      </c>
      <c r="C2" s="61">
        <f>IF(Perioade!$A6="","",Perioade!C6)</f>
        <v>46204</v>
      </c>
      <c r="D2" s="61">
        <f>IF(Perioade!$A6="","",Perioade!D6)</f>
        <v>46356</v>
      </c>
      <c r="E2" s="12">
        <f>IF(Perioade!$A6="","",Perioade!E6)</f>
        <v>900</v>
      </c>
      <c r="F2" s="81">
        <f>IF(OR(Perioade!$A6="",2&lt;Calcule!$C6),"",IF(2=Calcule!$C6,N(Calcule!D6),IF(N(Calcule!D6)&gt;0,Calcule!D6,"")))</f>
        <v>0.1</v>
      </c>
      <c r="G2" s="81">
        <f>IF(OR(Perioade!$A6="",3&lt;Calcule!$C6),"",IF(3=Calcule!$C6,N(Calcule!E6),IF(N(Calcule!E6)&gt;0,Calcule!E6,"")))</f>
        <v>0.12</v>
      </c>
      <c r="H2" s="81">
        <f>IF(OR(Perioade!$A6="",4&lt;Calcule!$C6),"",IF(4=Calcule!$C6,N(Calcule!F6),IF(N(Calcule!F6)&gt;0,Calcule!F6,"")))</f>
        <v>0.15</v>
      </c>
      <c r="I2" s="81">
        <f>IF(OR(Perioade!$A6="",5&lt;Calcule!$C6),"",IF(5=Calcule!$C6,N(Calcule!G6),IF(N(Calcule!G6)&gt;0,Calcule!G6,"")))</f>
        <v>0.2</v>
      </c>
      <c r="J2" s="81">
        <f>IF(OR(Perioade!$A6="",6&lt;Calcule!$C6),"",IF(6=Calcule!$C6,N(Calcule!H6),IF(N(Calcule!H6)&gt;0,Calcule!H6,"")))</f>
        <v>0.25</v>
      </c>
      <c r="K2" s="81">
        <f>IF(OR(Perioade!$A6="",7&lt;Calcule!$C6),"",IF(7=Calcule!$C6,N(Calcule!I6),IF(N(Calcule!I6)&gt;0,Calcule!I6,"")))</f>
        <v>0.33</v>
      </c>
    </row>
    <row r="3" spans="1:13" x14ac:dyDescent="0.2">
      <c r="A3" t="str">
        <f>IF(Perioade!$A7="","",Perioade!A7)</f>
        <v>iarna-2026</v>
      </c>
      <c r="B3" t="str">
        <f>IF(Perioade!$A7="","",Perioade!B7)</f>
        <v>Sezon iarnă</v>
      </c>
      <c r="C3" s="61">
        <f>IF(Perioade!$A7="","",Perioade!C7)</f>
        <v>46357</v>
      </c>
      <c r="D3" s="61">
        <f>IF(Perioade!$A7="","",Perioade!D7)</f>
        <v>46376</v>
      </c>
      <c r="E3" s="12">
        <f>IF(Perioade!$A7="","",Perioade!E7)</f>
        <v>1250</v>
      </c>
      <c r="F3" s="81">
        <f>IF(OR(Perioade!$A7="",2&lt;Calcule!$C7),"",IF(2=Calcule!$C7,N(Calcule!D7),IF(N(Calcule!D7)&gt;0,Calcule!D7,"")))</f>
        <v>0.1</v>
      </c>
      <c r="G3" s="81">
        <f>IF(OR(Perioade!$A7="",3&lt;Calcule!$C7),"",IF(3=Calcule!$C7,N(Calcule!E7),IF(N(Calcule!E7)&gt;0,Calcule!E7,"")))</f>
        <v>0.12</v>
      </c>
      <c r="H3" s="81">
        <f>IF(OR(Perioade!$A7="",4&lt;Calcule!$C7),"",IF(4=Calcule!$C7,N(Calcule!F7),IF(N(Calcule!F7)&gt;0,Calcule!F7,"")))</f>
        <v>0.15</v>
      </c>
      <c r="I3" s="81">
        <f>IF(OR(Perioade!$A7="",5&lt;Calcule!$C7),"",IF(5=Calcule!$C7,N(Calcule!G7),IF(N(Calcule!G7)&gt;0,Calcule!G7,"")))</f>
        <v>0.2</v>
      </c>
      <c r="J3" s="81">
        <f>IF(OR(Perioade!$A7="",6&lt;Calcule!$C7),"",IF(6=Calcule!$C7,N(Calcule!H7),IF(N(Calcule!H7)&gt;0,Calcule!H7,"")))</f>
        <v>0.25</v>
      </c>
      <c r="K3" s="81">
        <f>IF(OR(Perioade!$A7="",7&lt;Calcule!$C7),"",IF(7=Calcule!$C7,N(Calcule!I7),IF(N(Calcule!I7)&gt;0,Calcule!I7,"")))</f>
        <v>0.33</v>
      </c>
    </row>
    <row r="4" spans="1:13" x14ac:dyDescent="0.2">
      <c r="A4" t="str">
        <f>IF(Perioade!$A8="","",Perioade!A8)</f>
        <v>Craciun-2026</v>
      </c>
      <c r="B4" t="str">
        <f>IF(Perioade!$A8="","",Perioade!B8)</f>
        <v>Sezon iarnă</v>
      </c>
      <c r="C4" s="61">
        <f>IF(Perioade!$A8="","",Perioade!C8)</f>
        <v>46377</v>
      </c>
      <c r="D4" s="61">
        <f>IF(Perioade!$A8="","",Perioade!D8)</f>
        <v>46383</v>
      </c>
      <c r="E4" s="12">
        <f>IF(Perioade!$A8="","",Perioade!E8)</f>
        <v>1500</v>
      </c>
      <c r="F4" s="81" t="str">
        <f>IF(OR(Perioade!$A8="",2&lt;Calcule!$C8),"",IF(2=Calcule!$C8,N(Calcule!D8),IF(N(Calcule!D8)&gt;0,Calcule!D8,"")))</f>
        <v/>
      </c>
      <c r="G4" s="81">
        <f>IF(OR(Perioade!$A8="",3&lt;Calcule!$C8),"",IF(3=Calcule!$C8,N(Calcule!E8),IF(N(Calcule!E8)&gt;0,Calcule!E8,"")))</f>
        <v>0</v>
      </c>
      <c r="H4" s="81" t="str">
        <f>IF(OR(Perioade!$A8="",4&lt;Calcule!$C8),"",IF(4=Calcule!$C8,N(Calcule!F8),IF(N(Calcule!F8)&gt;0,Calcule!F8,"")))</f>
        <v/>
      </c>
      <c r="I4" s="81" t="str">
        <f>IF(OR(Perioade!$A8="",5&lt;Calcule!$C8),"",IF(5=Calcule!$C8,N(Calcule!G8),IF(N(Calcule!G8)&gt;0,Calcule!G8,"")))</f>
        <v/>
      </c>
      <c r="J4" s="81" t="str">
        <f>IF(OR(Perioade!$A8="",6&lt;Calcule!$C8),"",IF(6=Calcule!$C8,N(Calcule!H8),IF(N(Calcule!H8)&gt;0,Calcule!H8,"")))</f>
        <v/>
      </c>
      <c r="K4" s="81" t="str">
        <f>IF(OR(Perioade!$A8="",7&lt;Calcule!$C8),"",IF(7=Calcule!$C8,N(Calcule!I8),IF(N(Calcule!I8)&gt;0,Calcule!I8,"")))</f>
        <v/>
      </c>
    </row>
    <row r="5" spans="1:13" x14ac:dyDescent="0.2">
      <c r="A5" t="str">
        <f>IF(Perioade!$A9="","",Perioade!A9)</f>
        <v>Revelion-2026-2027</v>
      </c>
      <c r="B5" t="str">
        <f>IF(Perioade!$A9="","",Perioade!B9)</f>
        <v>Sezon iarnă</v>
      </c>
      <c r="C5" s="61">
        <f>IF(Perioade!$A9="","",Perioade!C9)</f>
        <v>46384</v>
      </c>
      <c r="D5" s="61">
        <f>IF(Perioade!$A9="","",Perioade!D9)</f>
        <v>46391</v>
      </c>
      <c r="E5" s="12">
        <f>IF(Perioade!$A9="","",Perioade!E9)</f>
        <v>1800</v>
      </c>
      <c r="F5" s="81" t="str">
        <f>IF(OR(Perioade!$A9="",2&lt;Calcule!$C9),"",IF(2=Calcule!$C9,N(Calcule!D9),IF(N(Calcule!D9)&gt;0,Calcule!D9,"")))</f>
        <v/>
      </c>
      <c r="G5" s="81" t="str">
        <f>IF(OR(Perioade!$A9="",3&lt;Calcule!$C9),"",IF(3=Calcule!$C9,N(Calcule!E9),IF(N(Calcule!E9)&gt;0,Calcule!E9,"")))</f>
        <v/>
      </c>
      <c r="H5" s="81">
        <f>IF(OR(Perioade!$A9="",4&lt;Calcule!$C9),"",IF(4=Calcule!$C9,N(Calcule!F9),IF(N(Calcule!F9)&gt;0,Calcule!F9,"")))</f>
        <v>0</v>
      </c>
      <c r="I5" s="81" t="str">
        <f>IF(OR(Perioade!$A9="",5&lt;Calcule!$C9),"",IF(5=Calcule!$C9,N(Calcule!G9),IF(N(Calcule!G9)&gt;0,Calcule!G9,"")))</f>
        <v/>
      </c>
      <c r="J5" s="81" t="str">
        <f>IF(OR(Perioade!$A9="",6&lt;Calcule!$C9),"",IF(6=Calcule!$C9,N(Calcule!H9),IF(N(Calcule!H9)&gt;0,Calcule!H9,"")))</f>
        <v/>
      </c>
      <c r="K5" s="81" t="str">
        <f>IF(OR(Perioade!$A9="",7&lt;Calcule!$C9),"",IF(7=Calcule!$C9,N(Calcule!I9),IF(N(Calcule!I9)&gt;0,Calcule!I9,"")))</f>
        <v/>
      </c>
    </row>
    <row r="6" spans="1:13" x14ac:dyDescent="0.2">
      <c r="A6" t="str">
        <f>IF(Perioade!$A10="","",Perioade!A10)</f>
        <v>iarna-2027</v>
      </c>
      <c r="B6" t="str">
        <f>IF(Perioade!$A10="","",Perioade!B10)</f>
        <v>Sezon iarnă</v>
      </c>
      <c r="C6" s="61">
        <f>IF(Perioade!$A10="","",Perioade!C10)</f>
        <v>46392</v>
      </c>
      <c r="D6" s="61">
        <f>IF(Perioade!$A10="","",Perioade!D10)</f>
        <v>46432</v>
      </c>
      <c r="E6" s="12">
        <f>IF(Perioade!$A10="","",Perioade!E10)</f>
        <v>1350</v>
      </c>
      <c r="F6" s="81">
        <f>IF(OR(Perioade!$A10="",2&lt;Calcule!$C10),"",IF(2=Calcule!$C10,N(Calcule!D10),IF(N(Calcule!D10)&gt;0,Calcule!D10,"")))</f>
        <v>0.1</v>
      </c>
      <c r="G6" s="81">
        <f>IF(OR(Perioade!$A10="",3&lt;Calcule!$C10),"",IF(3=Calcule!$C10,N(Calcule!E10),IF(N(Calcule!E10)&gt;0,Calcule!E10,"")))</f>
        <v>0.12</v>
      </c>
      <c r="H6" s="81">
        <f>IF(OR(Perioade!$A10="",4&lt;Calcule!$C10),"",IF(4=Calcule!$C10,N(Calcule!F10),IF(N(Calcule!F10)&gt;0,Calcule!F10,"")))</f>
        <v>0.15</v>
      </c>
      <c r="I6" s="81">
        <f>IF(OR(Perioade!$A10="",5&lt;Calcule!$C10),"",IF(5=Calcule!$C10,N(Calcule!G10),IF(N(Calcule!G10)&gt;0,Calcule!G10,"")))</f>
        <v>0.2</v>
      </c>
      <c r="J6" s="81">
        <f>IF(OR(Perioade!$A10="",6&lt;Calcule!$C10),"",IF(6=Calcule!$C10,N(Calcule!H10),IF(N(Calcule!H10)&gt;0,Calcule!H10,"")))</f>
        <v>0.25</v>
      </c>
      <c r="K6" s="81">
        <f>IF(OR(Perioade!$A10="",7&lt;Calcule!$C10),"",IF(7=Calcule!$C10,N(Calcule!I10),IF(N(Calcule!I10)&gt;0,Calcule!I10,"")))</f>
        <v>0.33</v>
      </c>
    </row>
    <row r="7" spans="1:13" x14ac:dyDescent="0.2">
      <c r="A7" t="str">
        <f>IF(Perioade!$A11="","",Perioade!A11)</f>
        <v>Vacanta-schi-2027</v>
      </c>
      <c r="B7" t="str">
        <f>IF(Perioade!$A11="","",Perioade!B11)</f>
        <v>Sezon iarnă</v>
      </c>
      <c r="C7" s="61">
        <f>IF(Perioade!$A11="","",Perioade!C11)</f>
        <v>46433</v>
      </c>
      <c r="D7" s="61">
        <f>IF(Perioade!$A11="","",Perioade!D11)</f>
        <v>46453</v>
      </c>
      <c r="E7" s="12">
        <f>IF(Perioade!$A11="","",Perioade!E11)</f>
        <v>1450</v>
      </c>
      <c r="F7" s="81">
        <f>IF(OR(Perioade!$A11="",2&lt;Calcule!$C11),"",IF(2=Calcule!$C11,N(Calcule!D11),IF(N(Calcule!D11)&gt;0,Calcule!D11,"")))</f>
        <v>0.1</v>
      </c>
      <c r="G7" s="81">
        <f>IF(OR(Perioade!$A11="",3&lt;Calcule!$C11),"",IF(3=Calcule!$C11,N(Calcule!E11),IF(N(Calcule!E11)&gt;0,Calcule!E11,"")))</f>
        <v>0.12</v>
      </c>
      <c r="H7" s="81">
        <f>IF(OR(Perioade!$A11="",4&lt;Calcule!$C11),"",IF(4=Calcule!$C11,N(Calcule!F11),IF(N(Calcule!F11)&gt;0,Calcule!F11,"")))</f>
        <v>0.15</v>
      </c>
      <c r="I7" s="81">
        <f>IF(OR(Perioade!$A11="",5&lt;Calcule!$C11),"",IF(5=Calcule!$C11,N(Calcule!G11),IF(N(Calcule!G11)&gt;0,Calcule!G11,"")))</f>
        <v>0.2</v>
      </c>
      <c r="J7" s="81">
        <f>IF(OR(Perioade!$A11="",6&lt;Calcule!$C11),"",IF(6=Calcule!$C11,N(Calcule!H11),IF(N(Calcule!H11)&gt;0,Calcule!H11,"")))</f>
        <v>0.25</v>
      </c>
      <c r="K7" s="81">
        <f>IF(OR(Perioade!$A11="",7&lt;Calcule!$C11),"",IF(7=Calcule!$C11,N(Calcule!I11),IF(N(Calcule!I11)&gt;0,Calcule!I11,"")))</f>
        <v>0.33</v>
      </c>
    </row>
    <row r="8" spans="1:13" x14ac:dyDescent="0.2">
      <c r="A8" t="str">
        <f>IF(Perioade!$A12="","",Perioade!A12)</f>
        <v>primavara-2027</v>
      </c>
      <c r="B8" t="str">
        <f>IF(Perioade!$A12="","",Perioade!B12)</f>
        <v>Sezon primăvară</v>
      </c>
      <c r="C8" s="61">
        <f>IF(Perioade!$A12="","",Perioade!C12)</f>
        <v>46454</v>
      </c>
      <c r="D8" s="61">
        <f>IF(Perioade!$A12="","",Perioade!D12)</f>
        <v>46568</v>
      </c>
      <c r="E8" s="12">
        <f>IF(Perioade!$A12="","",Perioade!E12)</f>
        <v>900</v>
      </c>
      <c r="F8" s="81">
        <f>IF(OR(Perioade!$A12="",2&lt;Calcule!$C12),"",IF(2=Calcule!$C12,N(Calcule!D12),IF(N(Calcule!D12)&gt;0,Calcule!D12,"")))</f>
        <v>0.1</v>
      </c>
      <c r="G8" s="81">
        <f>IF(OR(Perioade!$A12="",3&lt;Calcule!$C12),"",IF(3=Calcule!$C12,N(Calcule!E12),IF(N(Calcule!E12)&gt;0,Calcule!E12,"")))</f>
        <v>0.12</v>
      </c>
      <c r="H8" s="81">
        <f>IF(OR(Perioade!$A12="",4&lt;Calcule!$C12),"",IF(4=Calcule!$C12,N(Calcule!F12),IF(N(Calcule!F12)&gt;0,Calcule!F12,"")))</f>
        <v>0.15</v>
      </c>
      <c r="I8" s="81">
        <f>IF(OR(Perioade!$A12="",5&lt;Calcule!$C12),"",IF(5=Calcule!$C12,N(Calcule!G12),IF(N(Calcule!G12)&gt;0,Calcule!G12,"")))</f>
        <v>0.2</v>
      </c>
      <c r="J8" s="81">
        <f>IF(OR(Perioade!$A12="",6&lt;Calcule!$C12),"",IF(6=Calcule!$C12,N(Calcule!H12),IF(N(Calcule!H12)&gt;0,Calcule!H12,"")))</f>
        <v>0.25</v>
      </c>
      <c r="K8" s="81">
        <f>IF(OR(Perioade!$A12="",7&lt;Calcule!$C12),"",IF(7=Calcule!$C12,N(Calcule!I12),IF(N(Calcule!I12)&gt;0,Calcule!I12,"")))</f>
        <v>0.33</v>
      </c>
    </row>
    <row r="9" spans="1:13" x14ac:dyDescent="0.2">
      <c r="A9" t="str">
        <f>IF(Perioade!$A13="","",Perioade!A13)</f>
        <v/>
      </c>
      <c r="B9" t="str">
        <f>IF(Perioade!$A13="","",Perioade!B13)</f>
        <v/>
      </c>
      <c r="C9" s="61" t="str">
        <f>IF(Perioade!$A13="","",Perioade!C13)</f>
        <v/>
      </c>
      <c r="D9" s="61" t="str">
        <f>IF(Perioade!$A13="","",Perioade!D13)</f>
        <v/>
      </c>
      <c r="E9" s="12" t="str">
        <f>IF(Perioade!$A13="","",Perioade!E13)</f>
        <v/>
      </c>
      <c r="F9" s="81" t="str">
        <f>IF(OR(Perioade!$A13="",2&lt;Calcule!$C13),"",IF(2=Calcule!$C13,N(Calcule!D13),IF(N(Calcule!D13)&gt;0,Calcule!D13,"")))</f>
        <v/>
      </c>
      <c r="G9" s="81" t="str">
        <f>IF(OR(Perioade!$A13="",3&lt;Calcule!$C13),"",IF(3=Calcule!$C13,N(Calcule!E13),IF(N(Calcule!E13)&gt;0,Calcule!E13,"")))</f>
        <v/>
      </c>
      <c r="H9" s="81" t="str">
        <f>IF(OR(Perioade!$A13="",4&lt;Calcule!$C13),"",IF(4=Calcule!$C13,N(Calcule!F13),IF(N(Calcule!F13)&gt;0,Calcule!F13,"")))</f>
        <v/>
      </c>
      <c r="I9" s="81" t="str">
        <f>IF(OR(Perioade!$A13="",5&lt;Calcule!$C13),"",IF(5=Calcule!$C13,N(Calcule!G13),IF(N(Calcule!G13)&gt;0,Calcule!G13,"")))</f>
        <v/>
      </c>
      <c r="J9" s="81" t="str">
        <f>IF(OR(Perioade!$A13="",6&lt;Calcule!$C13),"",IF(6=Calcule!$C13,N(Calcule!H13),IF(N(Calcule!H13)&gt;0,Calcule!H13,"")))</f>
        <v/>
      </c>
      <c r="K9" s="81" t="str">
        <f>IF(OR(Perioade!$A13="",7&lt;Calcule!$C13),"",IF(7=Calcule!$C13,N(Calcule!I13),IF(N(Calcule!I13)&gt;0,Calcule!I13,"")))</f>
        <v/>
      </c>
    </row>
    <row r="10" spans="1:13" x14ac:dyDescent="0.2">
      <c r="A10" t="str">
        <f>IF(Perioade!$A14="","",Perioade!A14)</f>
        <v/>
      </c>
      <c r="B10" t="str">
        <f>IF(Perioade!$A14="","",Perioade!B14)</f>
        <v/>
      </c>
      <c r="C10" s="61" t="str">
        <f>IF(Perioade!$A14="","",Perioade!C14)</f>
        <v/>
      </c>
      <c r="D10" s="61" t="str">
        <f>IF(Perioade!$A14="","",Perioade!D14)</f>
        <v/>
      </c>
      <c r="E10" s="12" t="str">
        <f>IF(Perioade!$A14="","",Perioade!E14)</f>
        <v/>
      </c>
      <c r="F10" s="81" t="str">
        <f>IF(OR(Perioade!$A14="",2&lt;Calcule!$C14),"",IF(2=Calcule!$C14,N(Calcule!D14),IF(N(Calcule!D14)&gt;0,Calcule!D14,"")))</f>
        <v/>
      </c>
      <c r="G10" s="81" t="str">
        <f>IF(OR(Perioade!$A14="",3&lt;Calcule!$C14),"",IF(3=Calcule!$C14,N(Calcule!E14),IF(N(Calcule!E14)&gt;0,Calcule!E14,"")))</f>
        <v/>
      </c>
      <c r="H10" s="81" t="str">
        <f>IF(OR(Perioade!$A14="",4&lt;Calcule!$C14),"",IF(4=Calcule!$C14,N(Calcule!F14),IF(N(Calcule!F14)&gt;0,Calcule!F14,"")))</f>
        <v/>
      </c>
      <c r="I10" s="81" t="str">
        <f>IF(OR(Perioade!$A14="",5&lt;Calcule!$C14),"",IF(5=Calcule!$C14,N(Calcule!G14),IF(N(Calcule!G14)&gt;0,Calcule!G14,"")))</f>
        <v/>
      </c>
      <c r="J10" s="81" t="str">
        <f>IF(OR(Perioade!$A14="",6&lt;Calcule!$C14),"",IF(6=Calcule!$C14,N(Calcule!H14),IF(N(Calcule!H14)&gt;0,Calcule!H14,"")))</f>
        <v/>
      </c>
      <c r="K10" s="81" t="str">
        <f>IF(OR(Perioade!$A14="",7&lt;Calcule!$C14),"",IF(7=Calcule!$C14,N(Calcule!I14),IF(N(Calcule!I14)&gt;0,Calcule!I14,"")))</f>
        <v/>
      </c>
    </row>
    <row r="11" spans="1:13" x14ac:dyDescent="0.2">
      <c r="A11" t="str">
        <f>IF(Perioade!$A15="","",Perioade!A15)</f>
        <v/>
      </c>
      <c r="B11" t="str">
        <f>IF(Perioade!$A15="","",Perioade!B15)</f>
        <v/>
      </c>
      <c r="C11" s="61" t="str">
        <f>IF(Perioade!$A15="","",Perioade!C15)</f>
        <v/>
      </c>
      <c r="D11" s="61" t="str">
        <f>IF(Perioade!$A15="","",Perioade!D15)</f>
        <v/>
      </c>
      <c r="E11" s="12" t="str">
        <f>IF(Perioade!$A15="","",Perioade!E15)</f>
        <v/>
      </c>
      <c r="F11" s="81" t="str">
        <f>IF(OR(Perioade!$A15="",2&lt;Calcule!$C15),"",IF(2=Calcule!$C15,N(Calcule!D15),IF(N(Calcule!D15)&gt;0,Calcule!D15,"")))</f>
        <v/>
      </c>
      <c r="G11" s="81" t="str">
        <f>IF(OR(Perioade!$A15="",3&lt;Calcule!$C15),"",IF(3=Calcule!$C15,N(Calcule!E15),IF(N(Calcule!E15)&gt;0,Calcule!E15,"")))</f>
        <v/>
      </c>
      <c r="H11" s="81" t="str">
        <f>IF(OR(Perioade!$A15="",4&lt;Calcule!$C15),"",IF(4=Calcule!$C15,N(Calcule!F15),IF(N(Calcule!F15)&gt;0,Calcule!F15,"")))</f>
        <v/>
      </c>
      <c r="I11" s="81" t="str">
        <f>IF(OR(Perioade!$A15="",5&lt;Calcule!$C15),"",IF(5=Calcule!$C15,N(Calcule!G15),IF(N(Calcule!G15)&gt;0,Calcule!G15,"")))</f>
        <v/>
      </c>
      <c r="J11" s="81" t="str">
        <f>IF(OR(Perioade!$A15="",6&lt;Calcule!$C15),"",IF(6=Calcule!$C15,N(Calcule!H15),IF(N(Calcule!H15)&gt;0,Calcule!H15,"")))</f>
        <v/>
      </c>
      <c r="K11" s="81" t="str">
        <f>IF(OR(Perioade!$A15="",7&lt;Calcule!$C15),"",IF(7=Calcule!$C15,N(Calcule!I15),IF(N(Calcule!I15)&gt;0,Calcule!I15,"")))</f>
        <v/>
      </c>
    </row>
    <row r="12" spans="1:13" x14ac:dyDescent="0.2">
      <c r="A12" t="str">
        <f>IF(Perioade!$A16="","",Perioade!A16)</f>
        <v/>
      </c>
      <c r="B12" t="str">
        <f>IF(Perioade!$A16="","",Perioade!B16)</f>
        <v/>
      </c>
      <c r="C12" s="61" t="str">
        <f>IF(Perioade!$A16="","",Perioade!C16)</f>
        <v/>
      </c>
      <c r="D12" s="61" t="str">
        <f>IF(Perioade!$A16="","",Perioade!D16)</f>
        <v/>
      </c>
      <c r="E12" s="12" t="str">
        <f>IF(Perioade!$A16="","",Perioade!E16)</f>
        <v/>
      </c>
      <c r="F12" s="81" t="str">
        <f>IF(OR(Perioade!$A16="",2&lt;Calcule!$C16),"",IF(2=Calcule!$C16,N(Calcule!D16),IF(N(Calcule!D16)&gt;0,Calcule!D16,"")))</f>
        <v/>
      </c>
      <c r="G12" s="81" t="str">
        <f>IF(OR(Perioade!$A16="",3&lt;Calcule!$C16),"",IF(3=Calcule!$C16,N(Calcule!E16),IF(N(Calcule!E16)&gt;0,Calcule!E16,"")))</f>
        <v/>
      </c>
      <c r="H12" s="81" t="str">
        <f>IF(OR(Perioade!$A16="",4&lt;Calcule!$C16),"",IF(4=Calcule!$C16,N(Calcule!F16),IF(N(Calcule!F16)&gt;0,Calcule!F16,"")))</f>
        <v/>
      </c>
      <c r="I12" s="81" t="str">
        <f>IF(OR(Perioade!$A16="",5&lt;Calcule!$C16),"",IF(5=Calcule!$C16,N(Calcule!G16),IF(N(Calcule!G16)&gt;0,Calcule!G16,"")))</f>
        <v/>
      </c>
      <c r="J12" s="81" t="str">
        <f>IF(OR(Perioade!$A16="",6&lt;Calcule!$C16),"",IF(6=Calcule!$C16,N(Calcule!H16),IF(N(Calcule!H16)&gt;0,Calcule!H16,"")))</f>
        <v/>
      </c>
      <c r="K12" s="81" t="str">
        <f>IF(OR(Perioade!$A16="",7&lt;Calcule!$C16),"",IF(7=Calcule!$C16,N(Calcule!I16),IF(N(Calcule!I16)&gt;0,Calcule!I16,"")))</f>
        <v/>
      </c>
    </row>
    <row r="13" spans="1:13" x14ac:dyDescent="0.2">
      <c r="A13" t="str">
        <f>IF(Perioade!$A17="","",Perioade!A17)</f>
        <v/>
      </c>
      <c r="B13" t="str">
        <f>IF(Perioade!$A17="","",Perioade!B17)</f>
        <v/>
      </c>
      <c r="C13" s="61" t="str">
        <f>IF(Perioade!$A17="","",Perioade!C17)</f>
        <v/>
      </c>
      <c r="D13" s="61" t="str">
        <f>IF(Perioade!$A17="","",Perioade!D17)</f>
        <v/>
      </c>
      <c r="E13" s="12" t="str">
        <f>IF(Perioade!$A17="","",Perioade!E17)</f>
        <v/>
      </c>
      <c r="F13" s="81" t="str">
        <f>IF(OR(Perioade!$A17="",2&lt;Calcule!$C17),"",IF(2=Calcule!$C17,N(Calcule!D17),IF(N(Calcule!D17)&gt;0,Calcule!D17,"")))</f>
        <v/>
      </c>
      <c r="G13" s="81" t="str">
        <f>IF(OR(Perioade!$A17="",3&lt;Calcule!$C17),"",IF(3=Calcule!$C17,N(Calcule!E17),IF(N(Calcule!E17)&gt;0,Calcule!E17,"")))</f>
        <v/>
      </c>
      <c r="H13" s="81" t="str">
        <f>IF(OR(Perioade!$A17="",4&lt;Calcule!$C17),"",IF(4=Calcule!$C17,N(Calcule!F17),IF(N(Calcule!F17)&gt;0,Calcule!F17,"")))</f>
        <v/>
      </c>
      <c r="I13" s="81" t="str">
        <f>IF(OR(Perioade!$A17="",5&lt;Calcule!$C17),"",IF(5=Calcule!$C17,N(Calcule!G17),IF(N(Calcule!G17)&gt;0,Calcule!G17,"")))</f>
        <v/>
      </c>
      <c r="J13" s="81" t="str">
        <f>IF(OR(Perioade!$A17="",6&lt;Calcule!$C17),"",IF(6=Calcule!$C17,N(Calcule!H17),IF(N(Calcule!H17)&gt;0,Calcule!H17,"")))</f>
        <v/>
      </c>
      <c r="K13" s="81" t="str">
        <f>IF(OR(Perioade!$A17="",7&lt;Calcule!$C17),"",IF(7=Calcule!$C17,N(Calcule!I17),IF(N(Calcule!I17)&gt;0,Calcule!I17,"")))</f>
        <v/>
      </c>
    </row>
    <row r="14" spans="1:13" x14ac:dyDescent="0.2">
      <c r="A14" t="str">
        <f>IF(Perioade!$A18="","",Perioade!A18)</f>
        <v/>
      </c>
      <c r="B14" t="str">
        <f>IF(Perioade!$A18="","",Perioade!B18)</f>
        <v/>
      </c>
      <c r="C14" s="61" t="str">
        <f>IF(Perioade!$A18="","",Perioade!C18)</f>
        <v/>
      </c>
      <c r="D14" s="61" t="str">
        <f>IF(Perioade!$A18="","",Perioade!D18)</f>
        <v/>
      </c>
      <c r="E14" s="12" t="str">
        <f>IF(Perioade!$A18="","",Perioade!E18)</f>
        <v/>
      </c>
      <c r="F14" s="81" t="str">
        <f>IF(OR(Perioade!$A18="",2&lt;Calcule!$C18),"",IF(2=Calcule!$C18,N(Calcule!D18),IF(N(Calcule!D18)&gt;0,Calcule!D18,"")))</f>
        <v/>
      </c>
      <c r="G14" s="81" t="str">
        <f>IF(OR(Perioade!$A18="",3&lt;Calcule!$C18),"",IF(3=Calcule!$C18,N(Calcule!E18),IF(N(Calcule!E18)&gt;0,Calcule!E18,"")))</f>
        <v/>
      </c>
      <c r="H14" s="81" t="str">
        <f>IF(OR(Perioade!$A18="",4&lt;Calcule!$C18),"",IF(4=Calcule!$C18,N(Calcule!F18),IF(N(Calcule!F18)&gt;0,Calcule!F18,"")))</f>
        <v/>
      </c>
      <c r="I14" s="81" t="str">
        <f>IF(OR(Perioade!$A18="",5&lt;Calcule!$C18),"",IF(5=Calcule!$C18,N(Calcule!G18),IF(N(Calcule!G18)&gt;0,Calcule!G18,"")))</f>
        <v/>
      </c>
      <c r="J14" s="81" t="str">
        <f>IF(OR(Perioade!$A18="",6&lt;Calcule!$C18),"",IF(6=Calcule!$C18,N(Calcule!H18),IF(N(Calcule!H18)&gt;0,Calcule!H18,"")))</f>
        <v/>
      </c>
      <c r="K14" s="81" t="str">
        <f>IF(OR(Perioade!$A18="",7&lt;Calcule!$C18),"",IF(7=Calcule!$C18,N(Calcule!I18),IF(N(Calcule!I18)&gt;0,Calcule!I18,"")))</f>
        <v/>
      </c>
    </row>
    <row r="15" spans="1:13" x14ac:dyDescent="0.2">
      <c r="A15" t="str">
        <f>IF(Perioade!$A19="","",Perioade!A19)</f>
        <v/>
      </c>
      <c r="B15" t="str">
        <f>IF(Perioade!$A19="","",Perioade!B19)</f>
        <v/>
      </c>
      <c r="C15" s="61" t="str">
        <f>IF(Perioade!$A19="","",Perioade!C19)</f>
        <v/>
      </c>
      <c r="D15" s="61" t="str">
        <f>IF(Perioade!$A19="","",Perioade!D19)</f>
        <v/>
      </c>
      <c r="E15" s="12" t="str">
        <f>IF(Perioade!$A19="","",Perioade!E19)</f>
        <v/>
      </c>
      <c r="F15" s="81" t="str">
        <f>IF(OR(Perioade!$A19="",2&lt;Calcule!$C19),"",IF(2=Calcule!$C19,N(Calcule!D19),IF(N(Calcule!D19)&gt;0,Calcule!D19,"")))</f>
        <v/>
      </c>
      <c r="G15" s="81" t="str">
        <f>IF(OR(Perioade!$A19="",3&lt;Calcule!$C19),"",IF(3=Calcule!$C19,N(Calcule!E19),IF(N(Calcule!E19)&gt;0,Calcule!E19,"")))</f>
        <v/>
      </c>
      <c r="H15" s="81" t="str">
        <f>IF(OR(Perioade!$A19="",4&lt;Calcule!$C19),"",IF(4=Calcule!$C19,N(Calcule!F19),IF(N(Calcule!F19)&gt;0,Calcule!F19,"")))</f>
        <v/>
      </c>
      <c r="I15" s="81" t="str">
        <f>IF(OR(Perioade!$A19="",5&lt;Calcule!$C19),"",IF(5=Calcule!$C19,N(Calcule!G19),IF(N(Calcule!G19)&gt;0,Calcule!G19,"")))</f>
        <v/>
      </c>
      <c r="J15" s="81" t="str">
        <f>IF(OR(Perioade!$A19="",6&lt;Calcule!$C19),"",IF(6=Calcule!$C19,N(Calcule!H19),IF(N(Calcule!H19)&gt;0,Calcule!H19,"")))</f>
        <v/>
      </c>
      <c r="K15" s="81" t="str">
        <f>IF(OR(Perioade!$A19="",7&lt;Calcule!$C19),"",IF(7=Calcule!$C19,N(Calcule!I19),IF(N(Calcule!I19)&gt;0,Calcule!I19,"")))</f>
        <v/>
      </c>
    </row>
    <row r="16" spans="1:13" x14ac:dyDescent="0.2">
      <c r="A16" t="str">
        <f>IF(Perioade!$A20="","",Perioade!A20)</f>
        <v/>
      </c>
      <c r="B16" t="str">
        <f>IF(Perioade!$A20="","",Perioade!B20)</f>
        <v/>
      </c>
      <c r="C16" s="61" t="str">
        <f>IF(Perioade!$A20="","",Perioade!C20)</f>
        <v/>
      </c>
      <c r="D16" s="61" t="str">
        <f>IF(Perioade!$A20="","",Perioade!D20)</f>
        <v/>
      </c>
      <c r="E16" s="12" t="str">
        <f>IF(Perioade!$A20="","",Perioade!E20)</f>
        <v/>
      </c>
      <c r="F16" s="81" t="str">
        <f>IF(OR(Perioade!$A20="",2&lt;Calcule!$C20),"",IF(2=Calcule!$C20,N(Calcule!D20),IF(N(Calcule!D20)&gt;0,Calcule!D20,"")))</f>
        <v/>
      </c>
      <c r="G16" s="81" t="str">
        <f>IF(OR(Perioade!$A20="",3&lt;Calcule!$C20),"",IF(3=Calcule!$C20,N(Calcule!E20),IF(N(Calcule!E20)&gt;0,Calcule!E20,"")))</f>
        <v/>
      </c>
      <c r="H16" s="81" t="str">
        <f>IF(OR(Perioade!$A20="",4&lt;Calcule!$C20),"",IF(4=Calcule!$C20,N(Calcule!F20),IF(N(Calcule!F20)&gt;0,Calcule!F20,"")))</f>
        <v/>
      </c>
      <c r="I16" s="81" t="str">
        <f>IF(OR(Perioade!$A20="",5&lt;Calcule!$C20),"",IF(5=Calcule!$C20,N(Calcule!G20),IF(N(Calcule!G20)&gt;0,Calcule!G20,"")))</f>
        <v/>
      </c>
      <c r="J16" s="81" t="str">
        <f>IF(OR(Perioade!$A20="",6&lt;Calcule!$C20),"",IF(6=Calcule!$C20,N(Calcule!H20),IF(N(Calcule!H20)&gt;0,Calcule!H20,"")))</f>
        <v/>
      </c>
      <c r="K16" s="81" t="str">
        <f>IF(OR(Perioade!$A20="",7&lt;Calcule!$C20),"",IF(7=Calcule!$C20,N(Calcule!I20),IF(N(Calcule!I20)&gt;0,Calcule!I20,"")))</f>
        <v/>
      </c>
    </row>
    <row r="17" spans="1:11" x14ac:dyDescent="0.2">
      <c r="A17" t="str">
        <f>IF(Perioade!$A21="","",Perioade!A21)</f>
        <v/>
      </c>
      <c r="B17" t="str">
        <f>IF(Perioade!$A21="","",Perioade!B21)</f>
        <v/>
      </c>
      <c r="C17" s="61" t="str">
        <f>IF(Perioade!$A21="","",Perioade!C21)</f>
        <v/>
      </c>
      <c r="D17" s="61" t="str">
        <f>IF(Perioade!$A21="","",Perioade!D21)</f>
        <v/>
      </c>
      <c r="E17" s="12" t="str">
        <f>IF(Perioade!$A21="","",Perioade!E21)</f>
        <v/>
      </c>
      <c r="F17" s="81" t="str">
        <f>IF(OR(Perioade!$A21="",2&lt;Calcule!$C21),"",IF(2=Calcule!$C21,N(Calcule!D21),IF(N(Calcule!D21)&gt;0,Calcule!D21,"")))</f>
        <v/>
      </c>
      <c r="G17" s="81" t="str">
        <f>IF(OR(Perioade!$A21="",3&lt;Calcule!$C21),"",IF(3=Calcule!$C21,N(Calcule!E21),IF(N(Calcule!E21)&gt;0,Calcule!E21,"")))</f>
        <v/>
      </c>
      <c r="H17" s="81" t="str">
        <f>IF(OR(Perioade!$A21="",4&lt;Calcule!$C21),"",IF(4=Calcule!$C21,N(Calcule!F21),IF(N(Calcule!F21)&gt;0,Calcule!F21,"")))</f>
        <v/>
      </c>
      <c r="I17" s="81" t="str">
        <f>IF(OR(Perioade!$A21="",5&lt;Calcule!$C21),"",IF(5=Calcule!$C21,N(Calcule!G21),IF(N(Calcule!G21)&gt;0,Calcule!G21,"")))</f>
        <v/>
      </c>
      <c r="J17" s="81" t="str">
        <f>IF(OR(Perioade!$A21="",6&lt;Calcule!$C21),"",IF(6=Calcule!$C21,N(Calcule!H21),IF(N(Calcule!H21)&gt;0,Calcule!H21,"")))</f>
        <v/>
      </c>
      <c r="K17" s="81" t="str">
        <f>IF(OR(Perioade!$A21="",7&lt;Calcule!$C21),"",IF(7=Calcule!$C21,N(Calcule!I21),IF(N(Calcule!I21)&gt;0,Calcule!I21,"")))</f>
        <v/>
      </c>
    </row>
    <row r="18" spans="1:11" x14ac:dyDescent="0.2">
      <c r="A18" t="str">
        <f>IF(Perioade!$A22="","",Perioade!A22)</f>
        <v/>
      </c>
      <c r="B18" t="str">
        <f>IF(Perioade!$A22="","",Perioade!B22)</f>
        <v/>
      </c>
      <c r="C18" s="61" t="str">
        <f>IF(Perioade!$A22="","",Perioade!C22)</f>
        <v/>
      </c>
      <c r="D18" s="61" t="str">
        <f>IF(Perioade!$A22="","",Perioade!D22)</f>
        <v/>
      </c>
      <c r="E18" s="12" t="str">
        <f>IF(Perioade!$A22="","",Perioade!E22)</f>
        <v/>
      </c>
      <c r="F18" s="81" t="str">
        <f>IF(OR(Perioade!$A22="",2&lt;Calcule!$C22),"",IF(2=Calcule!$C22,N(Calcule!D22),IF(N(Calcule!D22)&gt;0,Calcule!D22,"")))</f>
        <v/>
      </c>
      <c r="G18" s="81" t="str">
        <f>IF(OR(Perioade!$A22="",3&lt;Calcule!$C22),"",IF(3=Calcule!$C22,N(Calcule!E22),IF(N(Calcule!E22)&gt;0,Calcule!E22,"")))</f>
        <v/>
      </c>
      <c r="H18" s="81" t="str">
        <f>IF(OR(Perioade!$A22="",4&lt;Calcule!$C22),"",IF(4=Calcule!$C22,N(Calcule!F22),IF(N(Calcule!F22)&gt;0,Calcule!F22,"")))</f>
        <v/>
      </c>
      <c r="I18" s="81" t="str">
        <f>IF(OR(Perioade!$A22="",5&lt;Calcule!$C22),"",IF(5=Calcule!$C22,N(Calcule!G22),IF(N(Calcule!G22)&gt;0,Calcule!G22,"")))</f>
        <v/>
      </c>
      <c r="J18" s="81" t="str">
        <f>IF(OR(Perioade!$A22="",6&lt;Calcule!$C22),"",IF(6=Calcule!$C22,N(Calcule!H22),IF(N(Calcule!H22)&gt;0,Calcule!H22,"")))</f>
        <v/>
      </c>
      <c r="K18" s="81" t="str">
        <f>IF(OR(Perioade!$A22="",7&lt;Calcule!$C22),"",IF(7=Calcule!$C22,N(Calcule!I22),IF(N(Calcule!I22)&gt;0,Calcule!I22,"")))</f>
        <v/>
      </c>
    </row>
    <row r="19" spans="1:11" x14ac:dyDescent="0.2">
      <c r="A19" t="str">
        <f>IF(Perioade!$A23="","",Perioade!A23)</f>
        <v/>
      </c>
      <c r="B19" t="str">
        <f>IF(Perioade!$A23="","",Perioade!B23)</f>
        <v/>
      </c>
      <c r="C19" s="61" t="str">
        <f>IF(Perioade!$A23="","",Perioade!C23)</f>
        <v/>
      </c>
      <c r="D19" s="61" t="str">
        <f>IF(Perioade!$A23="","",Perioade!D23)</f>
        <v/>
      </c>
      <c r="E19" s="12" t="str">
        <f>IF(Perioade!$A23="","",Perioade!E23)</f>
        <v/>
      </c>
      <c r="F19" s="81" t="str">
        <f>IF(OR(Perioade!$A23="",2&lt;Calcule!$C23),"",IF(2=Calcule!$C23,N(Calcule!D23),IF(N(Calcule!D23)&gt;0,Calcule!D23,"")))</f>
        <v/>
      </c>
      <c r="G19" s="81" t="str">
        <f>IF(OR(Perioade!$A23="",3&lt;Calcule!$C23),"",IF(3=Calcule!$C23,N(Calcule!E23),IF(N(Calcule!E23)&gt;0,Calcule!E23,"")))</f>
        <v/>
      </c>
      <c r="H19" s="81" t="str">
        <f>IF(OR(Perioade!$A23="",4&lt;Calcule!$C23),"",IF(4=Calcule!$C23,N(Calcule!F23),IF(N(Calcule!F23)&gt;0,Calcule!F23,"")))</f>
        <v/>
      </c>
      <c r="I19" s="81" t="str">
        <f>IF(OR(Perioade!$A23="",5&lt;Calcule!$C23),"",IF(5=Calcule!$C23,N(Calcule!G23),IF(N(Calcule!G23)&gt;0,Calcule!G23,"")))</f>
        <v/>
      </c>
      <c r="J19" s="81" t="str">
        <f>IF(OR(Perioade!$A23="",6&lt;Calcule!$C23),"",IF(6=Calcule!$C23,N(Calcule!H23),IF(N(Calcule!H23)&gt;0,Calcule!H23,"")))</f>
        <v/>
      </c>
      <c r="K19" s="81" t="str">
        <f>IF(OR(Perioade!$A23="",7&lt;Calcule!$C23),"",IF(7=Calcule!$C23,N(Calcule!I23),IF(N(Calcule!I23)&gt;0,Calcule!I23,"")))</f>
        <v/>
      </c>
    </row>
    <row r="20" spans="1:11" x14ac:dyDescent="0.2">
      <c r="A20" t="str">
        <f>IF(Perioade!$A24="","",Perioade!A24)</f>
        <v/>
      </c>
      <c r="B20" t="str">
        <f>IF(Perioade!$A24="","",Perioade!B24)</f>
        <v/>
      </c>
      <c r="C20" s="61" t="str">
        <f>IF(Perioade!$A24="","",Perioade!C24)</f>
        <v/>
      </c>
      <c r="D20" s="61" t="str">
        <f>IF(Perioade!$A24="","",Perioade!D24)</f>
        <v/>
      </c>
      <c r="E20" s="12" t="str">
        <f>IF(Perioade!$A24="","",Perioade!E24)</f>
        <v/>
      </c>
      <c r="F20" s="81" t="str">
        <f>IF(OR(Perioade!$A24="",2&lt;Calcule!$C24),"",IF(2=Calcule!$C24,N(Calcule!D24),IF(N(Calcule!D24)&gt;0,Calcule!D24,"")))</f>
        <v/>
      </c>
      <c r="G20" s="81" t="str">
        <f>IF(OR(Perioade!$A24="",3&lt;Calcule!$C24),"",IF(3=Calcule!$C24,N(Calcule!E24),IF(N(Calcule!E24)&gt;0,Calcule!E24,"")))</f>
        <v/>
      </c>
      <c r="H20" s="81" t="str">
        <f>IF(OR(Perioade!$A24="",4&lt;Calcule!$C24),"",IF(4=Calcule!$C24,N(Calcule!F24),IF(N(Calcule!F24)&gt;0,Calcule!F24,"")))</f>
        <v/>
      </c>
      <c r="I20" s="81" t="str">
        <f>IF(OR(Perioade!$A24="",5&lt;Calcule!$C24),"",IF(5=Calcule!$C24,N(Calcule!G24),IF(N(Calcule!G24)&gt;0,Calcule!G24,"")))</f>
        <v/>
      </c>
      <c r="J20" s="81" t="str">
        <f>IF(OR(Perioade!$A24="",6&lt;Calcule!$C24),"",IF(6=Calcule!$C24,N(Calcule!H24),IF(N(Calcule!H24)&gt;0,Calcule!H24,"")))</f>
        <v/>
      </c>
      <c r="K20" s="81" t="str">
        <f>IF(OR(Perioade!$A24="",7&lt;Calcule!$C24),"",IF(7=Calcule!$C24,N(Calcule!I24),IF(N(Calcule!I24)&gt;0,Calcule!I24,"")))</f>
        <v/>
      </c>
    </row>
    <row r="21" spans="1:11" x14ac:dyDescent="0.2">
      <c r="A21" t="str">
        <f>IF(Perioade!$A25="","",Perioade!A25)</f>
        <v/>
      </c>
      <c r="B21" t="str">
        <f>IF(Perioade!$A25="","",Perioade!B25)</f>
        <v/>
      </c>
      <c r="C21" s="61" t="str">
        <f>IF(Perioade!$A25="","",Perioade!C25)</f>
        <v/>
      </c>
      <c r="D21" s="61" t="str">
        <f>IF(Perioade!$A25="","",Perioade!D25)</f>
        <v/>
      </c>
      <c r="E21" s="12" t="str">
        <f>IF(Perioade!$A25="","",Perioade!E25)</f>
        <v/>
      </c>
      <c r="F21" s="81" t="str">
        <f>IF(OR(Perioade!$A25="",2&lt;Calcule!$C25),"",IF(2=Calcule!$C25,N(Calcule!D25),IF(N(Calcule!D25)&gt;0,Calcule!D25,"")))</f>
        <v/>
      </c>
      <c r="G21" s="81" t="str">
        <f>IF(OR(Perioade!$A25="",3&lt;Calcule!$C25),"",IF(3=Calcule!$C25,N(Calcule!E25),IF(N(Calcule!E25)&gt;0,Calcule!E25,"")))</f>
        <v/>
      </c>
      <c r="H21" s="81" t="str">
        <f>IF(OR(Perioade!$A25="",4&lt;Calcule!$C25),"",IF(4=Calcule!$C25,N(Calcule!F25),IF(N(Calcule!F25)&gt;0,Calcule!F25,"")))</f>
        <v/>
      </c>
      <c r="I21" s="81" t="str">
        <f>IF(OR(Perioade!$A25="",5&lt;Calcule!$C25),"",IF(5=Calcule!$C25,N(Calcule!G25),IF(N(Calcule!G25)&gt;0,Calcule!G25,"")))</f>
        <v/>
      </c>
      <c r="J21" s="81" t="str">
        <f>IF(OR(Perioade!$A25="",6&lt;Calcule!$C25),"",IF(6=Calcule!$C25,N(Calcule!H25),IF(N(Calcule!H25)&gt;0,Calcule!H25,"")))</f>
        <v/>
      </c>
      <c r="K21" s="81" t="str">
        <f>IF(OR(Perioade!$A25="",7&lt;Calcule!$C25),"",IF(7=Calcule!$C25,N(Calcule!I25),IF(N(Calcule!I25)&gt;0,Calcule!I25,"")))</f>
        <v/>
      </c>
    </row>
    <row r="22" spans="1:11" x14ac:dyDescent="0.2">
      <c r="A22" t="str">
        <f>IF(Perioade!$A26="","",Perioade!A26)</f>
        <v/>
      </c>
      <c r="B22" t="str">
        <f>IF(Perioade!$A26="","",Perioade!B26)</f>
        <v/>
      </c>
      <c r="C22" s="61" t="str">
        <f>IF(Perioade!$A26="","",Perioade!C26)</f>
        <v/>
      </c>
      <c r="D22" s="61" t="str">
        <f>IF(Perioade!$A26="","",Perioade!D26)</f>
        <v/>
      </c>
      <c r="E22" s="12" t="str">
        <f>IF(Perioade!$A26="","",Perioade!E26)</f>
        <v/>
      </c>
      <c r="F22" s="81" t="str">
        <f>IF(OR(Perioade!$A26="",2&lt;Calcule!$C26),"",IF(2=Calcule!$C26,N(Calcule!D26),IF(N(Calcule!D26)&gt;0,Calcule!D26,"")))</f>
        <v/>
      </c>
      <c r="G22" s="81" t="str">
        <f>IF(OR(Perioade!$A26="",3&lt;Calcule!$C26),"",IF(3=Calcule!$C26,N(Calcule!E26),IF(N(Calcule!E26)&gt;0,Calcule!E26,"")))</f>
        <v/>
      </c>
      <c r="H22" s="81" t="str">
        <f>IF(OR(Perioade!$A26="",4&lt;Calcule!$C26),"",IF(4=Calcule!$C26,N(Calcule!F26),IF(N(Calcule!F26)&gt;0,Calcule!F26,"")))</f>
        <v/>
      </c>
      <c r="I22" s="81" t="str">
        <f>IF(OR(Perioade!$A26="",5&lt;Calcule!$C26),"",IF(5=Calcule!$C26,N(Calcule!G26),IF(N(Calcule!G26)&gt;0,Calcule!G26,"")))</f>
        <v/>
      </c>
      <c r="J22" s="81" t="str">
        <f>IF(OR(Perioade!$A26="",6&lt;Calcule!$C26),"",IF(6=Calcule!$C26,N(Calcule!H26),IF(N(Calcule!H26)&gt;0,Calcule!H26,"")))</f>
        <v/>
      </c>
      <c r="K22" s="81" t="str">
        <f>IF(OR(Perioade!$A26="",7&lt;Calcule!$C26),"",IF(7=Calcule!$C26,N(Calcule!I26),IF(N(Calcule!I26)&gt;0,Calcule!I26,"")))</f>
        <v/>
      </c>
    </row>
    <row r="23" spans="1:11" x14ac:dyDescent="0.2">
      <c r="A23" t="str">
        <f>IF(Perioade!$A27="","",Perioade!A27)</f>
        <v/>
      </c>
      <c r="B23" t="str">
        <f>IF(Perioade!$A27="","",Perioade!B27)</f>
        <v/>
      </c>
      <c r="C23" s="61" t="str">
        <f>IF(Perioade!$A27="","",Perioade!C27)</f>
        <v/>
      </c>
      <c r="D23" s="61" t="str">
        <f>IF(Perioade!$A27="","",Perioade!D27)</f>
        <v/>
      </c>
      <c r="E23" s="12" t="str">
        <f>IF(Perioade!$A27="","",Perioade!E27)</f>
        <v/>
      </c>
      <c r="F23" s="81" t="str">
        <f>IF(OR(Perioade!$A27="",2&lt;Calcule!$C27),"",IF(2=Calcule!$C27,N(Calcule!D27),IF(N(Calcule!D27)&gt;0,Calcule!D27,"")))</f>
        <v/>
      </c>
      <c r="G23" s="81" t="str">
        <f>IF(OR(Perioade!$A27="",3&lt;Calcule!$C27),"",IF(3=Calcule!$C27,N(Calcule!E27),IF(N(Calcule!E27)&gt;0,Calcule!E27,"")))</f>
        <v/>
      </c>
      <c r="H23" s="81" t="str">
        <f>IF(OR(Perioade!$A27="",4&lt;Calcule!$C27),"",IF(4=Calcule!$C27,N(Calcule!F27),IF(N(Calcule!F27)&gt;0,Calcule!F27,"")))</f>
        <v/>
      </c>
      <c r="I23" s="81" t="str">
        <f>IF(OR(Perioade!$A27="",5&lt;Calcule!$C27),"",IF(5=Calcule!$C27,N(Calcule!G27),IF(N(Calcule!G27)&gt;0,Calcule!G27,"")))</f>
        <v/>
      </c>
      <c r="J23" s="81" t="str">
        <f>IF(OR(Perioade!$A27="",6&lt;Calcule!$C27),"",IF(6=Calcule!$C27,N(Calcule!H27),IF(N(Calcule!H27)&gt;0,Calcule!H27,"")))</f>
        <v/>
      </c>
      <c r="K23" s="81" t="str">
        <f>IF(OR(Perioade!$A27="",7&lt;Calcule!$C27),"",IF(7=Calcule!$C27,N(Calcule!I27),IF(N(Calcule!I27)&gt;0,Calcule!I27,"")))</f>
        <v/>
      </c>
    </row>
    <row r="24" spans="1:11" x14ac:dyDescent="0.2">
      <c r="A24" t="str">
        <f>IF(Perioade!$A28="","",Perioade!A28)</f>
        <v/>
      </c>
      <c r="B24" t="str">
        <f>IF(Perioade!$A28="","",Perioade!B28)</f>
        <v/>
      </c>
      <c r="C24" s="61" t="str">
        <f>IF(Perioade!$A28="","",Perioade!C28)</f>
        <v/>
      </c>
      <c r="D24" s="61" t="str">
        <f>IF(Perioade!$A28="","",Perioade!D28)</f>
        <v/>
      </c>
      <c r="E24" s="12" t="str">
        <f>IF(Perioade!$A28="","",Perioade!E28)</f>
        <v/>
      </c>
      <c r="F24" s="81" t="str">
        <f>IF(OR(Perioade!$A28="",2&lt;Calcule!$C28),"",IF(2=Calcule!$C28,N(Calcule!D28),IF(N(Calcule!D28)&gt;0,Calcule!D28,"")))</f>
        <v/>
      </c>
      <c r="G24" s="81" t="str">
        <f>IF(OR(Perioade!$A28="",3&lt;Calcule!$C28),"",IF(3=Calcule!$C28,N(Calcule!E28),IF(N(Calcule!E28)&gt;0,Calcule!E28,"")))</f>
        <v/>
      </c>
      <c r="H24" s="81" t="str">
        <f>IF(OR(Perioade!$A28="",4&lt;Calcule!$C28),"",IF(4=Calcule!$C28,N(Calcule!F28),IF(N(Calcule!F28)&gt;0,Calcule!F28,"")))</f>
        <v/>
      </c>
      <c r="I24" s="81" t="str">
        <f>IF(OR(Perioade!$A28="",5&lt;Calcule!$C28),"",IF(5=Calcule!$C28,N(Calcule!G28),IF(N(Calcule!G28)&gt;0,Calcule!G28,"")))</f>
        <v/>
      </c>
      <c r="J24" s="81" t="str">
        <f>IF(OR(Perioade!$A28="",6&lt;Calcule!$C28),"",IF(6=Calcule!$C28,N(Calcule!H28),IF(N(Calcule!H28)&gt;0,Calcule!H28,"")))</f>
        <v/>
      </c>
      <c r="K24" s="81" t="str">
        <f>IF(OR(Perioade!$A28="",7&lt;Calcule!$C28),"",IF(7=Calcule!$C28,N(Calcule!I28),IF(N(Calcule!I28)&gt;0,Calcule!I28,"")))</f>
        <v/>
      </c>
    </row>
    <row r="25" spans="1:11" x14ac:dyDescent="0.2">
      <c r="A25" t="str">
        <f>IF(Perioade!$A29="","",Perioade!A29)</f>
        <v/>
      </c>
      <c r="B25" t="str">
        <f>IF(Perioade!$A29="","",Perioade!B29)</f>
        <v/>
      </c>
      <c r="C25" s="61" t="str">
        <f>IF(Perioade!$A29="","",Perioade!C29)</f>
        <v/>
      </c>
      <c r="D25" s="61" t="str">
        <f>IF(Perioade!$A29="","",Perioade!D29)</f>
        <v/>
      </c>
      <c r="E25" s="12" t="str">
        <f>IF(Perioade!$A29="","",Perioade!E29)</f>
        <v/>
      </c>
      <c r="F25" s="81" t="str">
        <f>IF(OR(Perioade!$A29="",2&lt;Calcule!$C29),"",IF(2=Calcule!$C29,N(Calcule!D29),IF(N(Calcule!D29)&gt;0,Calcule!D29,"")))</f>
        <v/>
      </c>
      <c r="G25" s="81" t="str">
        <f>IF(OR(Perioade!$A29="",3&lt;Calcule!$C29),"",IF(3=Calcule!$C29,N(Calcule!E29),IF(N(Calcule!E29)&gt;0,Calcule!E29,"")))</f>
        <v/>
      </c>
      <c r="H25" s="81" t="str">
        <f>IF(OR(Perioade!$A29="",4&lt;Calcule!$C29),"",IF(4=Calcule!$C29,N(Calcule!F29),IF(N(Calcule!F29)&gt;0,Calcule!F29,"")))</f>
        <v/>
      </c>
      <c r="I25" s="81" t="str">
        <f>IF(OR(Perioade!$A29="",5&lt;Calcule!$C29),"",IF(5=Calcule!$C29,N(Calcule!G29),IF(N(Calcule!G29)&gt;0,Calcule!G29,"")))</f>
        <v/>
      </c>
      <c r="J25" s="81" t="str">
        <f>IF(OR(Perioade!$A29="",6&lt;Calcule!$C29),"",IF(6=Calcule!$C29,N(Calcule!H29),IF(N(Calcule!H29)&gt;0,Calcule!H29,"")))</f>
        <v/>
      </c>
      <c r="K25" s="81" t="str">
        <f>IF(OR(Perioade!$A29="",7&lt;Calcule!$C29),"",IF(7=Calcule!$C29,N(Calcule!I29),IF(N(Calcule!I29)&gt;0,Calcule!I29,"")))</f>
        <v/>
      </c>
    </row>
    <row r="26" spans="1:11" x14ac:dyDescent="0.2">
      <c r="A26" t="str">
        <f>IF(Perioade!$A30="","",Perioade!A30)</f>
        <v/>
      </c>
      <c r="B26" t="str">
        <f>IF(Perioade!$A30="","",Perioade!B30)</f>
        <v/>
      </c>
      <c r="C26" s="61" t="str">
        <f>IF(Perioade!$A30="","",Perioade!C30)</f>
        <v/>
      </c>
      <c r="D26" s="61" t="str">
        <f>IF(Perioade!$A30="","",Perioade!D30)</f>
        <v/>
      </c>
      <c r="E26" s="12" t="str">
        <f>IF(Perioade!$A30="","",Perioade!E30)</f>
        <v/>
      </c>
      <c r="F26" s="81" t="str">
        <f>IF(OR(Perioade!$A30="",2&lt;Calcule!$C30),"",IF(2=Calcule!$C30,N(Calcule!D30),IF(N(Calcule!D30)&gt;0,Calcule!D30,"")))</f>
        <v/>
      </c>
      <c r="G26" s="81" t="str">
        <f>IF(OR(Perioade!$A30="",3&lt;Calcule!$C30),"",IF(3=Calcule!$C30,N(Calcule!E30),IF(N(Calcule!E30)&gt;0,Calcule!E30,"")))</f>
        <v/>
      </c>
      <c r="H26" s="81" t="str">
        <f>IF(OR(Perioade!$A30="",4&lt;Calcule!$C30),"",IF(4=Calcule!$C30,N(Calcule!F30),IF(N(Calcule!F30)&gt;0,Calcule!F30,"")))</f>
        <v/>
      </c>
      <c r="I26" s="81" t="str">
        <f>IF(OR(Perioade!$A30="",5&lt;Calcule!$C30),"",IF(5=Calcule!$C30,N(Calcule!G30),IF(N(Calcule!G30)&gt;0,Calcule!G30,"")))</f>
        <v/>
      </c>
      <c r="J26" s="81" t="str">
        <f>IF(OR(Perioade!$A30="",6&lt;Calcule!$C30),"",IF(6=Calcule!$C30,N(Calcule!H30),IF(N(Calcule!H30)&gt;0,Calcule!H30,"")))</f>
        <v/>
      </c>
      <c r="K26" s="81" t="str">
        <f>IF(OR(Perioade!$A30="",7&lt;Calcule!$C30),"",IF(7=Calcule!$C30,N(Calcule!I30),IF(N(Calcule!I30)&gt;0,Calcule!I30,"")))</f>
        <v/>
      </c>
    </row>
    <row r="27" spans="1:11" x14ac:dyDescent="0.2">
      <c r="A27" t="str">
        <f>IF(Perioade!$A31="","",Perioade!A31)</f>
        <v/>
      </c>
      <c r="B27" t="str">
        <f>IF(Perioade!$A31="","",Perioade!B31)</f>
        <v/>
      </c>
      <c r="C27" s="61" t="str">
        <f>IF(Perioade!$A31="","",Perioade!C31)</f>
        <v/>
      </c>
      <c r="D27" s="61" t="str">
        <f>IF(Perioade!$A31="","",Perioade!D31)</f>
        <v/>
      </c>
      <c r="E27" s="12" t="str">
        <f>IF(Perioade!$A31="","",Perioade!E31)</f>
        <v/>
      </c>
      <c r="F27" s="81" t="str">
        <f>IF(OR(Perioade!$A31="",2&lt;Calcule!$C31),"",IF(2=Calcule!$C31,N(Calcule!D31),IF(N(Calcule!D31)&gt;0,Calcule!D31,"")))</f>
        <v/>
      </c>
      <c r="G27" s="81" t="str">
        <f>IF(OR(Perioade!$A31="",3&lt;Calcule!$C31),"",IF(3=Calcule!$C31,N(Calcule!E31),IF(N(Calcule!E31)&gt;0,Calcule!E31,"")))</f>
        <v/>
      </c>
      <c r="H27" s="81" t="str">
        <f>IF(OR(Perioade!$A31="",4&lt;Calcule!$C31),"",IF(4=Calcule!$C31,N(Calcule!F31),IF(N(Calcule!F31)&gt;0,Calcule!F31,"")))</f>
        <v/>
      </c>
      <c r="I27" s="81" t="str">
        <f>IF(OR(Perioade!$A31="",5&lt;Calcule!$C31),"",IF(5=Calcule!$C31,N(Calcule!G31),IF(N(Calcule!G31)&gt;0,Calcule!G31,"")))</f>
        <v/>
      </c>
      <c r="J27" s="81" t="str">
        <f>IF(OR(Perioade!$A31="",6&lt;Calcule!$C31),"",IF(6=Calcule!$C31,N(Calcule!H31),IF(N(Calcule!H31)&gt;0,Calcule!H31,"")))</f>
        <v/>
      </c>
      <c r="K27" s="81" t="str">
        <f>IF(OR(Perioade!$A31="",7&lt;Calcule!$C31),"",IF(7=Calcule!$C31,N(Calcule!I31),IF(N(Calcule!I31)&gt;0,Calcule!I31,"")))</f>
        <v/>
      </c>
    </row>
    <row r="28" spans="1:11" x14ac:dyDescent="0.2">
      <c r="A28" t="str">
        <f>IF(Perioade!$A32="","",Perioade!A32)</f>
        <v/>
      </c>
      <c r="B28" t="str">
        <f>IF(Perioade!$A32="","",Perioade!B32)</f>
        <v/>
      </c>
      <c r="C28" s="61" t="str">
        <f>IF(Perioade!$A32="","",Perioade!C32)</f>
        <v/>
      </c>
      <c r="D28" s="61" t="str">
        <f>IF(Perioade!$A32="","",Perioade!D32)</f>
        <v/>
      </c>
      <c r="E28" s="12" t="str">
        <f>IF(Perioade!$A32="","",Perioade!E32)</f>
        <v/>
      </c>
      <c r="F28" s="81" t="str">
        <f>IF(OR(Perioade!$A32="",2&lt;Calcule!$C32),"",IF(2=Calcule!$C32,N(Calcule!D32),IF(N(Calcule!D32)&gt;0,Calcule!D32,"")))</f>
        <v/>
      </c>
      <c r="G28" s="81" t="str">
        <f>IF(OR(Perioade!$A32="",3&lt;Calcule!$C32),"",IF(3=Calcule!$C32,N(Calcule!E32),IF(N(Calcule!E32)&gt;0,Calcule!E32,"")))</f>
        <v/>
      </c>
      <c r="H28" s="81" t="str">
        <f>IF(OR(Perioade!$A32="",4&lt;Calcule!$C32),"",IF(4=Calcule!$C32,N(Calcule!F32),IF(N(Calcule!F32)&gt;0,Calcule!F32,"")))</f>
        <v/>
      </c>
      <c r="I28" s="81" t="str">
        <f>IF(OR(Perioade!$A32="",5&lt;Calcule!$C32),"",IF(5=Calcule!$C32,N(Calcule!G32),IF(N(Calcule!G32)&gt;0,Calcule!G32,"")))</f>
        <v/>
      </c>
      <c r="J28" s="81" t="str">
        <f>IF(OR(Perioade!$A32="",6&lt;Calcule!$C32),"",IF(6=Calcule!$C32,N(Calcule!H32),IF(N(Calcule!H32)&gt;0,Calcule!H32,"")))</f>
        <v/>
      </c>
      <c r="K28" s="81" t="str">
        <f>IF(OR(Perioade!$A32="",7&lt;Calcule!$C32),"",IF(7=Calcule!$C32,N(Calcule!I32),IF(N(Calcule!I32)&gt;0,Calcule!I32,"")))</f>
        <v/>
      </c>
    </row>
    <row r="29" spans="1:11" x14ac:dyDescent="0.2">
      <c r="A29" t="str">
        <f>IF(Perioade!$A33="","",Perioade!A33)</f>
        <v/>
      </c>
      <c r="B29" t="str">
        <f>IF(Perioade!$A33="","",Perioade!B33)</f>
        <v/>
      </c>
      <c r="C29" s="61" t="str">
        <f>IF(Perioade!$A33="","",Perioade!C33)</f>
        <v/>
      </c>
      <c r="D29" s="61" t="str">
        <f>IF(Perioade!$A33="","",Perioade!D33)</f>
        <v/>
      </c>
      <c r="E29" s="12" t="str">
        <f>IF(Perioade!$A33="","",Perioade!E33)</f>
        <v/>
      </c>
      <c r="F29" s="81" t="str">
        <f>IF(OR(Perioade!$A33="",2&lt;Calcule!$C33),"",IF(2=Calcule!$C33,N(Calcule!D33),IF(N(Calcule!D33)&gt;0,Calcule!D33,"")))</f>
        <v/>
      </c>
      <c r="G29" s="81" t="str">
        <f>IF(OR(Perioade!$A33="",3&lt;Calcule!$C33),"",IF(3=Calcule!$C33,N(Calcule!E33),IF(N(Calcule!E33)&gt;0,Calcule!E33,"")))</f>
        <v/>
      </c>
      <c r="H29" s="81" t="str">
        <f>IF(OR(Perioade!$A33="",4&lt;Calcule!$C33),"",IF(4=Calcule!$C33,N(Calcule!F33),IF(N(Calcule!F33)&gt;0,Calcule!F33,"")))</f>
        <v/>
      </c>
      <c r="I29" s="81" t="str">
        <f>IF(OR(Perioade!$A33="",5&lt;Calcule!$C33),"",IF(5=Calcule!$C33,N(Calcule!G33),IF(N(Calcule!G33)&gt;0,Calcule!G33,"")))</f>
        <v/>
      </c>
      <c r="J29" s="81" t="str">
        <f>IF(OR(Perioade!$A33="",6&lt;Calcule!$C33),"",IF(6=Calcule!$C33,N(Calcule!H33),IF(N(Calcule!H33)&gt;0,Calcule!H33,"")))</f>
        <v/>
      </c>
      <c r="K29" s="81" t="str">
        <f>IF(OR(Perioade!$A33="",7&lt;Calcule!$C33),"",IF(7=Calcule!$C33,N(Calcule!I33),IF(N(Calcule!I33)&gt;0,Calcule!I33,"")))</f>
        <v/>
      </c>
    </row>
    <row r="30" spans="1:11" x14ac:dyDescent="0.2">
      <c r="A30" t="str">
        <f>IF(Perioade!$A34="","",Perioade!A34)</f>
        <v/>
      </c>
      <c r="B30" t="str">
        <f>IF(Perioade!$A34="","",Perioade!B34)</f>
        <v/>
      </c>
      <c r="C30" s="61" t="str">
        <f>IF(Perioade!$A34="","",Perioade!C34)</f>
        <v/>
      </c>
      <c r="D30" s="61" t="str">
        <f>IF(Perioade!$A34="","",Perioade!D34)</f>
        <v/>
      </c>
      <c r="E30" s="12" t="str">
        <f>IF(Perioade!$A34="","",Perioade!E34)</f>
        <v/>
      </c>
      <c r="F30" s="81" t="str">
        <f>IF(OR(Perioade!$A34="",2&lt;Calcule!$C34),"",IF(2=Calcule!$C34,N(Calcule!D34),IF(N(Calcule!D34)&gt;0,Calcule!D34,"")))</f>
        <v/>
      </c>
      <c r="G30" s="81" t="str">
        <f>IF(OR(Perioade!$A34="",3&lt;Calcule!$C34),"",IF(3=Calcule!$C34,N(Calcule!E34),IF(N(Calcule!E34)&gt;0,Calcule!E34,"")))</f>
        <v/>
      </c>
      <c r="H30" s="81" t="str">
        <f>IF(OR(Perioade!$A34="",4&lt;Calcule!$C34),"",IF(4=Calcule!$C34,N(Calcule!F34),IF(N(Calcule!F34)&gt;0,Calcule!F34,"")))</f>
        <v/>
      </c>
      <c r="I30" s="81" t="str">
        <f>IF(OR(Perioade!$A34="",5&lt;Calcule!$C34),"",IF(5=Calcule!$C34,N(Calcule!G34),IF(N(Calcule!G34)&gt;0,Calcule!G34,"")))</f>
        <v/>
      </c>
      <c r="J30" s="81" t="str">
        <f>IF(OR(Perioade!$A34="",6&lt;Calcule!$C34),"",IF(6=Calcule!$C34,N(Calcule!H34),IF(N(Calcule!H34)&gt;0,Calcule!H34,"")))</f>
        <v/>
      </c>
      <c r="K30" s="81" t="str">
        <f>IF(OR(Perioade!$A34="",7&lt;Calcule!$C34),"",IF(7=Calcule!$C34,N(Calcule!I34),IF(N(Calcule!I34)&gt;0,Calcule!I34,"")))</f>
        <v/>
      </c>
    </row>
    <row r="31" spans="1:11" x14ac:dyDescent="0.2">
      <c r="A31" t="str">
        <f>IF(Perioade!$A35="","",Perioade!A35)</f>
        <v/>
      </c>
      <c r="B31" t="str">
        <f>IF(Perioade!$A35="","",Perioade!B35)</f>
        <v/>
      </c>
      <c r="C31" s="61" t="str">
        <f>IF(Perioade!$A35="","",Perioade!C35)</f>
        <v/>
      </c>
      <c r="D31" s="61" t="str">
        <f>IF(Perioade!$A35="","",Perioade!D35)</f>
        <v/>
      </c>
      <c r="E31" s="12" t="str">
        <f>IF(Perioade!$A35="","",Perioade!E35)</f>
        <v/>
      </c>
      <c r="F31" s="81" t="str">
        <f>IF(OR(Perioade!$A35="",2&lt;Calcule!$C35),"",IF(2=Calcule!$C35,N(Calcule!D35),IF(N(Calcule!D35)&gt;0,Calcule!D35,"")))</f>
        <v/>
      </c>
      <c r="G31" s="81" t="str">
        <f>IF(OR(Perioade!$A35="",3&lt;Calcule!$C35),"",IF(3=Calcule!$C35,N(Calcule!E35),IF(N(Calcule!E35)&gt;0,Calcule!E35,"")))</f>
        <v/>
      </c>
      <c r="H31" s="81" t="str">
        <f>IF(OR(Perioade!$A35="",4&lt;Calcule!$C35),"",IF(4=Calcule!$C35,N(Calcule!F35),IF(N(Calcule!F35)&gt;0,Calcule!F35,"")))</f>
        <v/>
      </c>
      <c r="I31" s="81" t="str">
        <f>IF(OR(Perioade!$A35="",5&lt;Calcule!$C35),"",IF(5=Calcule!$C35,N(Calcule!G35),IF(N(Calcule!G35)&gt;0,Calcule!G35,"")))</f>
        <v/>
      </c>
      <c r="J31" s="81" t="str">
        <f>IF(OR(Perioade!$A35="",6&lt;Calcule!$C35),"",IF(6=Calcule!$C35,N(Calcule!H35),IF(N(Calcule!H35)&gt;0,Calcule!H35,"")))</f>
        <v/>
      </c>
      <c r="K31" s="81" t="str">
        <f>IF(OR(Perioade!$A35="",7&lt;Calcule!$C35),"",IF(7=Calcule!$C35,N(Calcule!I35),IF(N(Calcule!I35)&gt;0,Calcule!I35,"")))</f>
        <v/>
      </c>
    </row>
    <row r="32" spans="1:11" x14ac:dyDescent="0.2">
      <c r="A32" t="str">
        <f>IF(Perioade!$A36="","",Perioade!A36)</f>
        <v/>
      </c>
      <c r="B32" t="str">
        <f>IF(Perioade!$A36="","",Perioade!B36)</f>
        <v/>
      </c>
      <c r="C32" s="61" t="str">
        <f>IF(Perioade!$A36="","",Perioade!C36)</f>
        <v/>
      </c>
      <c r="D32" s="61" t="str">
        <f>IF(Perioade!$A36="","",Perioade!D36)</f>
        <v/>
      </c>
      <c r="E32" s="12" t="str">
        <f>IF(Perioade!$A36="","",Perioade!E36)</f>
        <v/>
      </c>
      <c r="F32" s="81" t="str">
        <f>IF(OR(Perioade!$A36="",2&lt;Calcule!$C36),"",IF(2=Calcule!$C36,N(Calcule!D36),IF(N(Calcule!D36)&gt;0,Calcule!D36,"")))</f>
        <v/>
      </c>
      <c r="G32" s="81" t="str">
        <f>IF(OR(Perioade!$A36="",3&lt;Calcule!$C36),"",IF(3=Calcule!$C36,N(Calcule!E36),IF(N(Calcule!E36)&gt;0,Calcule!E36,"")))</f>
        <v/>
      </c>
      <c r="H32" s="81" t="str">
        <f>IF(OR(Perioade!$A36="",4&lt;Calcule!$C36),"",IF(4=Calcule!$C36,N(Calcule!F36),IF(N(Calcule!F36)&gt;0,Calcule!F36,"")))</f>
        <v/>
      </c>
      <c r="I32" s="81" t="str">
        <f>IF(OR(Perioade!$A36="",5&lt;Calcule!$C36),"",IF(5=Calcule!$C36,N(Calcule!G36),IF(N(Calcule!G36)&gt;0,Calcule!G36,"")))</f>
        <v/>
      </c>
      <c r="J32" s="81" t="str">
        <f>IF(OR(Perioade!$A36="",6&lt;Calcule!$C36),"",IF(6=Calcule!$C36,N(Calcule!H36),IF(N(Calcule!H36)&gt;0,Calcule!H36,"")))</f>
        <v/>
      </c>
      <c r="K32" s="81" t="str">
        <f>IF(OR(Perioade!$A36="",7&lt;Calcule!$C36),"",IF(7=Calcule!$C36,N(Calcule!I36),IF(N(Calcule!I36)&gt;0,Calcule!I36,"")))</f>
        <v/>
      </c>
    </row>
    <row r="33" spans="1:11" x14ac:dyDescent="0.2">
      <c r="A33" t="str">
        <f>IF(Perioade!$A37="","",Perioade!A37)</f>
        <v/>
      </c>
      <c r="B33" t="str">
        <f>IF(Perioade!$A37="","",Perioade!B37)</f>
        <v/>
      </c>
      <c r="C33" s="61" t="str">
        <f>IF(Perioade!$A37="","",Perioade!C37)</f>
        <v/>
      </c>
      <c r="D33" s="61" t="str">
        <f>IF(Perioade!$A37="","",Perioade!D37)</f>
        <v/>
      </c>
      <c r="E33" s="12" t="str">
        <f>IF(Perioade!$A37="","",Perioade!E37)</f>
        <v/>
      </c>
      <c r="F33" s="81" t="str">
        <f>IF(OR(Perioade!$A37="",2&lt;Calcule!$C37),"",IF(2=Calcule!$C37,N(Calcule!D37),IF(N(Calcule!D37)&gt;0,Calcule!D37,"")))</f>
        <v/>
      </c>
      <c r="G33" s="81" t="str">
        <f>IF(OR(Perioade!$A37="",3&lt;Calcule!$C37),"",IF(3=Calcule!$C37,N(Calcule!E37),IF(N(Calcule!E37)&gt;0,Calcule!E37,"")))</f>
        <v/>
      </c>
      <c r="H33" s="81" t="str">
        <f>IF(OR(Perioade!$A37="",4&lt;Calcule!$C37),"",IF(4=Calcule!$C37,N(Calcule!F37),IF(N(Calcule!F37)&gt;0,Calcule!F37,"")))</f>
        <v/>
      </c>
      <c r="I33" s="81" t="str">
        <f>IF(OR(Perioade!$A37="",5&lt;Calcule!$C37),"",IF(5=Calcule!$C37,N(Calcule!G37),IF(N(Calcule!G37)&gt;0,Calcule!G37,"")))</f>
        <v/>
      </c>
      <c r="J33" s="81" t="str">
        <f>IF(OR(Perioade!$A37="",6&lt;Calcule!$C37),"",IF(6=Calcule!$C37,N(Calcule!H37),IF(N(Calcule!H37)&gt;0,Calcule!H37,"")))</f>
        <v/>
      </c>
      <c r="K33" s="81" t="str">
        <f>IF(OR(Perioade!$A37="",7&lt;Calcule!$C37),"",IF(7=Calcule!$C37,N(Calcule!I37),IF(N(Calcule!I37)&gt;0,Calcule!I37,"")))</f>
        <v/>
      </c>
    </row>
    <row r="34" spans="1:11" x14ac:dyDescent="0.2">
      <c r="A34" t="str">
        <f>IF(Perioade!$A38="","",Perioade!A38)</f>
        <v/>
      </c>
      <c r="B34" t="str">
        <f>IF(Perioade!$A38="","",Perioade!B38)</f>
        <v/>
      </c>
      <c r="C34" s="61" t="str">
        <f>IF(Perioade!$A38="","",Perioade!C38)</f>
        <v/>
      </c>
      <c r="D34" s="61" t="str">
        <f>IF(Perioade!$A38="","",Perioade!D38)</f>
        <v/>
      </c>
      <c r="E34" s="12" t="str">
        <f>IF(Perioade!$A38="","",Perioade!E38)</f>
        <v/>
      </c>
      <c r="F34" s="81" t="str">
        <f>IF(OR(Perioade!$A38="",2&lt;Calcule!$C38),"",IF(2=Calcule!$C38,N(Calcule!D38),IF(N(Calcule!D38)&gt;0,Calcule!D38,"")))</f>
        <v/>
      </c>
      <c r="G34" s="81" t="str">
        <f>IF(OR(Perioade!$A38="",3&lt;Calcule!$C38),"",IF(3=Calcule!$C38,N(Calcule!E38),IF(N(Calcule!E38)&gt;0,Calcule!E38,"")))</f>
        <v/>
      </c>
      <c r="H34" s="81" t="str">
        <f>IF(OR(Perioade!$A38="",4&lt;Calcule!$C38),"",IF(4=Calcule!$C38,N(Calcule!F38),IF(N(Calcule!F38)&gt;0,Calcule!F38,"")))</f>
        <v/>
      </c>
      <c r="I34" s="81" t="str">
        <f>IF(OR(Perioade!$A38="",5&lt;Calcule!$C38),"",IF(5=Calcule!$C38,N(Calcule!G38),IF(N(Calcule!G38)&gt;0,Calcule!G38,"")))</f>
        <v/>
      </c>
      <c r="J34" s="81" t="str">
        <f>IF(OR(Perioade!$A38="",6&lt;Calcule!$C38),"",IF(6=Calcule!$C38,N(Calcule!H38),IF(N(Calcule!H38)&gt;0,Calcule!H38,"")))</f>
        <v/>
      </c>
      <c r="K34" s="81" t="str">
        <f>IF(OR(Perioade!$A38="",7&lt;Calcule!$C38),"",IF(7=Calcule!$C38,N(Calcule!I38),IF(N(Calcule!I38)&gt;0,Calcule!I38,"")))</f>
        <v/>
      </c>
    </row>
    <row r="35" spans="1:11" x14ac:dyDescent="0.2">
      <c r="A35" t="str">
        <f>IF(Perioade!$A39="","",Perioade!A39)</f>
        <v/>
      </c>
      <c r="B35" t="str">
        <f>IF(Perioade!$A39="","",Perioade!B39)</f>
        <v/>
      </c>
      <c r="C35" s="61" t="str">
        <f>IF(Perioade!$A39="","",Perioade!C39)</f>
        <v/>
      </c>
      <c r="D35" s="61" t="str">
        <f>IF(Perioade!$A39="","",Perioade!D39)</f>
        <v/>
      </c>
      <c r="E35" s="12" t="str">
        <f>IF(Perioade!$A39="","",Perioade!E39)</f>
        <v/>
      </c>
      <c r="F35" s="81" t="str">
        <f>IF(OR(Perioade!$A39="",2&lt;Calcule!$C39),"",IF(2=Calcule!$C39,N(Calcule!D39),IF(N(Calcule!D39)&gt;0,Calcule!D39,"")))</f>
        <v/>
      </c>
      <c r="G35" s="81" t="str">
        <f>IF(OR(Perioade!$A39="",3&lt;Calcule!$C39),"",IF(3=Calcule!$C39,N(Calcule!E39),IF(N(Calcule!E39)&gt;0,Calcule!E39,"")))</f>
        <v/>
      </c>
      <c r="H35" s="81" t="str">
        <f>IF(OR(Perioade!$A39="",4&lt;Calcule!$C39),"",IF(4=Calcule!$C39,N(Calcule!F39),IF(N(Calcule!F39)&gt;0,Calcule!F39,"")))</f>
        <v/>
      </c>
      <c r="I35" s="81" t="str">
        <f>IF(OR(Perioade!$A39="",5&lt;Calcule!$C39),"",IF(5=Calcule!$C39,N(Calcule!G39),IF(N(Calcule!G39)&gt;0,Calcule!G39,"")))</f>
        <v/>
      </c>
      <c r="J35" s="81" t="str">
        <f>IF(OR(Perioade!$A39="",6&lt;Calcule!$C39),"",IF(6=Calcule!$C39,N(Calcule!H39),IF(N(Calcule!H39)&gt;0,Calcule!H39,"")))</f>
        <v/>
      </c>
      <c r="K35" s="81" t="str">
        <f>IF(OR(Perioade!$A39="",7&lt;Calcule!$C39),"",IF(7=Calcule!$C39,N(Calcule!I39),IF(N(Calcule!I39)&gt;0,Calcule!I39,"")))</f>
        <v/>
      </c>
    </row>
    <row r="36" spans="1:11" x14ac:dyDescent="0.2">
      <c r="A36" t="str">
        <f>IF(Perioade!$A40="","",Perioade!A40)</f>
        <v/>
      </c>
      <c r="B36" t="str">
        <f>IF(Perioade!$A40="","",Perioade!B40)</f>
        <v/>
      </c>
      <c r="C36" s="61" t="str">
        <f>IF(Perioade!$A40="","",Perioade!C40)</f>
        <v/>
      </c>
      <c r="D36" s="61" t="str">
        <f>IF(Perioade!$A40="","",Perioade!D40)</f>
        <v/>
      </c>
      <c r="E36" s="12" t="str">
        <f>IF(Perioade!$A40="","",Perioade!E40)</f>
        <v/>
      </c>
      <c r="F36" s="81" t="str">
        <f>IF(OR(Perioade!$A40="",2&lt;Calcule!$C40),"",IF(2=Calcule!$C40,N(Calcule!D40),IF(N(Calcule!D40)&gt;0,Calcule!D40,"")))</f>
        <v/>
      </c>
      <c r="G36" s="81" t="str">
        <f>IF(OR(Perioade!$A40="",3&lt;Calcule!$C40),"",IF(3=Calcule!$C40,N(Calcule!E40),IF(N(Calcule!E40)&gt;0,Calcule!E40,"")))</f>
        <v/>
      </c>
      <c r="H36" s="81" t="str">
        <f>IF(OR(Perioade!$A40="",4&lt;Calcule!$C40),"",IF(4=Calcule!$C40,N(Calcule!F40),IF(N(Calcule!F40)&gt;0,Calcule!F40,"")))</f>
        <v/>
      </c>
      <c r="I36" s="81" t="str">
        <f>IF(OR(Perioade!$A40="",5&lt;Calcule!$C40),"",IF(5=Calcule!$C40,N(Calcule!G40),IF(N(Calcule!G40)&gt;0,Calcule!G40,"")))</f>
        <v/>
      </c>
      <c r="J36" s="81" t="str">
        <f>IF(OR(Perioade!$A40="",6&lt;Calcule!$C40),"",IF(6=Calcule!$C40,N(Calcule!H40),IF(N(Calcule!H40)&gt;0,Calcule!H40,"")))</f>
        <v/>
      </c>
      <c r="K36" s="81" t="str">
        <f>IF(OR(Perioade!$A40="",7&lt;Calcule!$C40),"",IF(7=Calcule!$C40,N(Calcule!I40),IF(N(Calcule!I40)&gt;0,Calcule!I40,"")))</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Foi de lucru</vt:lpstr>
      </vt:variant>
      <vt:variant>
        <vt:i4>12</vt:i4>
      </vt:variant>
      <vt:variant>
        <vt:lpstr>Zone denumite</vt:lpstr>
      </vt:variant>
      <vt:variant>
        <vt:i4>47</vt:i4>
      </vt:variant>
    </vt:vector>
  </HeadingPairs>
  <TitlesOfParts>
    <vt:vector size="59" baseType="lpstr">
      <vt:lpstr>Ghid</vt:lpstr>
      <vt:lpstr>Setări</vt:lpstr>
      <vt:lpstr>Perioade</vt:lpstr>
      <vt:lpstr>Prețuri de setat</vt:lpstr>
      <vt:lpstr>Verificare sejururi</vt:lpstr>
      <vt:lpstr>Simulator</vt:lpstr>
      <vt:lpstr>Calendar</vt:lpstr>
      <vt:lpstr>Checklist</vt:lpstr>
      <vt:lpstr>Date actuale</vt:lpstr>
      <vt:lpstr>Verificare</vt:lpstr>
      <vt:lpstr>Calcule</vt:lpstr>
      <vt:lpstr>Export site</vt:lpstr>
      <vt:lpstr>a_Auto</vt:lpstr>
      <vt:lpstr>a_Com</vt:lpstr>
      <vt:lpstr>a_Durata</vt:lpstr>
      <vt:lpstr>a_Excl</vt:lpstr>
      <vt:lpstr>a_Luna</vt:lpstr>
      <vt:lpstr>a_MinNet</vt:lpstr>
      <vt:lpstr>a_Plata</vt:lpstr>
      <vt:lpstr>a_Pond</vt:lpstr>
      <vt:lpstr>a_PondSug</vt:lpstr>
      <vt:lpstr>a_Rot</vt:lpstr>
      <vt:lpstr>a_Sapt</vt:lpstr>
      <vt:lpstr>a_Supl</vt:lpstr>
      <vt:lpstr>a_TVAc</vt:lpstr>
      <vt:lpstr>b_Auto</vt:lpstr>
      <vt:lpstr>b_Com</vt:lpstr>
      <vt:lpstr>b_Durata</vt:lpstr>
      <vt:lpstr>b_Excl</vt:lpstr>
      <vt:lpstr>b_Plata</vt:lpstr>
      <vt:lpstr>b_Pond</vt:lpstr>
      <vt:lpstr>b_Rot</vt:lpstr>
      <vt:lpstr>b_Supl</vt:lpstr>
      <vt:lpstr>b_TVAc</vt:lpstr>
      <vt:lpstr>c_Cons</vt:lpstr>
      <vt:lpstr>c_Cur</vt:lpstr>
      <vt:lpstr>c_Spal</vt:lpstr>
      <vt:lpstr>c_Spal7</vt:lpstr>
      <vt:lpstr>lst_Pol</vt:lpstr>
      <vt:lpstr>lst_Tip</vt:lpstr>
      <vt:lpstr>m_Auto</vt:lpstr>
      <vt:lpstr>m_Com</vt:lpstr>
      <vt:lpstr>m_Durata</vt:lpstr>
      <vt:lpstr>m_Excl</vt:lpstr>
      <vt:lpstr>m_Plata</vt:lpstr>
      <vt:lpstr>m_Pond</vt:lpstr>
      <vt:lpstr>m_Rot</vt:lpstr>
      <vt:lpstr>m_Supl</vt:lpstr>
      <vt:lpstr>m_TVAc</vt:lpstr>
      <vt:lpstr>p_Adulti</vt:lpstr>
      <vt:lpstr>p_Avantaj</vt:lpstr>
      <vt:lpstr>p_Prag</vt:lpstr>
      <vt:lpstr>p_Std</vt:lpstr>
      <vt:lpstr>p_TaxaSalv</vt:lpstr>
      <vt:lpstr>p_TaxaTur</vt:lpstr>
      <vt:lpstr>p_Taxe</vt:lpstr>
      <vt:lpstr>p_TVA</vt:lpstr>
      <vt:lpstr>s_Flex</vt:lpstr>
      <vt:lpstr>s_Plata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Mircea Vulcanescu</dc:creator>
  <cp:lastModifiedBy>Mircea Vulcanescu</cp:lastModifiedBy>
  <dcterms:created xsi:type="dcterms:W3CDTF">2026-10-25T08:05:40Z</dcterms:created>
  <dcterms:modified xsi:type="dcterms:W3CDTF">2026-10-25T19:22:45Z</dcterms:modified>
</cp:coreProperties>
</file>
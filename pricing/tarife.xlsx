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hid" sheetId="1" state="visible" r:id="rId3"/>
    <sheet name="Sezoane" sheetId="2" state="visible" r:id="rId4"/>
    <sheet name="Platforme" sheetId="3" state="visible" r:id="rId5"/>
    <sheet name="Prețuri de setat" sheetId="4" state="visible" r:id="rId6"/>
    <sheet name="Simulator" sheetId="5" state="visible" r:id="rId7"/>
    <sheet name="Calendar" sheetId="6" state="visible" r:id="rId8"/>
    <sheet name="Checklist" sheetId="7" state="visible" r:id="rId9"/>
    <sheet name="Verificare" sheetId="8" state="visible" r:id="rId10"/>
    <sheet name="Date actuale" sheetId="9" state="visible" r:id="rId11"/>
    <sheet name="Export site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Prețul plătit de oaspete pe site, cu taxa turistică și Salvamont incluse. Sursa: pricing/tarife.xlsx (21.10.2026).</t>
        </r>
      </text>
    </comment>
    <comment ref="F8" authorId="0">
      <text>
        <r>
          <rPr>
            <sz val="10"/>
            <rFont val="Arial"/>
            <family val="2"/>
          </rPr>
          <t xml:space="preserve">Din tarife.xlsx actual: la Crăciun prima durată permisă e 3 nopți.</t>
        </r>
      </text>
    </comment>
    <comment ref="O6" authorId="0">
      <text>
        <r>
          <rPr>
            <sz val="10"/>
            <rFont val="Arial"/>
            <family val="2"/>
          </rPr>
          <t xml:space="preserve">Airbnb → Calendar → Sugestii: „Stabilește un preț de bază competitiv … 474 lei” (21.10.2026). Airbnb dă o singură sugestie pentru perioada curentă; pentru alte sezoane verifică din nou în Airbnb sau lasă gol (= preț cu net egal).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Constanta TAX_TOURIST din script.js (site).</t>
        </r>
      </text>
    </comment>
    <comment ref="B6" authorId="0">
      <text>
        <r>
          <rPr>
            <sz val="10"/>
            <rFont val="Arial"/>
            <family val="2"/>
          </rPr>
          <t xml:space="preserve">Constanta TAX_SALVAMONT din script.js (site).</t>
        </r>
      </text>
    </comment>
    <comment ref="B7" authorId="0">
      <text>
        <r>
          <rPr>
            <sz val="10"/>
            <rFont val="Arial"/>
            <family val="2"/>
          </rPr>
          <t xml:space="preserve">Presupunere: majoritatea rezervărilor sunt pentru 4 adulți. Taxele se scad înainte de calculul comisionului Booking.</t>
        </r>
      </text>
    </comment>
    <comment ref="B31" authorId="0">
      <text>
        <r>
          <rPr>
            <sz val="10"/>
            <rFont val="Arial"/>
            <family val="2"/>
          </rPr>
          <t xml:space="preserve">Cerut de Mircea pe 21.10.2026: câștigul din vânzarea directă cu 5% peste netul de pe platforme.</t>
        </r>
      </text>
    </comment>
  </commentList>
</comments>
</file>

<file path=xl/sharedStrings.xml><?xml version="1.0" encoding="utf-8"?>
<sst xmlns="http://schemas.openxmlformats.org/spreadsheetml/2006/main" count="320" uniqueCount="260">
  <si>
    <t xml:space="preserve">Strategia de prețuri – Travel Concept - Silver Mountain (A13)</t>
  </si>
  <si>
    <t xml:space="preserve">Un singur loc de modificare: foaia „Sezoane” (+ setările din „Platforme”). Restul se calculează automat.</t>
  </si>
  <si>
    <t xml:space="preserve">PRINCIPIUL</t>
  </si>
  <si>
    <t xml:space="preserve">1. Pe site câștigi cu 5% mai mult decât pe platforme (reglabil în „Platforme” B31).</t>
  </si>
  <si>
    <t xml:space="preserve">Prețul de pe fiecare platformă se calculează din tariful site-ului: câștigul net de pe site ÷ 1,05, apoi „umflat” cu comisionul și reducerile automate ale platformei.</t>
  </si>
  <si>
    <t xml:space="preserve">2. Pe site, oaspetele plătește cel mai puțin.</t>
  </si>
  <si>
    <t xml:space="preserve">Diferența față de platforme e egală cu comisionul economisit (12–16%). E un motiv clar să rezerve direct. Din dec. 2024 Booking nu mai poate impune paritatea de preț în UE (DMA).</t>
  </si>
  <si>
    <t xml:space="preserve">3. Aceleași sezoane, aceleași nopți minime, aceleași reduceri pe durată – peste tot.</t>
  </si>
  <si>
    <t xml:space="preserve">Sezoanele și regulile se definesc o singură dată și se copiază pe platforme după lista din „Checklist”.</t>
  </si>
  <si>
    <t xml:space="preserve">CUM SE FOLOSEȘTE</t>
  </si>
  <si>
    <t xml:space="preserve">Pas 1 – Sezoane</t>
  </si>
  <si>
    <t xml:space="preserve">Modifici doar celulele galbene cu text albastru: perioade, tarif site, nopți minime, reduceri pe durată.</t>
  </si>
  <si>
    <t xml:space="preserve">Pas 2 – Platforme</t>
  </si>
  <si>
    <t xml:space="preserve">Verifici comisioanele și reducerile automate (ex. mobil Booking 10%). Se schimbă rar. Tot aici alegi cât ții cont de sugestiile de preț Airbnb.</t>
  </si>
  <si>
    <t xml:space="preserve">Pas 3 – Prețuri de setat</t>
  </si>
  <si>
    <t xml:space="preserve">Citești prețul calculat pentru fiecare platformă și sezon. Coloanele „Acum” arată ce e setat azi; roșu = diferă.</t>
  </si>
  <si>
    <t xml:space="preserve">Pas 4 – Checklist</t>
  </si>
  <si>
    <t xml:space="preserve">Setezi prețurile pe Booking, Airbnb, Travelminit și bifezi.</t>
  </si>
  <si>
    <t xml:space="preserve">Pas 5 – Site</t>
  </si>
  <si>
    <t xml:space="preserve">Salvezi fișierul ca pricing/tarife.xlsx în repo și faci push: site-ul se actualizează singur (foaia „Export site”).</t>
  </si>
  <si>
    <t xml:space="preserve">Verificare</t>
  </si>
  <si>
    <t xml:space="preserve">Foaia „Verificare” semnalează suprapuneri, goluri între sezoane și sezoane neordonate.</t>
  </si>
  <si>
    <t xml:space="preserve">Simulator</t>
  </si>
  <si>
    <t xml:space="preserve">Alegi data, nopțile și adulții: vezi cât plătește oaspetele și cât câștigi pe fiecare canal.</t>
  </si>
  <si>
    <t xml:space="preserve">Calendar</t>
  </si>
  <si>
    <t xml:space="preserve">Prețul zi cu zi pentru 12 luni, pe fiecare canal – util când introduci prețuri pe intervale în extranet.</t>
  </si>
  <si>
    <t xml:space="preserve">LEGENDĂ</t>
  </si>
  <si>
    <t xml:space="preserve">Celulă galbenă, text albastru</t>
  </si>
  <si>
    <t xml:space="preserve">Date de intrare – le poți modifica.</t>
  </si>
  <si>
    <t xml:space="preserve">Celulă albastru-deschis</t>
  </si>
  <si>
    <t xml:space="preserve">Calculat automat – nu modifica.</t>
  </si>
  <si>
    <t xml:space="preserve">Text verde</t>
  </si>
  <si>
    <t xml:space="preserve">Preluat din altă foaie.</t>
  </si>
  <si>
    <t xml:space="preserve">IMPORTANT</t>
  </si>
  <si>
    <t xml:space="preserve">Foaia „Export site”</t>
  </si>
  <si>
    <t xml:space="preserve">O citește automat site-ul (scriptul update-pricing.cjs). Nu o redenumi, nu o șterge, nu scrie în ea.</t>
  </si>
  <si>
    <t xml:space="preserve">Ordinea sezoanelor</t>
  </si>
  <si>
    <t xml:space="preserve">Sezoanele trebuie scrise în ordine cronologică, fără suprapuneri.</t>
  </si>
  <si>
    <t xml:space="preserve">Platformele nu se actualizează singure</t>
  </si>
  <si>
    <t xml:space="preserve">Booking, Airbnb și Travelminit se setează manual (sau printr-un channel manager). Excelul îți spune exact ce valori să pui.</t>
  </si>
  <si>
    <t xml:space="preserve">Date colectate</t>
  </si>
  <si>
    <t xml:space="preserve">Comisioanele și prețurile actuale au fost citite din conturi pe 21.10.2026 – vezi foaia „Date actuale”.</t>
  </si>
  <si>
    <t xml:space="preserve">Sezoane – singurul loc unde modifici prețurile</t>
  </si>
  <si>
    <t xml:space="preserve">Tarif site = prețul pe noapte plătit de oaspete la rezervare directă, cu taxele locale incluse, înainte de reducerile pe durată. Reducere goală = fără reducere pentru acea durată.</t>
  </si>
  <si>
    <t xml:space="preserve">Scrie sezoanele în ordine cronologică. Rânduri libere: până la rândul 40.</t>
  </si>
  <si>
    <t xml:space="preserve">ID sezon</t>
  </si>
  <si>
    <t xml:space="preserve">Denumire</t>
  </si>
  <si>
    <t xml:space="preserve">Data început</t>
  </si>
  <si>
    <t xml:space="preserve">Data sfârșit</t>
  </si>
  <si>
    <t xml:space="preserve">Tarif site / noapte</t>
  </si>
  <si>
    <t xml:space="preserve">Nopți minime</t>
  </si>
  <si>
    <t xml:space="preserve">Reducere 2 nopți</t>
  </si>
  <si>
    <t xml:space="preserve">Reducere 3 nopți</t>
  </si>
  <si>
    <t xml:space="preserve">Reducere 4 nopți</t>
  </si>
  <si>
    <t xml:space="preserve">Reducere 5 nopți</t>
  </si>
  <si>
    <t xml:space="preserve">Reducere 6 nopți</t>
  </si>
  <si>
    <t xml:space="preserve">Reducere 7+ nopți</t>
  </si>
  <si>
    <t xml:space="preserve">Politică anulare (platforme)</t>
  </si>
  <si>
    <t xml:space="preserve">Observații</t>
  </si>
  <si>
    <t xml:space="preserve">Sugestie Airbnb / noapte (opțional)</t>
  </si>
  <si>
    <t xml:space="preserve">vara-toamna-2026</t>
  </si>
  <si>
    <t xml:space="preserve">Sezon vară</t>
  </si>
  <si>
    <t xml:space="preserve">Flexibil 14 zile</t>
  </si>
  <si>
    <t xml:space="preserve">iarna-2026</t>
  </si>
  <si>
    <t xml:space="preserve">Sezon iarnă</t>
  </si>
  <si>
    <t xml:space="preserve">Craciun-2026</t>
  </si>
  <si>
    <t xml:space="preserve">Nerambursabil</t>
  </si>
  <si>
    <t xml:space="preserve">Sărbători: fără reduceri pe durată</t>
  </si>
  <si>
    <t xml:space="preserve">Revelion-2026-2027</t>
  </si>
  <si>
    <t xml:space="preserve">iarna-2027</t>
  </si>
  <si>
    <t xml:space="preserve">Vacanta-schi-2027</t>
  </si>
  <si>
    <t xml:space="preserve">După 07.03.2027 nu există sezon pe site → rezervări directe blocate</t>
  </si>
  <si>
    <t xml:space="preserve">Platforme – comisioane, reduceri automate, taxe</t>
  </si>
  <si>
    <t xml:space="preserve">Se modifică rar. Valorile au fost verificate în conturi pe 21.10.2026 (vezi „Date actuale”).</t>
  </si>
  <si>
    <t xml:space="preserve">Taxe locale incluse în preț (pe noapte)</t>
  </si>
  <si>
    <t xml:space="preserve">Taxă turistică / adult / noapte</t>
  </si>
  <si>
    <t xml:space="preserve">Taxă Salvamont / adult / noapte</t>
  </si>
  <si>
    <t xml:space="preserve">Adulți luați în calcul (ocupare tipică)</t>
  </si>
  <si>
    <t xml:space="preserve">Taxe locale / noapte (calculat)</t>
  </si>
  <si>
    <t xml:space="preserve">Setare</t>
  </si>
  <si>
    <t xml:space="preserve">Site direct</t>
  </si>
  <si>
    <t xml:space="preserve">Booking.com</t>
  </si>
  <si>
    <t xml:space="preserve">Airbnb</t>
  </si>
  <si>
    <t xml:space="preserve">Travelminit</t>
  </si>
  <si>
    <t xml:space="preserve">Sursă / explicație</t>
  </si>
  <si>
    <t xml:space="preserve">Comision platformă</t>
  </si>
  <si>
    <t xml:space="preserve">Booking 15% (din rezervările 6131205469, 5429915812, 6470558532). Airbnb: taxă unică gazdă 15,5% (editor Airbnb: 1.480 lei → câștigi 1.251 lei). Travelminit: „Nivelul de comisionare actual 12%” (admin → Îmbunătățirea poziției).</t>
  </si>
  <si>
    <t xml:space="preserve">Costuri procesare plată</t>
  </si>
  <si>
    <t xml:space="preserve">Booking „Comision și costuri” = ~16,4% din suma comisionabilă → ~1,4% Plăți prin Booking.com. Site: 0 la transfer bancar (pune % dacă încasezi cu cardul).</t>
  </si>
  <si>
    <t xml:space="preserve">Comision calculat fără taxele locale? (1=da, 0=nu)</t>
  </si>
  <si>
    <t xml:space="preserve">Booking scade taxa turistică + Salvamont din suma comisionabilă (ex. 1.458 lei total → 1.362 lei comisionabil). Airbnb/Travelminit: presupus pe tot prețul.</t>
  </si>
  <si>
    <t xml:space="preserve">Reducere automată a platformei</t>
  </si>
  <si>
    <t xml:space="preserve">Booking: „Mobile rate 10%” activ din 07.06.2026 – oaspeții de pe telefon primesc -10%. Pune 0 dacă o dezactivezi.</t>
  </si>
  <si>
    <t xml:space="preserve">Compensez reducerea automată în preț? (1=da, 0=nu)</t>
  </si>
  <si>
    <t xml:space="preserve">1 = prețul de pe platformă e ridicat astfel încât și după reducerea de mobil câștigul net să fie același.</t>
  </si>
  <si>
    <t xml:space="preserve">Rotunjire în sus la (lei)</t>
  </si>
  <si>
    <t xml:space="preserve">Prețurile calculate se rotunjesc în sus la multiplu de 10 lei.</t>
  </si>
  <si>
    <t xml:space="preserve">Aplică reducerile pe durată din „Sezoane”? (1=da, 0=nu)</t>
  </si>
  <si>
    <t xml:space="preserve">Booking are planurile „2 zile -10%” … „7 zile -33%” legate de Standard Rate. Airbnb are doar reducere săptămânală/lunară; Travelminit – nu are setate.</t>
  </si>
  <si>
    <t xml:space="preserve">Airbnb – reduceri pe durată (globale)</t>
  </si>
  <si>
    <t xml:space="preserve">Reducere săptămânală (7+ nopți)</t>
  </si>
  <si>
    <t xml:space="preserve">Azi pe Airbnb: 32% săptămânal, 33% lunar. Recomandat: la fel ca site-ul la 7+ nopți (33%).</t>
  </si>
  <si>
    <t xml:space="preserve">Reducere lunară (28+ nopți)</t>
  </si>
  <si>
    <t xml:space="preserve">Comision efectiv total (calculat)</t>
  </si>
  <si>
    <t xml:space="preserve">Airbnb – cât ții cont de sugestiile Airbnb</t>
  </si>
  <si>
    <t xml:space="preserve">Pondere sugestie Airbnb (0% = net egal, 100% = exact sugestia)</t>
  </si>
  <si>
    <t xml:space="preserve">Prețul Airbnb = amestec între prețul cu net egal și sugestia din „Sezoane” (coloana O). Se aplică doar sezoanelor cu sugestie completată.</t>
  </si>
  <si>
    <t xml:space="preserve">Câștig net minim pe Airbnb (% din netul de pe site)</t>
  </si>
  <si>
    <t xml:space="preserve">Plasă de siguranță: prețul Airbnb nu coboară sub nivelul la care ai câștiga mai puțin de atât.</t>
  </si>
  <si>
    <t xml:space="preserve">Reducere „Rezervări de ultim moment” (0–14 zile)</t>
  </si>
  <si>
    <t xml:space="preserve">Recomandat ca răspuns la sugestia Airbnb: prețul rămâne cu net egal când rezervă din timp, și scade doar pentru nopțile încă libere cu 14 zile înainte.</t>
  </si>
  <si>
    <t xml:space="preserve">Strategie câștig pe site</t>
  </si>
  <si>
    <t xml:space="preserve">Câștig net pe site mai mare decât pe platforme cu</t>
  </si>
  <si>
    <t xml:space="preserve">Ex. 5%: dacă pe site câștigi 1.202 lei/noapte, pe platforme prețul e calculat să-ți rămână 1.202 / 1,05 = 1.145 lei. 0% = câștig egal peste tot.</t>
  </si>
  <si>
    <t xml:space="preserve">Prețuri de setat pe fiecare platformă</t>
  </si>
  <si>
    <t xml:space="preserve">Calculat din „Sezoane” + „Platforme”. Net egal pe toate canalele; pe site oaspetele plătește cel mai puțin. Coloanele „Acum” = ce e setat azi (21.10.2026); roșu = diferă de recomandare.</t>
  </si>
  <si>
    <t xml:space="preserve">De la</t>
  </si>
  <si>
    <t xml:space="preserve">Până la</t>
  </si>
  <si>
    <t xml:space="preserve">Nopți min.</t>
  </si>
  <si>
    <t xml:space="preserve">SITE
tarif / noapte</t>
  </si>
  <si>
    <t xml:space="preserve">BOOKING
Standard Rate</t>
  </si>
  <si>
    <t xml:space="preserve">AIRBNB
preț / noapte</t>
  </si>
  <si>
    <t xml:space="preserve">TRAVELMINIT
preț / noapte</t>
  </si>
  <si>
    <t xml:space="preserve">Câștig net SITE
/ noapte</t>
  </si>
  <si>
    <t xml:space="preserve">Booking pe mobil
(plătește oaspetele)</t>
  </si>
  <si>
    <t xml:space="preserve">Site mai ieftin
decât cea mai ieftină platformă</t>
  </si>
  <si>
    <t xml:space="preserve">Booking
ACUM</t>
  </si>
  <si>
    <t xml:space="preserve">Airbnb
ACUM</t>
  </si>
  <si>
    <t xml:space="preserve">Travelminit
ACUM</t>
  </si>
  <si>
    <t xml:space="preserve">Politică anulare</t>
  </si>
  <si>
    <t xml:space="preserve">Sugestie
Airbnb</t>
  </si>
  <si>
    <t xml:space="preserve">Câștig net
Airbnb</t>
  </si>
  <si>
    <t xml:space="preserve">Airbnb față de
netul platformelor</t>
  </si>
  <si>
    <t xml:space="preserve">Airbnb ultim
moment (preț)</t>
  </si>
  <si>
    <t xml:space="preserve">Câștig net
ultim moment</t>
  </si>
  <si>
    <t xml:space="preserve">Câștig net
Booking / Travelminit</t>
  </si>
  <si>
    <t xml:space="preserve">Simulator rezervare – cât plătește oaspetele și cât câștigi</t>
  </si>
  <si>
    <t xml:space="preserve">Modifică celulele galbene. Prețul se calculează pe fiecare noapte după sezonul ei; reducerea pe durată și nopțile minime după sezonul zilei de check-in (ca pe site).</t>
  </si>
  <si>
    <t xml:space="preserve">Check-in</t>
  </si>
  <si>
    <t xml:space="preserve">Nopți</t>
  </si>
  <si>
    <t xml:space="preserve">Preț nopți (fără reduceri)</t>
  </si>
  <si>
    <t xml:space="preserve">Adulți</t>
  </si>
  <si>
    <t xml:space="preserve">Reducere pe durată</t>
  </si>
  <si>
    <t xml:space="preserve">Oaspete pe mobil (Booking)? 1=da</t>
  </si>
  <si>
    <t xml:space="preserve">Reducere automată (ex. mobil)</t>
  </si>
  <si>
    <t xml:space="preserve">Check-out</t>
  </si>
  <si>
    <t xml:space="preserve">PLĂTEȘTE OASPETELE</t>
  </si>
  <si>
    <t xml:space="preserve">Sezon check-in</t>
  </si>
  <si>
    <t xml:space="preserve">Taxe locale (turistică + Salvamont)</t>
  </si>
  <si>
    <t xml:space="preserve">Nopți minime în sezon</t>
  </si>
  <si>
    <t xml:space="preserve">Comision + costuri platformă</t>
  </si>
  <si>
    <t xml:space="preserve">Reducere pe durată (site/Booking)</t>
  </si>
  <si>
    <t xml:space="preserve">CÂȘTIGUL TĂU NET (după taxe și comision)</t>
  </si>
  <si>
    <t xml:space="preserve">Reducere Airbnb (săpt./lună)</t>
  </si>
  <si>
    <t xml:space="preserve">Oaspetele economisește pe site față de</t>
  </si>
  <si>
    <t xml:space="preserve">Verificare sejur</t>
  </si>
  <si>
    <t xml:space="preserve">Detaliu pe nopți</t>
  </si>
  <si>
    <t xml:space="preserve">Noapte</t>
  </si>
  <si>
    <t xml:space="preserve">Data</t>
  </si>
  <si>
    <t xml:space="preserve">Sezon</t>
  </si>
  <si>
    <t xml:space="preserve">Site</t>
  </si>
  <si>
    <t xml:space="preserve">Booking</t>
  </si>
  <si>
    <t xml:space="preserve">Calendar zilnic – preț pe noapte pe fiecare canal (12 luni)</t>
  </si>
  <si>
    <t xml:space="preserve">Prima zi:</t>
  </si>
  <si>
    <t xml:space="preserve">Zi</t>
  </si>
  <si>
    <t xml:space="preserve">Câștig net</t>
  </si>
  <si>
    <t xml:space="preserve">Checklist sincronizare platforme</t>
  </si>
  <si>
    <t xml:space="preserve">După fiecare modificare în „Sezoane”, parcurge lista. Valorile vin din „Prețuri de setat”.</t>
  </si>
  <si>
    <t xml:space="preserve">Platformă</t>
  </si>
  <si>
    <t xml:space="preserve">Ce setezi</t>
  </si>
  <si>
    <t xml:space="preserve">Unde (meniu)</t>
  </si>
  <si>
    <t xml:space="preserve">Valoare / regulă</t>
  </si>
  <si>
    <t xml:space="preserve">Stare</t>
  </si>
  <si>
    <t xml:space="preserve">Prețuri, nopți minime, reduceri</t>
  </si>
  <si>
    <t xml:space="preserve">Salvezi acest fișier ca pricing/tarife.xlsx → git push</t>
  </si>
  <si>
    <t xml:space="preserve">Automat din foaia „Export site”</t>
  </si>
  <si>
    <t xml:space="preserve">De făcut</t>
  </si>
  <si>
    <t xml:space="preserve">Standard Rate pe fiecare sezon</t>
  </si>
  <si>
    <t xml:space="preserve">Extranet → Tarife și disponibilitate → Calendar</t>
  </si>
  <si>
    <t xml:space="preserve">Coloana BOOKING din „Prețuri de setat”</t>
  </si>
  <si>
    <t xml:space="preserve">Planurile „2 zile -10%” … „7 zile -33%”</t>
  </si>
  <si>
    <t xml:space="preserve">Extranet → Planuri tarifare</t>
  </si>
  <si>
    <t xml:space="preserve">Aceleași procente ca în „Sezoane” (azi: 10/15/20/25/30/33% – corect)</t>
  </si>
  <si>
    <t xml:space="preserve">Nopți minime pe sezon (Crăciun 3, Revelion 4)</t>
  </si>
  <si>
    <t xml:space="preserve">Calendar → Restricții (pe intervalul sezonului)</t>
  </si>
  <si>
    <t xml:space="preserve">Coloana „Nopți min.”</t>
  </si>
  <si>
    <t xml:space="preserve">Mobile rate 10%</t>
  </si>
  <si>
    <t xml:space="preserve">Promoții → Tarife specifice</t>
  </si>
  <si>
    <t xml:space="preserve">Dacă o păstrezi: lași „Platforme” C14 = 10%. Dacă o oprești: pune 0% și recalculează</t>
  </si>
  <si>
    <t xml:space="preserve">Plan „Sarbatori – Nerambursabil”</t>
  </si>
  <si>
    <t xml:space="preserve">Deschis doar pe Crăciun/Revelion, cu prețul BOOKING al sezonului</t>
  </si>
  <si>
    <t xml:space="preserve">Preț pe noapte pe fiecare sezon</t>
  </si>
  <si>
    <t xml:space="preserve">Calendar → selectezi intervalul → Preț</t>
  </si>
  <si>
    <t xml:space="preserve">Coloana AIRBNB din „Prețuri de setat”</t>
  </si>
  <si>
    <t xml:space="preserve">Preț de bază (zilele fără preț personalizat)</t>
  </si>
  <si>
    <t xml:space="preserve">Editor anunț → Prețuri → Preț de bază</t>
  </si>
  <si>
    <t xml:space="preserve">Cel mai mic preț AIRBNB din an (ca plasă de siguranță)</t>
  </si>
  <si>
    <t xml:space="preserve">Reducere săptămânală / lunară</t>
  </si>
  <si>
    <t xml:space="preserve">Calendar → Reduceri</t>
  </si>
  <si>
    <t xml:space="preserve">„Platforme” B20 / B21 (recomandat 33% / 33%; azi 32% / 33%)</t>
  </si>
  <si>
    <t xml:space="preserve">Nopți minime pe sezon</t>
  </si>
  <si>
    <t xml:space="preserve">Calendar → Disponibilitate → Durata sejurului</t>
  </si>
  <si>
    <t xml:space="preserve">Coloana „Nopți min.” (azi global 2–30)</t>
  </si>
  <si>
    <t xml:space="preserve">Tarif standard pe fiecare sezon</t>
  </si>
  <si>
    <t xml:space="preserve">Tarife și capacitate → tabel (perioadă)</t>
  </si>
  <si>
    <t xml:space="preserve">Coloana TRAVELMINIT din „Prețuri de setat”</t>
  </si>
  <si>
    <t xml:space="preserve">Condiții de rezervare → Număr minim de nopți</t>
  </si>
  <si>
    <t xml:space="preserve">Coloana „Nopți min.” (azi nesetat = Automatic)</t>
  </si>
  <si>
    <t xml:space="preserve">Politica „sarbatori” (avans/anulare)</t>
  </si>
  <si>
    <t xml:space="preserve">Avans și anulare</t>
  </si>
  <si>
    <t xml:space="preserve">Doar pe Crăciun / Revelion</t>
  </si>
  <si>
    <t xml:space="preserve">Toate</t>
  </si>
  <si>
    <t xml:space="preserve">Perioade fără sezon</t>
  </si>
  <si>
    <t xml:space="preserve">Foaia „Verificare”</t>
  </si>
  <si>
    <t xml:space="preserve">Adaugă sezonul primăvară 2027 înainte de 07.03.2027 (site blocat după această dată)</t>
  </si>
  <si>
    <t xml:space="preserve">Verificare sezoane</t>
  </si>
  <si>
    <t xml:space="preserve">Început</t>
  </si>
  <si>
    <t xml:space="preserve">Sfârșit</t>
  </si>
  <si>
    <t xml:space="preserve">Ordine &amp; suprapunere</t>
  </si>
  <si>
    <t xml:space="preserve">Gol până la sezonul următor (zile)</t>
  </si>
  <si>
    <t xml:space="preserve">Nopți min. vs. reduceri</t>
  </si>
  <si>
    <t xml:space="preserve">Ultima zi cu tarif pe site</t>
  </si>
  <si>
    <t xml:space="preserve">Date actuale – setate și verificate live în conturi pe 21.10.2026, ora 17:30</t>
  </si>
  <si>
    <t xml:space="preserve">Instantaneu pentru comparație. Actualizează-l când verifici din nou platformele.</t>
  </si>
  <si>
    <t xml:space="preserve">Perioadă</t>
  </si>
  <si>
    <t xml:space="preserve">Booking Standard Rate</t>
  </si>
  <si>
    <t xml:space="preserve">Airbnb preț/noapte</t>
  </si>
  <si>
    <t xml:space="preserve">Travelminit tarif standard</t>
  </si>
  <si>
    <t xml:space="preserve">Note</t>
  </si>
  <si>
    <t xml:space="preserve">22.10 – 30.11.2026</t>
  </si>
  <si>
    <t xml:space="preserve">Setat 21.10.2026 conform tabelului (înainte: Booking 900, Airbnb 1.480, Travelminit 1.480). Site 900. Ocupat: 28.10–03.11, 28–29.11.</t>
  </si>
  <si>
    <t xml:space="preserve">01.12 – 20.12.2026</t>
  </si>
  <si>
    <t xml:space="preserve">Setat 21.10.2026 conform tabelului (înainte 1.300 peste tot). Site 1.250.</t>
  </si>
  <si>
    <t xml:space="preserve">21.12 – 27.12.2026</t>
  </si>
  <si>
    <t xml:space="preserve">28.12.2026 – 04.01.2027</t>
  </si>
  <si>
    <t xml:space="preserve">05.01 – 14.02.2027</t>
  </si>
  <si>
    <t xml:space="preserve">15.02 – 07.03.2027</t>
  </si>
  <si>
    <t xml:space="preserve">Airbnb are 1.500 doar până la 28.02; din 01.03 – 900</t>
  </si>
  <si>
    <t xml:space="preserve">(fără sezon pe site)</t>
  </si>
  <si>
    <t xml:space="preserve">08.03 – 30.04.2027</t>
  </si>
  <si>
    <t xml:space="preserve">Site blocat; Airbnb 900 din 01.03; Travelminit 1.380</t>
  </si>
  <si>
    <t xml:space="preserve">Comisioane și setări observate</t>
  </si>
  <si>
    <t xml:space="preserve">Booking: rez. 6131205469 – suma comisionabilă 3.633 lei, comision și costuri 596,55 lei (16,4%); total oaspete 3.969 lei (taxe locale 336 lei incluse, scăzute din baza de comision).</t>
  </si>
  <si>
    <t xml:space="preserve">Booking: rez. 5429915812 – 1.362 lei comisionabil, 223,25 lei comision (16,4%); rez. 6470558532 – 2.253 lei, 368,49 lei (16,4%).</t>
  </si>
  <si>
    <t xml:space="preserve">Booking: Standard Rate nerambursabil; planuri derivate 2–7 zile (-10% … -33%), flexibile 14 zile; plan „Sarbatori – Nerambursabil”; Mobile rate 10% activ din 07.06.2026; Genius neactiv.</t>
  </si>
  <si>
    <t xml:space="preserve">Airbnb: (verificat la 1.480 lei → câștigi 1.251 lei (taxă unică gazdă ≈15,5%)); reducerile 2–6 nopți șterse, rămân săptămânală 32%, lunară 33%; sejur 2–30 nopți; tarifare inteligentă oprită; sugestia Airbnb: 531 lei.</t>
  </si>
  <si>
    <t xml:space="preserve">Travelminit: nivel de comision net 12%; poziția 41 în Poiana Brașov (apartamente); reducere pe mobil afișată ca activă; nopți minime nesetate (Automatic); politică „sarbatori” cu avans.</t>
  </si>
  <si>
    <t xml:space="preserve">Site: tarifele din pricing/tarife.xlsx; taxe locale 7 + 5 lei/adult/noapte incluse în preț; nu există sezon după 07.03.2027.</t>
  </si>
  <si>
    <t xml:space="preserve">id</t>
  </si>
  <si>
    <t xml:space="preserve">label</t>
  </si>
  <si>
    <t xml:space="preserve">Data inceput</t>
  </si>
  <si>
    <t xml:space="preserve">Data sfarsit</t>
  </si>
  <si>
    <t xml:space="preserve">pret referinta</t>
  </si>
  <si>
    <t xml:space="preserve">2 zile</t>
  </si>
  <si>
    <t xml:space="preserve">3 zile</t>
  </si>
  <si>
    <t xml:space="preserve">4 zile</t>
  </si>
  <si>
    <t xml:space="preserve">5 zile</t>
  </si>
  <si>
    <t xml:space="preserve">6 zile</t>
  </si>
  <si>
    <t xml:space="preserve">7 zile</t>
  </si>
  <si>
    <t xml:space="preserve">NU MODIFICA – foaie citită automat de site (update-pricing.cjs).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</si>
</sst>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.mm\.yyyy"/>
    <numFmt numFmtId="166" formatCode="#,##0&quot; lei&quot;;\-#,##0&quot; lei&quot;;\-"/>
    <numFmt numFmtId="167" formatCode="0"/>
    <numFmt numFmtId="168" formatCode="0%;\-0%;\-"/>
    <numFmt numFmtId="169" formatCode="0.0%;\-0.0%;\-"/>
    <numFmt numFmtId="170" formatCode="General"/>
    <numFmt numFmtId="171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3580"/>
      <name val="Arial"/>
      <family val="0"/>
      <charset val="1"/>
    </font>
    <font>
      <sz val="11"/>
      <color theme="1"/>
      <name val="Arial"/>
      <family val="2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00358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DE2E1"/>
      </patternFill>
    </fill>
    <fill>
      <patternFill patternType="solid">
        <fgColor rgb="FFEAF3FC"/>
        <bgColor rgb="FFF2F2F2"/>
      </patternFill>
    </fill>
    <fill>
      <patternFill patternType="solid">
        <fgColor rgb="FF003580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DE2E1"/>
        </patternFill>
      </fill>
    </dxf>
    <dxf>
      <fill>
        <patternFill>
          <bgColor rgb="FFE2F0D9"/>
        </patternFill>
      </fill>
    </dxf>
    <dxf>
      <fill>
        <patternFill>
          <bgColor rgb="FFF2F2F2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3F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FF99"/>
      <rgbColor rgb="FF99CCFF"/>
      <rgbColor rgb="FFFF99CC"/>
      <rgbColor rgb="FFCC99FF"/>
      <rgbColor rgb="FFFDE2E1"/>
      <rgbColor rgb="FF3366FF"/>
      <rgbColor rgb="FF33CCCC"/>
      <rgbColor rgb="FF99CC00"/>
      <rgbColor rgb="FFFFC000"/>
      <rgbColor rgb="FFFF9900"/>
      <rgbColor rgb="FFFF6600"/>
      <rgbColor rgb="FF555555"/>
      <rgbColor rgb="FF969696"/>
      <rgbColor rgb="FF00358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4" t="s">
        <v>2</v>
      </c>
      <c r="B4" s="2"/>
    </row>
    <row r="5" customFormat="false" ht="23.85" hidden="false" customHeight="false" outlineLevel="0" collapsed="false">
      <c r="A5" s="5" t="s">
        <v>3</v>
      </c>
      <c r="B5" s="6" t="s">
        <v>4</v>
      </c>
    </row>
    <row r="6" customFormat="false" ht="23.85" hidden="false" customHeight="false" outlineLevel="0" collapsed="false">
      <c r="A6" s="5" t="s">
        <v>5</v>
      </c>
      <c r="B6" s="6" t="s">
        <v>6</v>
      </c>
    </row>
    <row r="7" customFormat="false" ht="23.85" hidden="false" customHeight="false" outlineLevel="0" collapsed="false">
      <c r="A7" s="5" t="s">
        <v>7</v>
      </c>
      <c r="B7" s="6" t="s">
        <v>8</v>
      </c>
    </row>
    <row r="8" customFormat="false" ht="15" hidden="false" customHeight="false" outlineLevel="0" collapsed="false">
      <c r="A8" s="2"/>
      <c r="B8" s="2"/>
    </row>
    <row r="9" customFormat="false" ht="15" hidden="false" customHeight="false" outlineLevel="0" collapsed="false">
      <c r="A9" s="4" t="s">
        <v>9</v>
      </c>
      <c r="B9" s="2"/>
    </row>
    <row r="10" customFormat="false" ht="15" hidden="false" customHeight="false" outlineLevel="0" collapsed="false">
      <c r="A10" s="5" t="s">
        <v>10</v>
      </c>
      <c r="B10" s="6" t="s">
        <v>11</v>
      </c>
    </row>
    <row r="11" customFormat="false" ht="23.85" hidden="false" customHeight="false" outlineLevel="0" collapsed="false">
      <c r="A11" s="5" t="s">
        <v>12</v>
      </c>
      <c r="B11" s="6" t="s">
        <v>13</v>
      </c>
    </row>
    <row r="12" customFormat="false" ht="15" hidden="false" customHeight="false" outlineLevel="0" collapsed="false">
      <c r="A12" s="5" t="s">
        <v>14</v>
      </c>
      <c r="B12" s="6" t="s">
        <v>15</v>
      </c>
    </row>
    <row r="13" customFormat="false" ht="15" hidden="false" customHeight="false" outlineLevel="0" collapsed="false">
      <c r="A13" s="5" t="s">
        <v>16</v>
      </c>
      <c r="B13" s="6" t="s">
        <v>17</v>
      </c>
    </row>
    <row r="14" customFormat="false" ht="15" hidden="false" customHeight="false" outlineLevel="0" collapsed="false">
      <c r="A14" s="5" t="s">
        <v>18</v>
      </c>
      <c r="B14" s="6" t="s">
        <v>19</v>
      </c>
    </row>
    <row r="15" customFormat="false" ht="15" hidden="false" customHeight="false" outlineLevel="0" collapsed="false">
      <c r="A15" s="5" t="s">
        <v>20</v>
      </c>
      <c r="B15" s="6" t="s">
        <v>21</v>
      </c>
    </row>
    <row r="16" customFormat="false" ht="15" hidden="false" customHeight="false" outlineLevel="0" collapsed="false">
      <c r="A16" s="5" t="s">
        <v>22</v>
      </c>
      <c r="B16" s="6" t="s">
        <v>23</v>
      </c>
    </row>
    <row r="17" customFormat="false" ht="15" hidden="false" customHeight="false" outlineLevel="0" collapsed="false">
      <c r="A17" s="5" t="s">
        <v>24</v>
      </c>
      <c r="B17" s="6" t="s">
        <v>25</v>
      </c>
    </row>
    <row r="18" customFormat="false" ht="15" hidden="false" customHeight="false" outlineLevel="0" collapsed="false">
      <c r="A18" s="2"/>
      <c r="B18" s="2"/>
    </row>
    <row r="19" customFormat="false" ht="15" hidden="false" customHeight="false" outlineLevel="0" collapsed="false">
      <c r="A19" s="4" t="s">
        <v>26</v>
      </c>
      <c r="B19" s="2"/>
    </row>
    <row r="20" customFormat="false" ht="15" hidden="false" customHeight="false" outlineLevel="0" collapsed="false">
      <c r="A20" s="7" t="s">
        <v>27</v>
      </c>
      <c r="B20" s="6" t="s">
        <v>28</v>
      </c>
    </row>
    <row r="21" customFormat="false" ht="15" hidden="false" customHeight="false" outlineLevel="0" collapsed="false">
      <c r="A21" s="8" t="s">
        <v>29</v>
      </c>
      <c r="B21" s="6" t="s">
        <v>30</v>
      </c>
    </row>
    <row r="22" customFormat="false" ht="15" hidden="false" customHeight="false" outlineLevel="0" collapsed="false">
      <c r="A22" s="9" t="s">
        <v>31</v>
      </c>
      <c r="B22" s="6" t="s">
        <v>32</v>
      </c>
    </row>
    <row r="23" customFormat="false" ht="15" hidden="false" customHeight="false" outlineLevel="0" collapsed="false">
      <c r="A23" s="2"/>
      <c r="B23" s="2"/>
    </row>
    <row r="24" customFormat="false" ht="15" hidden="false" customHeight="false" outlineLevel="0" collapsed="false">
      <c r="A24" s="4" t="s">
        <v>33</v>
      </c>
      <c r="B24" s="2"/>
    </row>
    <row r="25" customFormat="false" ht="15" hidden="false" customHeight="false" outlineLevel="0" collapsed="false">
      <c r="A25" s="5" t="s">
        <v>34</v>
      </c>
      <c r="B25" s="6" t="s">
        <v>35</v>
      </c>
    </row>
    <row r="26" customFormat="false" ht="15" hidden="false" customHeight="false" outlineLevel="0" collapsed="false">
      <c r="A26" s="5" t="s">
        <v>36</v>
      </c>
      <c r="B26" s="6" t="s">
        <v>37</v>
      </c>
    </row>
    <row r="27" customFormat="false" ht="15" hidden="false" customHeight="false" outlineLevel="0" collapsed="false">
      <c r="A27" s="5" t="s">
        <v>38</v>
      </c>
      <c r="B27" s="6" t="s">
        <v>39</v>
      </c>
    </row>
    <row r="28" customFormat="false" ht="15" hidden="false" customHeight="false" outlineLevel="0" collapsed="false">
      <c r="A28" s="5" t="s">
        <v>40</v>
      </c>
      <c r="B28" s="6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O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4" min="3" style="0" width="13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12" min="7" style="0" width="11"/>
    <col collapsed="false" customWidth="true" hidden="false" outlineLevel="0" max="13" min="13" style="0" width="22"/>
    <col collapsed="false" customWidth="true" hidden="false" outlineLevel="0" max="14" min="14" style="0" width="52"/>
    <col collapsed="false" customWidth="true" hidden="false" outlineLevel="0" max="15" min="15" style="0" width="16"/>
  </cols>
  <sheetData>
    <row r="1" customFormat="false" ht="17.35" hidden="false" customHeight="false" outlineLevel="0" collapsed="false">
      <c r="A1" s="1" t="s">
        <v>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3" t="s">
        <v>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false" outlineLevel="0" collapsed="false">
      <c r="A3" s="3" t="s">
        <v>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customFormat="false" ht="33.75" hidden="false" customHeight="true" outlineLevel="0" collapsed="false">
      <c r="A5" s="10" t="s">
        <v>45</v>
      </c>
      <c r="B5" s="10" t="s">
        <v>46</v>
      </c>
      <c r="C5" s="10" t="s">
        <v>47</v>
      </c>
      <c r="D5" s="10" t="s">
        <v>48</v>
      </c>
      <c r="E5" s="10" t="s">
        <v>49</v>
      </c>
      <c r="F5" s="10" t="s">
        <v>50</v>
      </c>
      <c r="G5" s="10" t="s">
        <v>51</v>
      </c>
      <c r="H5" s="10" t="s">
        <v>52</v>
      </c>
      <c r="I5" s="10" t="s">
        <v>53</v>
      </c>
      <c r="J5" s="10" t="s">
        <v>54</v>
      </c>
      <c r="K5" s="10" t="s">
        <v>55</v>
      </c>
      <c r="L5" s="10" t="s">
        <v>56</v>
      </c>
      <c r="M5" s="10" t="s">
        <v>57</v>
      </c>
      <c r="N5" s="10" t="s">
        <v>58</v>
      </c>
      <c r="O5" s="10" t="s">
        <v>59</v>
      </c>
    </row>
    <row r="6" customFormat="false" ht="15" hidden="false" customHeight="false" outlineLevel="0" collapsed="false">
      <c r="A6" s="11" t="s">
        <v>60</v>
      </c>
      <c r="B6" s="11" t="s">
        <v>61</v>
      </c>
      <c r="C6" s="12" t="n">
        <v>46204</v>
      </c>
      <c r="D6" s="12" t="n">
        <v>46356</v>
      </c>
      <c r="E6" s="13" t="n">
        <v>900</v>
      </c>
      <c r="F6" s="14" t="n">
        <v>2</v>
      </c>
      <c r="G6" s="15" t="n">
        <v>0.1</v>
      </c>
      <c r="H6" s="15" t="n">
        <v>0.15</v>
      </c>
      <c r="I6" s="15" t="n">
        <v>0.2</v>
      </c>
      <c r="J6" s="15" t="n">
        <v>0.25</v>
      </c>
      <c r="K6" s="15" t="n">
        <v>0.3</v>
      </c>
      <c r="L6" s="15" t="n">
        <v>0.33</v>
      </c>
      <c r="M6" s="11" t="s">
        <v>62</v>
      </c>
      <c r="N6" s="11"/>
      <c r="O6" s="13" t="n">
        <v>474</v>
      </c>
    </row>
    <row r="7" customFormat="false" ht="15" hidden="false" customHeight="false" outlineLevel="0" collapsed="false">
      <c r="A7" s="11" t="s">
        <v>63</v>
      </c>
      <c r="B7" s="11" t="s">
        <v>64</v>
      </c>
      <c r="C7" s="12" t="n">
        <v>46357</v>
      </c>
      <c r="D7" s="12" t="n">
        <v>46376</v>
      </c>
      <c r="E7" s="13" t="n">
        <v>1250</v>
      </c>
      <c r="F7" s="14" t="n">
        <v>2</v>
      </c>
      <c r="G7" s="15" t="n">
        <v>0.1</v>
      </c>
      <c r="H7" s="15" t="n">
        <v>0.15</v>
      </c>
      <c r="I7" s="15" t="n">
        <v>0.2</v>
      </c>
      <c r="J7" s="15" t="n">
        <v>0.25</v>
      </c>
      <c r="K7" s="15" t="n">
        <v>0.3</v>
      </c>
      <c r="L7" s="15" t="n">
        <v>0.33</v>
      </c>
      <c r="M7" s="11" t="s">
        <v>62</v>
      </c>
      <c r="N7" s="11"/>
      <c r="O7" s="13"/>
    </row>
    <row r="8" customFormat="false" ht="15" hidden="false" customHeight="false" outlineLevel="0" collapsed="false">
      <c r="A8" s="11" t="s">
        <v>65</v>
      </c>
      <c r="B8" s="11" t="s">
        <v>64</v>
      </c>
      <c r="C8" s="12" t="n">
        <v>46377</v>
      </c>
      <c r="D8" s="12" t="n">
        <v>46383</v>
      </c>
      <c r="E8" s="13" t="n">
        <v>1500</v>
      </c>
      <c r="F8" s="14" t="n">
        <v>3</v>
      </c>
      <c r="G8" s="15"/>
      <c r="H8" s="15" t="n">
        <v>0</v>
      </c>
      <c r="I8" s="15"/>
      <c r="J8" s="15"/>
      <c r="K8" s="15"/>
      <c r="L8" s="15"/>
      <c r="M8" s="11" t="s">
        <v>66</v>
      </c>
      <c r="N8" s="11" t="s">
        <v>67</v>
      </c>
      <c r="O8" s="13"/>
    </row>
    <row r="9" customFormat="false" ht="15" hidden="false" customHeight="false" outlineLevel="0" collapsed="false">
      <c r="A9" s="11" t="s">
        <v>68</v>
      </c>
      <c r="B9" s="11" t="s">
        <v>64</v>
      </c>
      <c r="C9" s="12" t="n">
        <v>46384</v>
      </c>
      <c r="D9" s="12" t="n">
        <v>46391</v>
      </c>
      <c r="E9" s="13" t="n">
        <v>1800</v>
      </c>
      <c r="F9" s="14" t="n">
        <v>4</v>
      </c>
      <c r="G9" s="15"/>
      <c r="H9" s="15"/>
      <c r="I9" s="15" t="n">
        <v>0</v>
      </c>
      <c r="J9" s="15"/>
      <c r="K9" s="15"/>
      <c r="L9" s="15"/>
      <c r="M9" s="11" t="s">
        <v>66</v>
      </c>
      <c r="N9" s="11" t="s">
        <v>67</v>
      </c>
      <c r="O9" s="13"/>
    </row>
    <row r="10" customFormat="false" ht="15" hidden="false" customHeight="false" outlineLevel="0" collapsed="false">
      <c r="A10" s="11" t="s">
        <v>69</v>
      </c>
      <c r="B10" s="11" t="s">
        <v>64</v>
      </c>
      <c r="C10" s="12" t="n">
        <v>46392</v>
      </c>
      <c r="D10" s="12" t="n">
        <v>46432</v>
      </c>
      <c r="E10" s="13" t="n">
        <v>1350</v>
      </c>
      <c r="F10" s="14" t="n">
        <v>2</v>
      </c>
      <c r="G10" s="15" t="n">
        <v>0.1</v>
      </c>
      <c r="H10" s="15" t="n">
        <v>0.15</v>
      </c>
      <c r="I10" s="15" t="n">
        <v>0.2</v>
      </c>
      <c r="J10" s="15" t="n">
        <v>0.25</v>
      </c>
      <c r="K10" s="15" t="n">
        <v>0.3</v>
      </c>
      <c r="L10" s="15" t="n">
        <v>0.33</v>
      </c>
      <c r="M10" s="11" t="s">
        <v>62</v>
      </c>
      <c r="N10" s="11"/>
      <c r="O10" s="13"/>
    </row>
    <row r="11" customFormat="false" ht="15" hidden="false" customHeight="false" outlineLevel="0" collapsed="false">
      <c r="A11" s="11" t="s">
        <v>70</v>
      </c>
      <c r="B11" s="11" t="s">
        <v>64</v>
      </c>
      <c r="C11" s="12" t="n">
        <v>46433</v>
      </c>
      <c r="D11" s="12" t="n">
        <v>46453</v>
      </c>
      <c r="E11" s="13" t="n">
        <v>1450</v>
      </c>
      <c r="F11" s="14" t="n">
        <v>2</v>
      </c>
      <c r="G11" s="15" t="n">
        <v>0.1</v>
      </c>
      <c r="H11" s="15" t="n">
        <v>0.15</v>
      </c>
      <c r="I11" s="15" t="n">
        <v>0.2</v>
      </c>
      <c r="J11" s="15" t="n">
        <v>0.25</v>
      </c>
      <c r="K11" s="15" t="n">
        <v>0.3</v>
      </c>
      <c r="L11" s="15" t="n">
        <v>0.33</v>
      </c>
      <c r="M11" s="11" t="s">
        <v>62</v>
      </c>
      <c r="N11" s="11" t="s">
        <v>71</v>
      </c>
      <c r="O11" s="13"/>
    </row>
    <row r="12" customFormat="false" ht="15" hidden="false" customHeight="false" outlineLevel="0" collapsed="false">
      <c r="A12" s="11"/>
      <c r="B12" s="11"/>
      <c r="C12" s="12"/>
      <c r="D12" s="12"/>
      <c r="E12" s="13"/>
      <c r="F12" s="14"/>
      <c r="G12" s="15"/>
      <c r="H12" s="15"/>
      <c r="I12" s="15"/>
      <c r="J12" s="15"/>
      <c r="K12" s="15"/>
      <c r="L12" s="15"/>
      <c r="M12" s="11"/>
      <c r="N12" s="11"/>
      <c r="O12" s="13"/>
    </row>
    <row r="13" customFormat="false" ht="15" hidden="false" customHeight="false" outlineLevel="0" collapsed="false">
      <c r="A13" s="11"/>
      <c r="B13" s="11"/>
      <c r="C13" s="12"/>
      <c r="D13" s="12"/>
      <c r="E13" s="13"/>
      <c r="F13" s="14"/>
      <c r="G13" s="15"/>
      <c r="H13" s="15"/>
      <c r="I13" s="15"/>
      <c r="J13" s="15"/>
      <c r="K13" s="15"/>
      <c r="L13" s="15"/>
      <c r="M13" s="11"/>
      <c r="N13" s="11"/>
      <c r="O13" s="13"/>
    </row>
    <row r="14" customFormat="false" ht="15" hidden="false" customHeight="false" outlineLevel="0" collapsed="false">
      <c r="A14" s="11"/>
      <c r="B14" s="11"/>
      <c r="C14" s="12"/>
      <c r="D14" s="12"/>
      <c r="E14" s="13"/>
      <c r="F14" s="14"/>
      <c r="G14" s="15"/>
      <c r="H14" s="15"/>
      <c r="I14" s="15"/>
      <c r="J14" s="15"/>
      <c r="K14" s="15"/>
      <c r="L14" s="15"/>
      <c r="M14" s="11"/>
      <c r="N14" s="11"/>
      <c r="O14" s="13"/>
    </row>
    <row r="15" customFormat="false" ht="15" hidden="false" customHeight="false" outlineLevel="0" collapsed="false">
      <c r="A15" s="11"/>
      <c r="B15" s="11"/>
      <c r="C15" s="12"/>
      <c r="D15" s="12"/>
      <c r="E15" s="13"/>
      <c r="F15" s="14"/>
      <c r="G15" s="15"/>
      <c r="H15" s="15"/>
      <c r="I15" s="15"/>
      <c r="J15" s="15"/>
      <c r="K15" s="15"/>
      <c r="L15" s="15"/>
      <c r="M15" s="11"/>
      <c r="N15" s="11"/>
      <c r="O15" s="13"/>
    </row>
    <row r="16" customFormat="false" ht="15" hidden="false" customHeight="false" outlineLevel="0" collapsed="false">
      <c r="A16" s="11"/>
      <c r="B16" s="11"/>
      <c r="C16" s="12"/>
      <c r="D16" s="12"/>
      <c r="E16" s="13"/>
      <c r="F16" s="14"/>
      <c r="G16" s="15"/>
      <c r="H16" s="15"/>
      <c r="I16" s="15"/>
      <c r="J16" s="15"/>
      <c r="K16" s="15"/>
      <c r="L16" s="15"/>
      <c r="M16" s="11"/>
      <c r="N16" s="11"/>
      <c r="O16" s="13"/>
    </row>
    <row r="17" customFormat="false" ht="15" hidden="false" customHeight="false" outlineLevel="0" collapsed="false">
      <c r="A17" s="11"/>
      <c r="B17" s="11"/>
      <c r="C17" s="12"/>
      <c r="D17" s="12"/>
      <c r="E17" s="13"/>
      <c r="F17" s="14"/>
      <c r="G17" s="15"/>
      <c r="H17" s="15"/>
      <c r="I17" s="15"/>
      <c r="J17" s="15"/>
      <c r="K17" s="15"/>
      <c r="L17" s="15"/>
      <c r="M17" s="11"/>
      <c r="N17" s="11"/>
      <c r="O17" s="13"/>
    </row>
    <row r="18" customFormat="false" ht="15" hidden="false" customHeight="false" outlineLevel="0" collapsed="false">
      <c r="A18" s="11"/>
      <c r="B18" s="11"/>
      <c r="C18" s="12"/>
      <c r="D18" s="12"/>
      <c r="E18" s="13"/>
      <c r="F18" s="14"/>
      <c r="G18" s="15"/>
      <c r="H18" s="15"/>
      <c r="I18" s="15"/>
      <c r="J18" s="15"/>
      <c r="K18" s="15"/>
      <c r="L18" s="15"/>
      <c r="M18" s="11"/>
      <c r="N18" s="11"/>
      <c r="O18" s="13"/>
    </row>
    <row r="19" customFormat="false" ht="15" hidden="false" customHeight="false" outlineLevel="0" collapsed="false">
      <c r="A19" s="11"/>
      <c r="B19" s="11"/>
      <c r="C19" s="12"/>
      <c r="D19" s="12"/>
      <c r="E19" s="13"/>
      <c r="F19" s="14"/>
      <c r="G19" s="15"/>
      <c r="H19" s="15"/>
      <c r="I19" s="15"/>
      <c r="J19" s="15"/>
      <c r="K19" s="15"/>
      <c r="L19" s="15"/>
      <c r="M19" s="11"/>
      <c r="N19" s="11"/>
      <c r="O19" s="13"/>
    </row>
    <row r="20" customFormat="false" ht="15" hidden="false" customHeight="false" outlineLevel="0" collapsed="false">
      <c r="A20" s="11"/>
      <c r="B20" s="11"/>
      <c r="C20" s="12"/>
      <c r="D20" s="12"/>
      <c r="E20" s="13"/>
      <c r="F20" s="14"/>
      <c r="G20" s="15"/>
      <c r="H20" s="15"/>
      <c r="I20" s="15"/>
      <c r="J20" s="15"/>
      <c r="K20" s="15"/>
      <c r="L20" s="15"/>
      <c r="M20" s="11"/>
      <c r="N20" s="11"/>
      <c r="O20" s="13"/>
    </row>
    <row r="21" customFormat="false" ht="15" hidden="false" customHeight="false" outlineLevel="0" collapsed="false">
      <c r="A21" s="11"/>
      <c r="B21" s="11"/>
      <c r="C21" s="12"/>
      <c r="D21" s="12"/>
      <c r="E21" s="13"/>
      <c r="F21" s="14"/>
      <c r="G21" s="15"/>
      <c r="H21" s="15"/>
      <c r="I21" s="15"/>
      <c r="J21" s="15"/>
      <c r="K21" s="15"/>
      <c r="L21" s="15"/>
      <c r="M21" s="11"/>
      <c r="N21" s="11"/>
      <c r="O21" s="13"/>
    </row>
    <row r="22" customFormat="false" ht="15" hidden="false" customHeight="false" outlineLevel="0" collapsed="false">
      <c r="A22" s="11"/>
      <c r="B22" s="11"/>
      <c r="C22" s="12"/>
      <c r="D22" s="12"/>
      <c r="E22" s="13"/>
      <c r="F22" s="14"/>
      <c r="G22" s="15"/>
      <c r="H22" s="15"/>
      <c r="I22" s="15"/>
      <c r="J22" s="15"/>
      <c r="K22" s="15"/>
      <c r="L22" s="15"/>
      <c r="M22" s="11"/>
      <c r="N22" s="11"/>
      <c r="O22" s="13"/>
    </row>
    <row r="23" customFormat="false" ht="15" hidden="false" customHeight="false" outlineLevel="0" collapsed="false">
      <c r="A23" s="11"/>
      <c r="B23" s="11"/>
      <c r="C23" s="12"/>
      <c r="D23" s="12"/>
      <c r="E23" s="13"/>
      <c r="F23" s="14"/>
      <c r="G23" s="15"/>
      <c r="H23" s="15"/>
      <c r="I23" s="15"/>
      <c r="J23" s="15"/>
      <c r="K23" s="15"/>
      <c r="L23" s="15"/>
      <c r="M23" s="11"/>
      <c r="N23" s="11"/>
      <c r="O23" s="13"/>
    </row>
    <row r="24" customFormat="false" ht="15" hidden="false" customHeight="false" outlineLevel="0" collapsed="false">
      <c r="A24" s="11"/>
      <c r="B24" s="11"/>
      <c r="C24" s="12"/>
      <c r="D24" s="12"/>
      <c r="E24" s="13"/>
      <c r="F24" s="14"/>
      <c r="G24" s="15"/>
      <c r="H24" s="15"/>
      <c r="I24" s="15"/>
      <c r="J24" s="15"/>
      <c r="K24" s="15"/>
      <c r="L24" s="15"/>
      <c r="M24" s="11"/>
      <c r="N24" s="11"/>
      <c r="O24" s="13"/>
    </row>
    <row r="25" customFormat="false" ht="15" hidden="false" customHeight="false" outlineLevel="0" collapsed="false">
      <c r="A25" s="11"/>
      <c r="B25" s="11"/>
      <c r="C25" s="12"/>
      <c r="D25" s="12"/>
      <c r="E25" s="13"/>
      <c r="F25" s="14"/>
      <c r="G25" s="15"/>
      <c r="H25" s="15"/>
      <c r="I25" s="15"/>
      <c r="J25" s="15"/>
      <c r="K25" s="15"/>
      <c r="L25" s="15"/>
      <c r="M25" s="11"/>
      <c r="N25" s="11"/>
      <c r="O25" s="13"/>
    </row>
    <row r="26" customFormat="false" ht="15" hidden="false" customHeight="false" outlineLevel="0" collapsed="false">
      <c r="A26" s="11"/>
      <c r="B26" s="11"/>
      <c r="C26" s="12"/>
      <c r="D26" s="12"/>
      <c r="E26" s="13"/>
      <c r="F26" s="14"/>
      <c r="G26" s="15"/>
      <c r="H26" s="15"/>
      <c r="I26" s="15"/>
      <c r="J26" s="15"/>
      <c r="K26" s="15"/>
      <c r="L26" s="15"/>
      <c r="M26" s="11"/>
      <c r="N26" s="11"/>
      <c r="O26" s="13"/>
    </row>
    <row r="27" customFormat="false" ht="15" hidden="false" customHeight="false" outlineLevel="0" collapsed="false">
      <c r="A27" s="11"/>
      <c r="B27" s="11"/>
      <c r="C27" s="12"/>
      <c r="D27" s="12"/>
      <c r="E27" s="13"/>
      <c r="F27" s="14"/>
      <c r="G27" s="15"/>
      <c r="H27" s="15"/>
      <c r="I27" s="15"/>
      <c r="J27" s="15"/>
      <c r="K27" s="15"/>
      <c r="L27" s="15"/>
      <c r="M27" s="11"/>
      <c r="N27" s="11"/>
      <c r="O27" s="13"/>
    </row>
    <row r="28" customFormat="false" ht="15" hidden="false" customHeight="false" outlineLevel="0" collapsed="false">
      <c r="A28" s="11"/>
      <c r="B28" s="11"/>
      <c r="C28" s="12"/>
      <c r="D28" s="12"/>
      <c r="E28" s="13"/>
      <c r="F28" s="14"/>
      <c r="G28" s="15"/>
      <c r="H28" s="15"/>
      <c r="I28" s="15"/>
      <c r="J28" s="15"/>
      <c r="K28" s="15"/>
      <c r="L28" s="15"/>
      <c r="M28" s="11"/>
      <c r="N28" s="11"/>
      <c r="O28" s="13"/>
    </row>
    <row r="29" customFormat="false" ht="15" hidden="false" customHeight="false" outlineLevel="0" collapsed="false">
      <c r="A29" s="11"/>
      <c r="B29" s="11"/>
      <c r="C29" s="12"/>
      <c r="D29" s="12"/>
      <c r="E29" s="13"/>
      <c r="F29" s="14"/>
      <c r="G29" s="15"/>
      <c r="H29" s="15"/>
      <c r="I29" s="15"/>
      <c r="J29" s="15"/>
      <c r="K29" s="15"/>
      <c r="L29" s="15"/>
      <c r="M29" s="11"/>
      <c r="N29" s="11"/>
      <c r="O29" s="13"/>
    </row>
    <row r="30" customFormat="false" ht="15" hidden="false" customHeight="false" outlineLevel="0" collapsed="false">
      <c r="A30" s="11"/>
      <c r="B30" s="11"/>
      <c r="C30" s="12"/>
      <c r="D30" s="12"/>
      <c r="E30" s="13"/>
      <c r="F30" s="14"/>
      <c r="G30" s="15"/>
      <c r="H30" s="15"/>
      <c r="I30" s="15"/>
      <c r="J30" s="15"/>
      <c r="K30" s="15"/>
      <c r="L30" s="15"/>
      <c r="M30" s="11"/>
      <c r="N30" s="11"/>
      <c r="O30" s="13"/>
    </row>
    <row r="31" customFormat="false" ht="15" hidden="false" customHeight="false" outlineLevel="0" collapsed="false">
      <c r="A31" s="11"/>
      <c r="B31" s="11"/>
      <c r="C31" s="12"/>
      <c r="D31" s="12"/>
      <c r="E31" s="13"/>
      <c r="F31" s="14"/>
      <c r="G31" s="15"/>
      <c r="H31" s="15"/>
      <c r="I31" s="15"/>
      <c r="J31" s="15"/>
      <c r="K31" s="15"/>
      <c r="L31" s="15"/>
      <c r="M31" s="11"/>
      <c r="N31" s="11"/>
      <c r="O31" s="13"/>
    </row>
    <row r="32" customFormat="false" ht="15" hidden="false" customHeight="false" outlineLevel="0" collapsed="false">
      <c r="A32" s="11"/>
      <c r="B32" s="11"/>
      <c r="C32" s="12"/>
      <c r="D32" s="12"/>
      <c r="E32" s="13"/>
      <c r="F32" s="14"/>
      <c r="G32" s="15"/>
      <c r="H32" s="15"/>
      <c r="I32" s="15"/>
      <c r="J32" s="15"/>
      <c r="K32" s="15"/>
      <c r="L32" s="15"/>
      <c r="M32" s="11"/>
      <c r="N32" s="11"/>
      <c r="O32" s="13"/>
    </row>
    <row r="33" customFormat="false" ht="15" hidden="false" customHeight="false" outlineLevel="0" collapsed="false">
      <c r="A33" s="11"/>
      <c r="B33" s="11"/>
      <c r="C33" s="12"/>
      <c r="D33" s="12"/>
      <c r="E33" s="13"/>
      <c r="F33" s="14"/>
      <c r="G33" s="15"/>
      <c r="H33" s="15"/>
      <c r="I33" s="15"/>
      <c r="J33" s="15"/>
      <c r="K33" s="15"/>
      <c r="L33" s="15"/>
      <c r="M33" s="11"/>
      <c r="N33" s="11"/>
      <c r="O33" s="13"/>
    </row>
    <row r="34" customFormat="false" ht="15" hidden="false" customHeight="false" outlineLevel="0" collapsed="false">
      <c r="A34" s="11"/>
      <c r="B34" s="11"/>
      <c r="C34" s="12"/>
      <c r="D34" s="12"/>
      <c r="E34" s="13"/>
      <c r="F34" s="14"/>
      <c r="G34" s="15"/>
      <c r="H34" s="15"/>
      <c r="I34" s="15"/>
      <c r="J34" s="15"/>
      <c r="K34" s="15"/>
      <c r="L34" s="15"/>
      <c r="M34" s="11"/>
      <c r="N34" s="11"/>
      <c r="O34" s="13"/>
    </row>
    <row r="35" customFormat="false" ht="15" hidden="false" customHeight="false" outlineLevel="0" collapsed="false">
      <c r="A35" s="11"/>
      <c r="B35" s="11"/>
      <c r="C35" s="12"/>
      <c r="D35" s="12"/>
      <c r="E35" s="13"/>
      <c r="F35" s="14"/>
      <c r="G35" s="15"/>
      <c r="H35" s="15"/>
      <c r="I35" s="15"/>
      <c r="J35" s="15"/>
      <c r="K35" s="15"/>
      <c r="L35" s="15"/>
      <c r="M35" s="11"/>
      <c r="N35" s="11"/>
      <c r="O35" s="13"/>
    </row>
    <row r="36" customFormat="false" ht="15" hidden="false" customHeight="false" outlineLevel="0" collapsed="false">
      <c r="A36" s="11"/>
      <c r="B36" s="11"/>
      <c r="C36" s="12"/>
      <c r="D36" s="12"/>
      <c r="E36" s="13"/>
      <c r="F36" s="14"/>
      <c r="G36" s="15"/>
      <c r="H36" s="15"/>
      <c r="I36" s="15"/>
      <c r="J36" s="15"/>
      <c r="K36" s="15"/>
      <c r="L36" s="15"/>
      <c r="M36" s="11"/>
      <c r="N36" s="11"/>
      <c r="O36" s="13"/>
    </row>
    <row r="37" customFormat="false" ht="15" hidden="false" customHeight="false" outlineLevel="0" collapsed="false">
      <c r="A37" s="11"/>
      <c r="B37" s="11"/>
      <c r="C37" s="12"/>
      <c r="D37" s="12"/>
      <c r="E37" s="13"/>
      <c r="F37" s="14"/>
      <c r="G37" s="15"/>
      <c r="H37" s="15"/>
      <c r="I37" s="15"/>
      <c r="J37" s="15"/>
      <c r="K37" s="15"/>
      <c r="L37" s="15"/>
      <c r="M37" s="11"/>
      <c r="N37" s="11"/>
      <c r="O37" s="13"/>
    </row>
    <row r="38" customFormat="false" ht="15" hidden="false" customHeight="false" outlineLevel="0" collapsed="false">
      <c r="A38" s="11"/>
      <c r="B38" s="11"/>
      <c r="C38" s="12"/>
      <c r="D38" s="12"/>
      <c r="E38" s="13"/>
      <c r="F38" s="14"/>
      <c r="G38" s="15"/>
      <c r="H38" s="15"/>
      <c r="I38" s="15"/>
      <c r="J38" s="15"/>
      <c r="K38" s="15"/>
      <c r="L38" s="15"/>
      <c r="M38" s="11"/>
      <c r="N38" s="11"/>
      <c r="O38" s="13"/>
    </row>
    <row r="39" customFormat="false" ht="15" hidden="false" customHeight="false" outlineLevel="0" collapsed="false">
      <c r="A39" s="11"/>
      <c r="B39" s="11"/>
      <c r="C39" s="12"/>
      <c r="D39" s="12"/>
      <c r="E39" s="13"/>
      <c r="F39" s="14"/>
      <c r="G39" s="15"/>
      <c r="H39" s="15"/>
      <c r="I39" s="15"/>
      <c r="J39" s="15"/>
      <c r="K39" s="15"/>
      <c r="L39" s="15"/>
      <c r="M39" s="11"/>
      <c r="N39" s="11"/>
      <c r="O39" s="13"/>
    </row>
    <row r="40" customFormat="false" ht="15" hidden="false" customHeight="false" outlineLevel="0" collapsed="false">
      <c r="A40" s="11"/>
      <c r="B40" s="11"/>
      <c r="C40" s="12"/>
      <c r="D40" s="12"/>
      <c r="E40" s="13"/>
      <c r="F40" s="14"/>
      <c r="G40" s="15"/>
      <c r="H40" s="15"/>
      <c r="I40" s="15"/>
      <c r="J40" s="15"/>
      <c r="K40" s="15"/>
      <c r="L40" s="15"/>
      <c r="M40" s="11"/>
      <c r="N40" s="11"/>
      <c r="O40" s="13"/>
    </row>
  </sheetData>
  <dataValidations count="2">
    <dataValidation allowBlank="true" errorStyle="stop" operator="between" showDropDown="false" showErrorMessage="false" showInputMessage="false" sqref="M6:M40" type="list">
      <formula1>"Flexibil 14 zile,Nerambursabil,Flexibil 7 zile,Moderat"</formula1>
      <formula2>0</formula2>
    </dataValidation>
    <dataValidation allowBlank="true" errorStyle="stop" operator="between" showDropDown="false" showErrorMessage="false" showInputMessage="false" sqref="G6:L40" type="decimal">
      <formula1>0</formula1>
      <formula2>0.9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4"/>
    <col collapsed="false" customWidth="true" hidden="false" outlineLevel="0" max="6" min="6" style="0" width="95"/>
  </cols>
  <sheetData>
    <row r="1" customFormat="false" ht="17.35" hidden="false" customHeight="false" outlineLevel="0" collapsed="false">
      <c r="A1" s="1" t="s">
        <v>72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73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4" t="s">
        <v>74</v>
      </c>
      <c r="B4" s="2"/>
      <c r="C4" s="2"/>
      <c r="D4" s="2"/>
      <c r="E4" s="2"/>
      <c r="F4" s="2"/>
    </row>
    <row r="5" customFormat="false" ht="15" hidden="false" customHeight="false" outlineLevel="0" collapsed="false">
      <c r="A5" s="2" t="s">
        <v>75</v>
      </c>
      <c r="B5" s="16" t="n">
        <v>7</v>
      </c>
      <c r="C5" s="2"/>
      <c r="D5" s="2"/>
      <c r="E5" s="2"/>
      <c r="F5" s="2"/>
    </row>
    <row r="6" customFormat="false" ht="15" hidden="false" customHeight="false" outlineLevel="0" collapsed="false">
      <c r="A6" s="2" t="s">
        <v>76</v>
      </c>
      <c r="B6" s="16" t="n">
        <v>5</v>
      </c>
      <c r="C6" s="2"/>
      <c r="D6" s="2"/>
      <c r="E6" s="2"/>
      <c r="F6" s="2"/>
    </row>
    <row r="7" customFormat="false" ht="15" hidden="false" customHeight="false" outlineLevel="0" collapsed="false">
      <c r="A7" s="2" t="s">
        <v>77</v>
      </c>
      <c r="B7" s="17" t="n">
        <v>4</v>
      </c>
      <c r="C7" s="2"/>
      <c r="D7" s="2"/>
      <c r="E7" s="2"/>
      <c r="F7" s="2"/>
    </row>
    <row r="8" customFormat="false" ht="15" hidden="false" customHeight="false" outlineLevel="0" collapsed="false">
      <c r="A8" s="2" t="s">
        <v>78</v>
      </c>
      <c r="B8" s="18" t="n">
        <f aca="false">(B5+B6)*B7</f>
        <v>48</v>
      </c>
      <c r="C8" s="2"/>
      <c r="D8" s="2"/>
      <c r="E8" s="2"/>
      <c r="F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</row>
    <row r="10" customFormat="false" ht="31.5" hidden="false" customHeight="true" outlineLevel="0" collapsed="false">
      <c r="A10" s="10" t="s">
        <v>79</v>
      </c>
      <c r="B10" s="10" t="s">
        <v>80</v>
      </c>
      <c r="C10" s="10" t="s">
        <v>81</v>
      </c>
      <c r="D10" s="10" t="s">
        <v>82</v>
      </c>
      <c r="E10" s="10" t="s">
        <v>83</v>
      </c>
      <c r="F10" s="10" t="s">
        <v>84</v>
      </c>
    </row>
    <row r="11" customFormat="false" ht="39.75" hidden="false" customHeight="true" outlineLevel="0" collapsed="false">
      <c r="A11" s="19" t="s">
        <v>85</v>
      </c>
      <c r="B11" s="20" t="n">
        <v>0</v>
      </c>
      <c r="C11" s="20" t="n">
        <v>0.15</v>
      </c>
      <c r="D11" s="20" t="n">
        <v>0.155</v>
      </c>
      <c r="E11" s="20" t="n">
        <v>0.12</v>
      </c>
      <c r="F11" s="21" t="s">
        <v>86</v>
      </c>
    </row>
    <row r="12" customFormat="false" ht="39.75" hidden="false" customHeight="true" outlineLevel="0" collapsed="false">
      <c r="A12" s="19" t="s">
        <v>87</v>
      </c>
      <c r="B12" s="20" t="n">
        <v>0</v>
      </c>
      <c r="C12" s="20" t="n">
        <v>0.014</v>
      </c>
      <c r="D12" s="20" t="n">
        <v>0</v>
      </c>
      <c r="E12" s="20" t="n">
        <v>0</v>
      </c>
      <c r="F12" s="21" t="s">
        <v>88</v>
      </c>
    </row>
    <row r="13" customFormat="false" ht="39.75" hidden="false" customHeight="true" outlineLevel="0" collapsed="false">
      <c r="A13" s="19" t="s">
        <v>89</v>
      </c>
      <c r="B13" s="14" t="n">
        <v>1</v>
      </c>
      <c r="C13" s="14" t="n">
        <v>1</v>
      </c>
      <c r="D13" s="14" t="n">
        <v>0</v>
      </c>
      <c r="E13" s="14" t="n">
        <v>0</v>
      </c>
      <c r="F13" s="21" t="s">
        <v>90</v>
      </c>
    </row>
    <row r="14" customFormat="false" ht="39.75" hidden="false" customHeight="true" outlineLevel="0" collapsed="false">
      <c r="A14" s="19" t="s">
        <v>91</v>
      </c>
      <c r="B14" s="20" t="n">
        <v>0</v>
      </c>
      <c r="C14" s="20" t="n">
        <v>0.1</v>
      </c>
      <c r="D14" s="20" t="n">
        <v>0</v>
      </c>
      <c r="E14" s="20" t="n">
        <v>0</v>
      </c>
      <c r="F14" s="21" t="s">
        <v>92</v>
      </c>
    </row>
    <row r="15" customFormat="false" ht="39.75" hidden="false" customHeight="true" outlineLevel="0" collapsed="false">
      <c r="A15" s="19" t="s">
        <v>93</v>
      </c>
      <c r="B15" s="14" t="n">
        <v>0</v>
      </c>
      <c r="C15" s="14" t="n">
        <v>1</v>
      </c>
      <c r="D15" s="14" t="n">
        <v>1</v>
      </c>
      <c r="E15" s="14" t="n">
        <v>1</v>
      </c>
      <c r="F15" s="21" t="s">
        <v>94</v>
      </c>
    </row>
    <row r="16" customFormat="false" ht="39.75" hidden="false" customHeight="true" outlineLevel="0" collapsed="false">
      <c r="A16" s="19" t="s">
        <v>95</v>
      </c>
      <c r="B16" s="13" t="n">
        <v>10</v>
      </c>
      <c r="C16" s="13" t="n">
        <v>10</v>
      </c>
      <c r="D16" s="13" t="n">
        <v>10</v>
      </c>
      <c r="E16" s="13" t="n">
        <v>10</v>
      </c>
      <c r="F16" s="21" t="s">
        <v>96</v>
      </c>
    </row>
    <row r="17" customFormat="false" ht="39.75" hidden="false" customHeight="true" outlineLevel="0" collapsed="false">
      <c r="A17" s="19" t="s">
        <v>97</v>
      </c>
      <c r="B17" s="14" t="n">
        <v>1</v>
      </c>
      <c r="C17" s="14" t="n">
        <v>1</v>
      </c>
      <c r="D17" s="14" t="n">
        <v>0</v>
      </c>
      <c r="E17" s="14" t="n">
        <v>0</v>
      </c>
      <c r="F17" s="21" t="s">
        <v>98</v>
      </c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</row>
    <row r="19" customFormat="false" ht="15" hidden="false" customHeight="false" outlineLevel="0" collapsed="false">
      <c r="A19" s="4" t="s">
        <v>99</v>
      </c>
      <c r="B19" s="2"/>
      <c r="C19" s="2"/>
      <c r="D19" s="2"/>
      <c r="E19" s="2"/>
      <c r="F19" s="2"/>
    </row>
    <row r="20" customFormat="false" ht="15" hidden="false" customHeight="false" outlineLevel="0" collapsed="false">
      <c r="A20" s="2" t="s">
        <v>100</v>
      </c>
      <c r="B20" s="22" t="n">
        <v>0.33</v>
      </c>
      <c r="C20" s="3" t="s">
        <v>101</v>
      </c>
      <c r="D20" s="2"/>
      <c r="E20" s="2"/>
      <c r="F20" s="2"/>
    </row>
    <row r="21" customFormat="false" ht="15" hidden="false" customHeight="false" outlineLevel="0" collapsed="false">
      <c r="A21" s="2" t="s">
        <v>102</v>
      </c>
      <c r="B21" s="22" t="n">
        <v>0.33</v>
      </c>
      <c r="C21" s="2"/>
      <c r="D21" s="2"/>
      <c r="E21" s="2"/>
      <c r="F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</row>
    <row r="23" customFormat="false" ht="15" hidden="false" customHeight="false" outlineLevel="0" collapsed="false">
      <c r="A23" s="19" t="s">
        <v>103</v>
      </c>
      <c r="B23" s="23" t="n">
        <f aca="false">1-(1-B11)*(1-B12)</f>
        <v>0</v>
      </c>
      <c r="C23" s="23" t="n">
        <f aca="false">1-(1-C11)*(1-C12)</f>
        <v>0.1619</v>
      </c>
      <c r="D23" s="23" t="n">
        <f aca="false">1-(1-D11)*(1-D12)</f>
        <v>0.155</v>
      </c>
      <c r="E23" s="23" t="n">
        <f aca="false">1-(1-E11)*(1-E12)</f>
        <v>0.12</v>
      </c>
      <c r="F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</row>
    <row r="25" customFormat="false" ht="15" hidden="false" customHeight="false" outlineLevel="0" collapsed="false">
      <c r="A25" s="4" t="s">
        <v>104</v>
      </c>
      <c r="B25" s="2"/>
      <c r="C25" s="2"/>
      <c r="D25" s="2"/>
      <c r="E25" s="2"/>
      <c r="F25" s="2"/>
    </row>
    <row r="26" customFormat="false" ht="30" hidden="false" customHeight="true" outlineLevel="0" collapsed="false">
      <c r="A26" s="19" t="s">
        <v>105</v>
      </c>
      <c r="B26" s="15" t="n">
        <v>0.3</v>
      </c>
      <c r="C26" s="24" t="s">
        <v>106</v>
      </c>
      <c r="D26" s="24"/>
      <c r="E26" s="24"/>
      <c r="F26" s="24"/>
    </row>
    <row r="27" customFormat="false" ht="30" hidden="false" customHeight="true" outlineLevel="0" collapsed="false">
      <c r="A27" s="19" t="s">
        <v>107</v>
      </c>
      <c r="B27" s="15" t="n">
        <v>0.85</v>
      </c>
      <c r="C27" s="24" t="s">
        <v>108</v>
      </c>
      <c r="D27" s="24"/>
      <c r="E27" s="24"/>
      <c r="F27" s="24"/>
    </row>
    <row r="28" customFormat="false" ht="30" hidden="false" customHeight="true" outlineLevel="0" collapsed="false">
      <c r="A28" s="19" t="s">
        <v>109</v>
      </c>
      <c r="B28" s="15" t="n">
        <v>0.15</v>
      </c>
      <c r="C28" s="24" t="s">
        <v>110</v>
      </c>
      <c r="D28" s="24"/>
      <c r="E28" s="24"/>
      <c r="F28" s="24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</row>
    <row r="30" customFormat="false" ht="15" hidden="false" customHeight="false" outlineLevel="0" collapsed="false">
      <c r="A30" s="4" t="s">
        <v>111</v>
      </c>
      <c r="B30" s="2"/>
      <c r="C30" s="2"/>
      <c r="D30" s="2"/>
      <c r="E30" s="2"/>
      <c r="F30" s="2"/>
    </row>
    <row r="31" customFormat="false" ht="30" hidden="false" customHeight="true" outlineLevel="0" collapsed="false">
      <c r="A31" s="19" t="s">
        <v>112</v>
      </c>
      <c r="B31" s="15" t="n">
        <v>0.05</v>
      </c>
      <c r="C31" s="24" t="s">
        <v>113</v>
      </c>
      <c r="D31" s="24"/>
      <c r="E31" s="24"/>
      <c r="F31" s="24"/>
    </row>
  </sheetData>
  <mergeCells count="4">
    <mergeCell ref="C26:F26"/>
    <mergeCell ref="C27:F27"/>
    <mergeCell ref="C28:F28"/>
    <mergeCell ref="C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580"/>
    <pageSetUpPr fitToPage="false"/>
  </sheetPr>
  <dimension ref="A1:U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8" min="6" style="0" width="15"/>
    <col collapsed="false" customWidth="true" hidden="false" outlineLevel="0" max="10" min="9" style="0" width="17"/>
    <col collapsed="false" customWidth="true" hidden="false" outlineLevel="0" max="11" min="11" style="0" width="19"/>
    <col collapsed="false" customWidth="true" hidden="false" outlineLevel="0" max="14" min="12" style="0" width="12"/>
    <col collapsed="false" customWidth="true" hidden="false" outlineLevel="0" max="15" min="15" style="0" width="18"/>
    <col collapsed="false" customWidth="true" hidden="false" outlineLevel="0" max="16" min="16" style="0" width="12"/>
    <col collapsed="false" customWidth="true" hidden="false" outlineLevel="0" max="17" min="17" style="0" width="13"/>
    <col collapsed="false" customWidth="true" hidden="false" outlineLevel="0" max="19" min="18" style="0" width="14"/>
    <col collapsed="false" customWidth="true" hidden="false" outlineLevel="0" max="20" min="20" style="0" width="13"/>
    <col collapsed="false" customWidth="true" hidden="false" outlineLevel="0" max="21" min="21" style="0" width="16"/>
  </cols>
  <sheetData>
    <row r="1" customFormat="false" ht="17.35" hidden="false" customHeight="false" outlineLevel="0" collapsed="false">
      <c r="A1" s="1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5" hidden="false" customHeight="false" outlineLevel="0" collapsed="false">
      <c r="A2" s="3" t="s">
        <v>115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45.75" hidden="false" customHeight="true" outlineLevel="0" collapsed="false">
      <c r="A4" s="10" t="s">
        <v>45</v>
      </c>
      <c r="B4" s="10" t="s">
        <v>116</v>
      </c>
      <c r="C4" s="10" t="s">
        <v>117</v>
      </c>
      <c r="D4" s="10" t="s">
        <v>118</v>
      </c>
      <c r="E4" s="10" t="s">
        <v>119</v>
      </c>
      <c r="F4" s="10" t="s">
        <v>120</v>
      </c>
      <c r="G4" s="10" t="s">
        <v>121</v>
      </c>
      <c r="H4" s="10" t="s">
        <v>122</v>
      </c>
      <c r="I4" s="10" t="s">
        <v>123</v>
      </c>
      <c r="J4" s="10" t="s">
        <v>124</v>
      </c>
      <c r="K4" s="10" t="s">
        <v>125</v>
      </c>
      <c r="L4" s="10" t="s">
        <v>126</v>
      </c>
      <c r="M4" s="10" t="s">
        <v>127</v>
      </c>
      <c r="N4" s="10" t="s">
        <v>128</v>
      </c>
      <c r="O4" s="10" t="s">
        <v>129</v>
      </c>
      <c r="P4" s="10" t="s">
        <v>130</v>
      </c>
      <c r="Q4" s="10" t="s">
        <v>131</v>
      </c>
      <c r="R4" s="10" t="s">
        <v>132</v>
      </c>
      <c r="S4" s="10" t="s">
        <v>133</v>
      </c>
      <c r="T4" s="10" t="s">
        <v>134</v>
      </c>
      <c r="U4" s="10" t="s">
        <v>135</v>
      </c>
    </row>
    <row r="5" customFormat="false" ht="15" hidden="false" customHeight="false" outlineLevel="0" collapsed="false">
      <c r="A5" s="25" t="str">
        <f aca="false">IF(Sezoane!$A$6="","",Sezoane!A6)</f>
        <v>vara-toamna-2026</v>
      </c>
      <c r="B5" s="26" t="n">
        <f aca="false">IF(Sezoane!$A$6="","",Sezoane!C6)</f>
        <v>46204</v>
      </c>
      <c r="C5" s="26" t="n">
        <f aca="false">IF(Sezoane!$A$6="","",Sezoane!D6)</f>
        <v>46356</v>
      </c>
      <c r="D5" s="27" t="n">
        <f aca="false">IF(Sezoane!$A$6="","",Sezoane!F6)</f>
        <v>2</v>
      </c>
      <c r="E5" s="28" t="n">
        <f aca="false">IF(Sezoane!$A$6="","",Sezoane!E6)</f>
        <v>900</v>
      </c>
      <c r="F5" s="29" t="n">
        <f aca="false">IF(Sezoane!$A$6="","",CEILING(IF(Platforme!$C$13=1,(((Sezoane!E6-Platforme!$B$8)*(1-(Platforme!$B$11+Platforme!$B$12-Platforme!$B$11*Platforme!$B$12))*1/(1+Platforme!$B$31))/(1-(Platforme!$C$11+Platforme!$C$12-Platforme!$C$11*Platforme!$C$12))+Platforme!$B$8)/(1-(Platforme!$C$14*Platforme!$C$15)),(((Sezoane!E6-Platforme!$B$8)*(1-(Platforme!$B$11+Platforme!$B$12-Platforme!$B$11*Platforme!$B$12))*1/(1+Platforme!$B$31))+Platforme!$B$8)/((1-(Platforme!$C$11+Platforme!$C$12-Platforme!$C$11*Platforme!$C$12))*(1-(Platforme!$C$14*Platforme!$C$15)))),Platforme!$C$16))</f>
        <v>1130</v>
      </c>
      <c r="G5" s="29" t="n">
        <f aca="false">IF(Sezoane!$A$6="","",IF(N(Sezoane!O6)=0,CEILING(IF(Platforme!$D$13=1,(((Sezoane!E6-Platforme!$B$8)*(1-(Platforme!$B$11+Platforme!$B$12-Platforme!$B$11*Platforme!$B$12))*1/(1+Platforme!$B$31))/(1-(Platforme!$D$11+Platforme!$D$12-Platforme!$D$11*Platforme!$D$12))+Platforme!$B$8)/(1-(Platforme!$D$14*Platforme!$D$15)),(((Sezoane!E6-Platforme!$B$8)*(1-(Platforme!$B$11+Platforme!$B$12-Platforme!$B$11*Platforme!$B$12))*1/(1+Platforme!$B$31))+Platforme!$B$8)/((1-(Platforme!$D$11+Platforme!$D$12-Platforme!$D$11*Platforme!$D$12))*(1-(Platforme!$D$14*Platforme!$D$15)))),Platforme!$D$16),MAX(CEILING(IF(Platforme!$D$13=1,(((Sezoane!E6-Platforme!$B$8)*(1-(Platforme!$B$11+Platforme!$B$12-Platforme!$B$11*Platforme!$B$12))*Platforme!$B$27*(1+Platforme!$B$31)/(1+Platforme!$B$31))/(1-(Platforme!$D$11+Platforme!$D$12-Platforme!$D$11*Platforme!$D$12))+Platforme!$B$8)/(1-(Platforme!$D$14*Platforme!$D$15)),(((Sezoane!E6-Platforme!$B$8)*(1-(Platforme!$B$11+Platforme!$B$12-Platforme!$B$11*Platforme!$B$12))*Platforme!$B$27*(1+Platforme!$B$31)/(1+Platforme!$B$31))+Platforme!$B$8)/((1-(Platforme!$D$11+Platforme!$D$12-Platforme!$D$11*Platforme!$D$12))*(1-(Platforme!$D$14*Platforme!$D$15)))),Platforme!$D$16),CEILING(CEILING(IF(Platforme!$D$13=1,(((Sezoane!E6-Platforme!$B$8)*(1-(Platforme!$B$11+Platforme!$B$12-Platforme!$B$11*Platforme!$B$12))*1/(1+Platforme!$B$31))/(1-(Platforme!$D$11+Platforme!$D$12-Platforme!$D$11*Platforme!$D$12))+Platforme!$B$8)/(1-(Platforme!$D$14*Platforme!$D$15)),(((Sezoane!E6-Platforme!$B$8)*(1-(Platforme!$B$11+Platforme!$B$12-Platforme!$B$11*Platforme!$B$12))*1/(1+Platforme!$B$31))+Platforme!$B$8)/((1-(Platforme!$D$11+Platforme!$D$12-Platforme!$D$11*Platforme!$D$12))*(1-(Platforme!$D$14*Platforme!$D$15)))),Platforme!$D$16)*(1-Platforme!$B$26)+Sezoane!O6*Platforme!$B$26,Platforme!$D$16))))</f>
        <v>920</v>
      </c>
      <c r="H5" s="29" t="n">
        <f aca="false">IF(Sezoane!$A$6="","",CEILING(IF(Platforme!$E$13=1,(((Sezoane!E6-Platforme!$B$8)*(1-(Platforme!$B$11+Platforme!$B$12-Platforme!$B$11*Platforme!$B$12))*1/(1+Platforme!$B$31))/(1-(Platforme!$E$11+Platforme!$E$12-Platforme!$E$11*Platforme!$E$12))+Platforme!$B$8)/(1-(Platforme!$E$14*Platforme!$E$15)),(((Sezoane!E6-Platforme!$B$8)*(1-(Platforme!$B$11+Platforme!$B$12-Platforme!$B$11*Platforme!$B$12))*1/(1+Platforme!$B$31))+Platforme!$B$8)/((1-(Platforme!$E$11+Platforme!$E$12-Platforme!$E$11*Platforme!$E$12))*(1-(Platforme!$E$14*Platforme!$E$15)))),Platforme!$E$16))</f>
        <v>980</v>
      </c>
      <c r="I5" s="30" t="n">
        <f aca="false">IF(Sezoane!$A$6="","",(Sezoane!E6-Platforme!$B$8)*(1-(Platforme!$B$11+Platforme!$B$12-Platforme!$B$11*Platforme!$B$12)))</f>
        <v>852</v>
      </c>
      <c r="J5" s="30" t="n">
        <f aca="false">IF(Sezoane!$A$6="","",F5*(1-Platforme!$C$14))</f>
        <v>1017</v>
      </c>
      <c r="K5" s="31" t="n">
        <f aca="false">IF(Sezoane!$A$6="","",1-E5/MIN(J5,G5,H5))</f>
        <v>0.0217391304347826</v>
      </c>
      <c r="L5" s="32" t="n">
        <f aca="false">IF(Sezoane!$A$6="","",IFERROR(INDEX('Date actuale'!$C$6:$C$40,MATCH(A5,'Date actuale'!$A$6:$A$40,0)),""))</f>
        <v>1130</v>
      </c>
      <c r="M5" s="32" t="n">
        <f aca="false">IF(Sezoane!$A$6="","",IFERROR(INDEX('Date actuale'!$D$6:$D$40,MATCH(A5,'Date actuale'!$A$6:$A$40,0)),""))</f>
        <v>920</v>
      </c>
      <c r="N5" s="32" t="n">
        <f aca="false">IF(Sezoane!$A$6="","",IFERROR(INDEX('Date actuale'!$E$6:$E$40,MATCH(A5,'Date actuale'!$A$6:$A$40,0)),""))</f>
        <v>980</v>
      </c>
      <c r="O5" s="25" t="str">
        <f aca="false">IF(Sezoane!$A$6="","",Sezoane!M6)</f>
        <v>Flexibil 14 zile</v>
      </c>
      <c r="P5" s="28" t="n">
        <f aca="false">IF(OR(Sezoane!$A$6="",N(Sezoane!O6)=0),"",Sezoane!O6)</f>
        <v>474</v>
      </c>
      <c r="Q5" s="30" t="n">
        <f aca="false">IF(Sezoane!$A$6="","",IF(Platforme!$D$13=1,(G5*(1-Platforme!$D$14)-Platforme!$B$8)*(1-(Platforme!$D$11+Platforme!$D$12-Platforme!$D$11*Platforme!$D$12)),G5*(1-Platforme!$D$14)*(1-(Platforme!$D$11+Platforme!$D$12-Platforme!$D$11*Platforme!$D$12))-Platforme!$B$8))</f>
        <v>729.4</v>
      </c>
      <c r="R5" s="31" t="n">
        <f aca="false">IF(Sezoane!$A$6="","",Q5/U5-1)</f>
        <v>-0.101091549295775</v>
      </c>
      <c r="S5" s="30" t="n">
        <f aca="false">IF(Sezoane!$A$6="","",G5*(1-Platforme!$B$28))</f>
        <v>782</v>
      </c>
      <c r="T5" s="30" t="n">
        <f aca="false">IF(Sezoane!$A$6="","",IF(Platforme!$D$13=1,(S5*(1-Platforme!$D$14)-Platforme!$B$8)*(1-(Platforme!$D$11+Platforme!$D$12-Platforme!$D$11*Platforme!$D$12)),S5*(1-Platforme!$D$14)*(1-(Platforme!$D$11+Platforme!$D$12-Platforme!$D$11*Platforme!$D$12))-Platforme!$B$8))</f>
        <v>612.79</v>
      </c>
      <c r="U5" s="33" t="n">
        <f aca="false">IF(Sezoane!$A$6="","",I5/(1+Platforme!$B$31))</f>
        <v>811.428571428571</v>
      </c>
    </row>
    <row r="6" customFormat="false" ht="15" hidden="false" customHeight="false" outlineLevel="0" collapsed="false">
      <c r="A6" s="25" t="str">
        <f aca="false">IF(Sezoane!$A$7="","",Sezoane!A7)</f>
        <v>iarna-2026</v>
      </c>
      <c r="B6" s="26" t="n">
        <f aca="false">IF(Sezoane!$A$7="","",Sezoane!C7)</f>
        <v>46357</v>
      </c>
      <c r="C6" s="26" t="n">
        <f aca="false">IF(Sezoane!$A$7="","",Sezoane!D7)</f>
        <v>46376</v>
      </c>
      <c r="D6" s="27" t="n">
        <f aca="false">IF(Sezoane!$A$7="","",Sezoane!F7)</f>
        <v>2</v>
      </c>
      <c r="E6" s="28" t="n">
        <f aca="false">IF(Sezoane!$A$7="","",Sezoane!E7)</f>
        <v>1250</v>
      </c>
      <c r="F6" s="29" t="n">
        <f aca="false">IF(Sezoane!$A$7="","",CEILING(IF(Platforme!$C$13=1,(((Sezoane!E7-Platforme!$B$8)*(1-(Platforme!$B$11+Platforme!$B$12-Platforme!$B$11*Platforme!$B$12))*1/(1+Platforme!$B$31))/(1-(Platforme!$C$11+Platforme!$C$12-Platforme!$C$11*Platforme!$C$12))+Platforme!$B$8)/(1-(Platforme!$C$14*Platforme!$C$15)),(((Sezoane!E7-Platforme!$B$8)*(1-(Platforme!$B$11+Platforme!$B$12-Platforme!$B$11*Platforme!$B$12))*1/(1+Platforme!$B$31))+Platforme!$B$8)/((1-(Platforme!$C$11+Platforme!$C$12-Platforme!$C$11*Platforme!$C$12))*(1-(Platforme!$C$14*Platforme!$C$15)))),Platforme!$C$16))</f>
        <v>1580</v>
      </c>
      <c r="G6" s="29" t="n">
        <f aca="false">IF(Sezoane!$A$7="","",IF(N(Sezoane!O7)=0,CEILING(IF(Platforme!$D$13=1,(((Sezoane!E7-Platforme!$B$8)*(1-(Platforme!$B$11+Platforme!$B$12-Platforme!$B$11*Platforme!$B$12))*1/(1+Platforme!$B$31))/(1-(Platforme!$D$11+Platforme!$D$12-Platforme!$D$11*Platforme!$D$12))+Platforme!$B$8)/(1-(Platforme!$D$14*Platforme!$D$15)),(((Sezoane!E7-Platforme!$B$8)*(1-(Platforme!$B$11+Platforme!$B$12-Platforme!$B$11*Platforme!$B$12))*1/(1+Platforme!$B$31))+Platforme!$B$8)/((1-(Platforme!$D$11+Platforme!$D$12-Platforme!$D$11*Platforme!$D$12))*(1-(Platforme!$D$14*Platforme!$D$15)))),Platforme!$D$16),MAX(CEILING(IF(Platforme!$D$13=1,(((Sezoane!E7-Platforme!$B$8)*(1-(Platforme!$B$11+Platforme!$B$12-Platforme!$B$11*Platforme!$B$12))*Platforme!$B$27*(1+Platforme!$B$31)/(1+Platforme!$B$31))/(1-(Platforme!$D$11+Platforme!$D$12-Platforme!$D$11*Platforme!$D$12))+Platforme!$B$8)/(1-(Platforme!$D$14*Platforme!$D$15)),(((Sezoane!E7-Platforme!$B$8)*(1-(Platforme!$B$11+Platforme!$B$12-Platforme!$B$11*Platforme!$B$12))*Platforme!$B$27*(1+Platforme!$B$31)/(1+Platforme!$B$31))+Platforme!$B$8)/((1-(Platforme!$D$11+Platforme!$D$12-Platforme!$D$11*Platforme!$D$12))*(1-(Platforme!$D$14*Platforme!$D$15)))),Platforme!$D$16),CEILING(CEILING(IF(Platforme!$D$13=1,(((Sezoane!E7-Platforme!$B$8)*(1-(Platforme!$B$11+Platforme!$B$12-Platforme!$B$11*Platforme!$B$12))*1/(1+Platforme!$B$31))/(1-(Platforme!$D$11+Platforme!$D$12-Platforme!$D$11*Platforme!$D$12))+Platforme!$B$8)/(1-(Platforme!$D$14*Platforme!$D$15)),(((Sezoane!E7-Platforme!$B$8)*(1-(Platforme!$B$11+Platforme!$B$12-Platforme!$B$11*Platforme!$B$12))*1/(1+Platforme!$B$31))+Platforme!$B$8)/((1-(Platforme!$D$11+Platforme!$D$12-Platforme!$D$11*Platforme!$D$12))*(1-(Platforme!$D$14*Platforme!$D$15)))),Platforme!$D$16)*(1-Platforme!$B$26)+Sezoane!O7*Platforme!$B$26,Platforme!$D$16))))</f>
        <v>1420</v>
      </c>
      <c r="H6" s="29" t="n">
        <f aca="false">IF(Sezoane!$A$7="","",CEILING(IF(Platforme!$E$13=1,(((Sezoane!E7-Platforme!$B$8)*(1-(Platforme!$B$11+Platforme!$B$12-Platforme!$B$11*Platforme!$B$12))*1/(1+Platforme!$B$31))/(1-(Platforme!$E$11+Platforme!$E$12-Platforme!$E$11*Platforme!$E$12))+Platforme!$B$8)/(1-(Platforme!$E$14*Platforme!$E$15)),(((Sezoane!E7-Platforme!$B$8)*(1-(Platforme!$B$11+Platforme!$B$12-Platforme!$B$11*Platforme!$B$12))*1/(1+Platforme!$B$31))+Platforme!$B$8)/((1-(Platforme!$E$11+Platforme!$E$12-Platforme!$E$11*Platforme!$E$12))*(1-(Platforme!$E$14*Platforme!$E$15)))),Platforme!$E$16))</f>
        <v>1360</v>
      </c>
      <c r="I6" s="30" t="n">
        <f aca="false">IF(Sezoane!$A$7="","",(Sezoane!E7-Platforme!$B$8)*(1-(Platforme!$B$11+Platforme!$B$12-Platforme!$B$11*Platforme!$B$12)))</f>
        <v>1202</v>
      </c>
      <c r="J6" s="30" t="n">
        <f aca="false">IF(Sezoane!$A$7="","",F6*(1-Platforme!$C$14))</f>
        <v>1422</v>
      </c>
      <c r="K6" s="31" t="n">
        <f aca="false">IF(Sezoane!$A$7="","",1-E6/MIN(J6,G6,H6))</f>
        <v>0.0808823529411765</v>
      </c>
      <c r="L6" s="32" t="n">
        <f aca="false">IF(Sezoane!$A$7="","",IFERROR(INDEX('Date actuale'!$C$6:$C$40,MATCH(A6,'Date actuale'!$A$6:$A$40,0)),""))</f>
        <v>1580</v>
      </c>
      <c r="M6" s="32" t="n">
        <f aca="false">IF(Sezoane!$A$7="","",IFERROR(INDEX('Date actuale'!$D$6:$D$40,MATCH(A6,'Date actuale'!$A$6:$A$40,0)),""))</f>
        <v>1420</v>
      </c>
      <c r="N6" s="32" t="n">
        <f aca="false">IF(Sezoane!$A$7="","",IFERROR(INDEX('Date actuale'!$E$6:$E$40,MATCH(A6,'Date actuale'!$A$6:$A$40,0)),""))</f>
        <v>1360</v>
      </c>
      <c r="O6" s="25" t="str">
        <f aca="false">IF(Sezoane!$A$7="","",Sezoane!M7)</f>
        <v>Flexibil 14 zile</v>
      </c>
      <c r="P6" s="28" t="str">
        <f aca="false">IF(OR(Sezoane!$A$7="",N(Sezoane!O7)=0),"",Sezoane!O7)</f>
        <v/>
      </c>
      <c r="Q6" s="30" t="n">
        <f aca="false">IF(Sezoane!$A$7="","",IF(Platforme!$D$13=1,(G6*(1-Platforme!$D$14)-Platforme!$B$8)*(1-(Platforme!$D$11+Platforme!$D$12-Platforme!$D$11*Platforme!$D$12)),G6*(1-Platforme!$D$14)*(1-(Platforme!$D$11+Platforme!$D$12-Platforme!$D$11*Platforme!$D$12))-Platforme!$B$8))</f>
        <v>1151.9</v>
      </c>
      <c r="R6" s="31" t="n">
        <f aca="false">IF(Sezoane!$A$7="","",Q6/U6-1)</f>
        <v>0.00623544093178019</v>
      </c>
      <c r="S6" s="30" t="n">
        <f aca="false">IF(Sezoane!$A$7="","",G6*(1-Platforme!$B$28))</f>
        <v>1207</v>
      </c>
      <c r="T6" s="30" t="n">
        <f aca="false">IF(Sezoane!$A$7="","",IF(Platforme!$D$13=1,(S6*(1-Platforme!$D$14)-Platforme!$B$8)*(1-(Platforme!$D$11+Platforme!$D$12-Platforme!$D$11*Platforme!$D$12)),S6*(1-Platforme!$D$14)*(1-(Platforme!$D$11+Platforme!$D$12-Platforme!$D$11*Platforme!$D$12))-Platforme!$B$8))</f>
        <v>971.915</v>
      </c>
      <c r="U6" s="33" t="n">
        <f aca="false">IF(Sezoane!$A$7="","",I6/(1+Platforme!$B$31))</f>
        <v>1144.7619047619</v>
      </c>
    </row>
    <row r="7" customFormat="false" ht="15" hidden="false" customHeight="false" outlineLevel="0" collapsed="false">
      <c r="A7" s="25" t="str">
        <f aca="false">IF(Sezoane!$A$8="","",Sezoane!A8)</f>
        <v>Craciun-2026</v>
      </c>
      <c r="B7" s="26" t="n">
        <f aca="false">IF(Sezoane!$A$8="","",Sezoane!C8)</f>
        <v>46377</v>
      </c>
      <c r="C7" s="26" t="n">
        <f aca="false">IF(Sezoane!$A$8="","",Sezoane!D8)</f>
        <v>46383</v>
      </c>
      <c r="D7" s="27" t="n">
        <f aca="false">IF(Sezoane!$A$8="","",Sezoane!F8)</f>
        <v>3</v>
      </c>
      <c r="E7" s="28" t="n">
        <f aca="false">IF(Sezoane!$A$8="","",Sezoane!E8)</f>
        <v>1500</v>
      </c>
      <c r="F7" s="29" t="n">
        <f aca="false">IF(Sezoane!$A$8="","",CEILING(IF(Platforme!$C$13=1,(((Sezoane!E8-Platforme!$B$8)*(1-(Platforme!$B$11+Platforme!$B$12-Platforme!$B$11*Platforme!$B$12))*1/(1+Platforme!$B$31))/(1-(Platforme!$C$11+Platforme!$C$12-Platforme!$C$11*Platforme!$C$12))+Platforme!$B$8)/(1-(Platforme!$C$14*Platforme!$C$15)),(((Sezoane!E8-Platforme!$B$8)*(1-(Platforme!$B$11+Platforme!$B$12-Platforme!$B$11*Platforme!$B$12))*1/(1+Platforme!$B$31))+Platforme!$B$8)/((1-(Platforme!$C$11+Platforme!$C$12-Platforme!$C$11*Platforme!$C$12))*(1-(Platforme!$C$14*Platforme!$C$15)))),Platforme!$C$16))</f>
        <v>1890</v>
      </c>
      <c r="G7" s="29" t="n">
        <f aca="false">IF(Sezoane!$A$8="","",IF(N(Sezoane!O8)=0,CEILING(IF(Platforme!$D$13=1,(((Sezoane!E8-Platforme!$B$8)*(1-(Platforme!$B$11+Platforme!$B$12-Platforme!$B$11*Platforme!$B$12))*1/(1+Platforme!$B$31))/(1-(Platforme!$D$11+Platforme!$D$12-Platforme!$D$11*Platforme!$D$12))+Platforme!$B$8)/(1-(Platforme!$D$14*Platforme!$D$15)),(((Sezoane!E8-Platforme!$B$8)*(1-(Platforme!$B$11+Platforme!$B$12-Platforme!$B$11*Platforme!$B$12))*1/(1+Platforme!$B$31))+Platforme!$B$8)/((1-(Platforme!$D$11+Platforme!$D$12-Platforme!$D$11*Platforme!$D$12))*(1-(Platforme!$D$14*Platforme!$D$15)))),Platforme!$D$16),MAX(CEILING(IF(Platforme!$D$13=1,(((Sezoane!E8-Platforme!$B$8)*(1-(Platforme!$B$11+Platforme!$B$12-Platforme!$B$11*Platforme!$B$12))*Platforme!$B$27*(1+Platforme!$B$31)/(1+Platforme!$B$31))/(1-(Platforme!$D$11+Platforme!$D$12-Platforme!$D$11*Platforme!$D$12))+Platforme!$B$8)/(1-(Platforme!$D$14*Platforme!$D$15)),(((Sezoane!E8-Platforme!$B$8)*(1-(Platforme!$B$11+Platforme!$B$12-Platforme!$B$11*Platforme!$B$12))*Platforme!$B$27*(1+Platforme!$B$31)/(1+Platforme!$B$31))+Platforme!$B$8)/((1-(Platforme!$D$11+Platforme!$D$12-Platforme!$D$11*Platforme!$D$12))*(1-(Platforme!$D$14*Platforme!$D$15)))),Platforme!$D$16),CEILING(CEILING(IF(Platforme!$D$13=1,(((Sezoane!E8-Platforme!$B$8)*(1-(Platforme!$B$11+Platforme!$B$12-Platforme!$B$11*Platforme!$B$12))*1/(1+Platforme!$B$31))/(1-(Platforme!$D$11+Platforme!$D$12-Platforme!$D$11*Platforme!$D$12))+Platforme!$B$8)/(1-(Platforme!$D$14*Platforme!$D$15)),(((Sezoane!E8-Platforme!$B$8)*(1-(Platforme!$B$11+Platforme!$B$12-Platforme!$B$11*Platforme!$B$12))*1/(1+Platforme!$B$31))+Platforme!$B$8)/((1-(Platforme!$D$11+Platforme!$D$12-Platforme!$D$11*Platforme!$D$12))*(1-(Platforme!$D$14*Platforme!$D$15)))),Platforme!$D$16)*(1-Platforme!$B$26)+Sezoane!O8*Platforme!$B$26,Platforme!$D$16))))</f>
        <v>1700</v>
      </c>
      <c r="H7" s="29" t="n">
        <f aca="false">IF(Sezoane!$A$8="","",CEILING(IF(Platforme!$E$13=1,(((Sezoane!E8-Platforme!$B$8)*(1-(Platforme!$B$11+Platforme!$B$12-Platforme!$B$11*Platforme!$B$12))*1/(1+Platforme!$B$31))/(1-(Platforme!$E$11+Platforme!$E$12-Platforme!$E$11*Platforme!$E$12))+Platforme!$B$8)/(1-(Platforme!$E$14*Platforme!$E$15)),(((Sezoane!E8-Platforme!$B$8)*(1-(Platforme!$B$11+Platforme!$B$12-Platforme!$B$11*Platforme!$B$12))*1/(1+Platforme!$B$31))+Platforme!$B$8)/((1-(Platforme!$E$11+Platforme!$E$12-Platforme!$E$11*Platforme!$E$12))*(1-(Platforme!$E$14*Platforme!$E$15)))),Platforme!$E$16))</f>
        <v>1630</v>
      </c>
      <c r="I7" s="30" t="n">
        <f aca="false">IF(Sezoane!$A$8="","",(Sezoane!E8-Platforme!$B$8)*(1-(Platforme!$B$11+Platforme!$B$12-Platforme!$B$11*Platforme!$B$12)))</f>
        <v>1452</v>
      </c>
      <c r="J7" s="30" t="n">
        <f aca="false">IF(Sezoane!$A$8="","",F7*(1-Platforme!$C$14))</f>
        <v>1701</v>
      </c>
      <c r="K7" s="31" t="n">
        <f aca="false">IF(Sezoane!$A$8="","",1-E7/MIN(J7,G7,H7))</f>
        <v>0.0797546012269939</v>
      </c>
      <c r="L7" s="32" t="n">
        <f aca="false">IF(Sezoane!$A$8="","",IFERROR(INDEX('Date actuale'!$C$6:$C$40,MATCH(A7,'Date actuale'!$A$6:$A$40,0)),""))</f>
        <v>1500</v>
      </c>
      <c r="M7" s="32" t="n">
        <f aca="false">IF(Sezoane!$A$8="","",IFERROR(INDEX('Date actuale'!$D$6:$D$40,MATCH(A7,'Date actuale'!$A$6:$A$40,0)),""))</f>
        <v>1700</v>
      </c>
      <c r="N7" s="32" t="n">
        <f aca="false">IF(Sezoane!$A$8="","",IFERROR(INDEX('Date actuale'!$E$6:$E$40,MATCH(A7,'Date actuale'!$A$6:$A$40,0)),""))</f>
        <v>1700</v>
      </c>
      <c r="O7" s="25" t="str">
        <f aca="false">IF(Sezoane!$A$8="","",Sezoane!M8)</f>
        <v>Nerambursabil</v>
      </c>
      <c r="P7" s="28" t="str">
        <f aca="false">IF(OR(Sezoane!$A$8="",N(Sezoane!O8)=0),"",Sezoane!O8)</f>
        <v/>
      </c>
      <c r="Q7" s="30" t="n">
        <f aca="false">IF(Sezoane!$A$8="","",IF(Platforme!$D$13=1,(G7*(1-Platforme!$D$14)-Platforme!$B$8)*(1-(Platforme!$D$11+Platforme!$D$12-Platforme!$D$11*Platforme!$D$12)),G7*(1-Platforme!$D$14)*(1-(Platforme!$D$11+Platforme!$D$12-Platforme!$D$11*Platforme!$D$12))-Platforme!$B$8))</f>
        <v>1388.5</v>
      </c>
      <c r="R7" s="31" t="n">
        <f aca="false">IF(Sezoane!$A$8="","",Q7/U7-1)</f>
        <v>0.00408057851239674</v>
      </c>
      <c r="S7" s="30" t="n">
        <f aca="false">IF(Sezoane!$A$8="","",G7*(1-Platforme!$B$28))</f>
        <v>1445</v>
      </c>
      <c r="T7" s="30" t="n">
        <f aca="false">IF(Sezoane!$A$8="","",IF(Platforme!$D$13=1,(S7*(1-Platforme!$D$14)-Platforme!$B$8)*(1-(Platforme!$D$11+Platforme!$D$12-Platforme!$D$11*Platforme!$D$12)),S7*(1-Platforme!$D$14)*(1-(Platforme!$D$11+Platforme!$D$12-Platforme!$D$11*Platforme!$D$12))-Platforme!$B$8))</f>
        <v>1173.025</v>
      </c>
      <c r="U7" s="33" t="n">
        <f aca="false">IF(Sezoane!$A$8="","",I7/(1+Platforme!$B$31))</f>
        <v>1382.85714285714</v>
      </c>
    </row>
    <row r="8" customFormat="false" ht="15" hidden="false" customHeight="false" outlineLevel="0" collapsed="false">
      <c r="A8" s="25" t="str">
        <f aca="false">IF(Sezoane!$A$9="","",Sezoane!A9)</f>
        <v>Revelion-2026-2027</v>
      </c>
      <c r="B8" s="26" t="n">
        <f aca="false">IF(Sezoane!$A$9="","",Sezoane!C9)</f>
        <v>46384</v>
      </c>
      <c r="C8" s="26" t="n">
        <f aca="false">IF(Sezoane!$A$9="","",Sezoane!D9)</f>
        <v>46391</v>
      </c>
      <c r="D8" s="27" t="n">
        <f aca="false">IF(Sezoane!$A$9="","",Sezoane!F9)</f>
        <v>4</v>
      </c>
      <c r="E8" s="28" t="n">
        <f aca="false">IF(Sezoane!$A$9="","",Sezoane!E9)</f>
        <v>1800</v>
      </c>
      <c r="F8" s="29" t="n">
        <f aca="false">IF(Sezoane!$A$9="","",CEILING(IF(Platforme!$C$13=1,(((Sezoane!E9-Platforme!$B$8)*(1-(Platforme!$B$11+Platforme!$B$12-Platforme!$B$11*Platforme!$B$12))*1/(1+Platforme!$B$31))/(1-(Platforme!$C$11+Platforme!$C$12-Platforme!$C$11*Platforme!$C$12))+Platforme!$B$8)/(1-(Platforme!$C$14*Platforme!$C$15)),(((Sezoane!E9-Platforme!$B$8)*(1-(Platforme!$B$11+Platforme!$B$12-Platforme!$B$11*Platforme!$B$12))*1/(1+Platforme!$B$31))+Platforme!$B$8)/((1-(Platforme!$C$11+Platforme!$C$12-Platforme!$C$11*Platforme!$C$12))*(1-(Platforme!$C$14*Platforme!$C$15)))),Platforme!$C$16))</f>
        <v>2270</v>
      </c>
      <c r="G8" s="29" t="n">
        <f aca="false">IF(Sezoane!$A$9="","",IF(N(Sezoane!O9)=0,CEILING(IF(Platforme!$D$13=1,(((Sezoane!E9-Platforme!$B$8)*(1-(Platforme!$B$11+Platforme!$B$12-Platforme!$B$11*Platforme!$B$12))*1/(1+Platforme!$B$31))/(1-(Platforme!$D$11+Platforme!$D$12-Platforme!$D$11*Platforme!$D$12))+Platforme!$B$8)/(1-(Platforme!$D$14*Platforme!$D$15)),(((Sezoane!E9-Platforme!$B$8)*(1-(Platforme!$B$11+Platforme!$B$12-Platforme!$B$11*Platforme!$B$12))*1/(1+Platforme!$B$31))+Platforme!$B$8)/((1-(Platforme!$D$11+Platforme!$D$12-Platforme!$D$11*Platforme!$D$12))*(1-(Platforme!$D$14*Platforme!$D$15)))),Platforme!$D$16),MAX(CEILING(IF(Platforme!$D$13=1,(((Sezoane!E9-Platforme!$B$8)*(1-(Platforme!$B$11+Platforme!$B$12-Platforme!$B$11*Platforme!$B$12))*Platforme!$B$27*(1+Platforme!$B$31)/(1+Platforme!$B$31))/(1-(Platforme!$D$11+Platforme!$D$12-Platforme!$D$11*Platforme!$D$12))+Platforme!$B$8)/(1-(Platforme!$D$14*Platforme!$D$15)),(((Sezoane!E9-Platforme!$B$8)*(1-(Platforme!$B$11+Platforme!$B$12-Platforme!$B$11*Platforme!$B$12))*Platforme!$B$27*(1+Platforme!$B$31)/(1+Platforme!$B$31))+Platforme!$B$8)/((1-(Platforme!$D$11+Platforme!$D$12-Platforme!$D$11*Platforme!$D$12))*(1-(Platforme!$D$14*Platforme!$D$15)))),Platforme!$D$16),CEILING(CEILING(IF(Platforme!$D$13=1,(((Sezoane!E9-Platforme!$B$8)*(1-(Platforme!$B$11+Platforme!$B$12-Platforme!$B$11*Platforme!$B$12))*1/(1+Platforme!$B$31))/(1-(Platforme!$D$11+Platforme!$D$12-Platforme!$D$11*Platforme!$D$12))+Platforme!$B$8)/(1-(Platforme!$D$14*Platforme!$D$15)),(((Sezoane!E9-Platforme!$B$8)*(1-(Platforme!$B$11+Platforme!$B$12-Platforme!$B$11*Platforme!$B$12))*1/(1+Platforme!$B$31))+Platforme!$B$8)/((1-(Platforme!$D$11+Platforme!$D$12-Platforme!$D$11*Platforme!$D$12))*(1-(Platforme!$D$14*Platforme!$D$15)))),Platforme!$D$16)*(1-Platforme!$B$26)+Sezoane!O9*Platforme!$B$26,Platforme!$D$16))))</f>
        <v>2040</v>
      </c>
      <c r="H8" s="29" t="n">
        <f aca="false">IF(Sezoane!$A$9="","",CEILING(IF(Platforme!$E$13=1,(((Sezoane!E9-Platforme!$B$8)*(1-(Platforme!$B$11+Platforme!$B$12-Platforme!$B$11*Platforme!$B$12))*1/(1+Platforme!$B$31))/(1-(Platforme!$E$11+Platforme!$E$12-Platforme!$E$11*Platforme!$E$12))+Platforme!$B$8)/(1-(Platforme!$E$14*Platforme!$E$15)),(((Sezoane!E9-Platforme!$B$8)*(1-(Platforme!$B$11+Platforme!$B$12-Platforme!$B$11*Platforme!$B$12))*1/(1+Platforme!$B$31))+Platforme!$B$8)/((1-(Platforme!$E$11+Platforme!$E$12-Platforme!$E$11*Platforme!$E$12))*(1-(Platforme!$E$14*Platforme!$E$15)))),Platforme!$E$16))</f>
        <v>1960</v>
      </c>
      <c r="I8" s="30" t="n">
        <f aca="false">IF(Sezoane!$A$9="","",(Sezoane!E9-Platforme!$B$8)*(1-(Platforme!$B$11+Platforme!$B$12-Platforme!$B$11*Platforme!$B$12)))</f>
        <v>1752</v>
      </c>
      <c r="J8" s="30" t="n">
        <f aca="false">IF(Sezoane!$A$9="","",F8*(1-Platforme!$C$14))</f>
        <v>2043</v>
      </c>
      <c r="K8" s="31" t="n">
        <f aca="false">IF(Sezoane!$A$9="","",1-E8/MIN(J8,G8,H8))</f>
        <v>0.0816326530612245</v>
      </c>
      <c r="L8" s="32" t="n">
        <f aca="false">IF(Sezoane!$A$9="","",IFERROR(INDEX('Date actuale'!$C$6:$C$40,MATCH(A8,'Date actuale'!$A$6:$A$40,0)),""))</f>
        <v>1800</v>
      </c>
      <c r="M8" s="32" t="n">
        <f aca="false">IF(Sezoane!$A$9="","",IFERROR(INDEX('Date actuale'!$D$6:$D$40,MATCH(A8,'Date actuale'!$A$6:$A$40,0)),""))</f>
        <v>2000</v>
      </c>
      <c r="N8" s="32" t="n">
        <f aca="false">IF(Sezoane!$A$9="","",IFERROR(INDEX('Date actuale'!$E$6:$E$40,MATCH(A8,'Date actuale'!$A$6:$A$40,0)),""))</f>
        <v>2000</v>
      </c>
      <c r="O8" s="25" t="str">
        <f aca="false">IF(Sezoane!$A$9="","",Sezoane!M9)</f>
        <v>Nerambursabil</v>
      </c>
      <c r="P8" s="28" t="str">
        <f aca="false">IF(OR(Sezoane!$A$9="",N(Sezoane!O9)=0),"",Sezoane!O9)</f>
        <v/>
      </c>
      <c r="Q8" s="30" t="n">
        <f aca="false">IF(Sezoane!$A$9="","",IF(Platforme!$D$13=1,(G8*(1-Platforme!$D$14)-Platforme!$B$8)*(1-(Platforme!$D$11+Platforme!$D$12-Platforme!$D$11*Platforme!$D$12)),G8*(1-Platforme!$D$14)*(1-(Platforme!$D$11+Platforme!$D$12-Platforme!$D$11*Platforme!$D$12))-Platforme!$B$8))</f>
        <v>1675.8</v>
      </c>
      <c r="R8" s="31" t="n">
        <f aca="false">IF(Sezoane!$A$9="","",Q8/U8-1)</f>
        <v>0.00433219178082189</v>
      </c>
      <c r="S8" s="30" t="n">
        <f aca="false">IF(Sezoane!$A$9="","",G8*(1-Platforme!$B$28))</f>
        <v>1734</v>
      </c>
      <c r="T8" s="30" t="n">
        <f aca="false">IF(Sezoane!$A$9="","",IF(Platforme!$D$13=1,(S8*(1-Platforme!$D$14)-Platforme!$B$8)*(1-(Platforme!$D$11+Platforme!$D$12-Platforme!$D$11*Platforme!$D$12)),S8*(1-Platforme!$D$14)*(1-(Platforme!$D$11+Platforme!$D$12-Platforme!$D$11*Platforme!$D$12))-Platforme!$B$8))</f>
        <v>1417.23</v>
      </c>
      <c r="U8" s="33" t="n">
        <f aca="false">IF(Sezoane!$A$9="","",I8/(1+Platforme!$B$31))</f>
        <v>1668.57142857143</v>
      </c>
    </row>
    <row r="9" customFormat="false" ht="15" hidden="false" customHeight="false" outlineLevel="0" collapsed="false">
      <c r="A9" s="25" t="str">
        <f aca="false">IF(Sezoane!$A$10="","",Sezoane!A10)</f>
        <v>iarna-2027</v>
      </c>
      <c r="B9" s="26" t="n">
        <f aca="false">IF(Sezoane!$A$10="","",Sezoane!C10)</f>
        <v>46392</v>
      </c>
      <c r="C9" s="26" t="n">
        <f aca="false">IF(Sezoane!$A$10="","",Sezoane!D10)</f>
        <v>46432</v>
      </c>
      <c r="D9" s="27" t="n">
        <f aca="false">IF(Sezoane!$A$10="","",Sezoane!F10)</f>
        <v>2</v>
      </c>
      <c r="E9" s="28" t="n">
        <f aca="false">IF(Sezoane!$A$10="","",Sezoane!E10)</f>
        <v>1350</v>
      </c>
      <c r="F9" s="29" t="n">
        <f aca="false">IF(Sezoane!$A$10="","",CEILING(IF(Platforme!$C$13=1,(((Sezoane!E10-Platforme!$B$8)*(1-(Platforme!$B$11+Platforme!$B$12-Platforme!$B$11*Platforme!$B$12))*1/(1+Platforme!$B$31))/(1-(Platforme!$C$11+Platforme!$C$12-Platforme!$C$11*Platforme!$C$12))+Platforme!$B$8)/(1-(Platforme!$C$14*Platforme!$C$15)),(((Sezoane!E10-Platforme!$B$8)*(1-(Platforme!$B$11+Platforme!$B$12-Platforme!$B$11*Platforme!$B$12))*1/(1+Platforme!$B$31))+Platforme!$B$8)/((1-(Platforme!$C$11+Platforme!$C$12-Platforme!$C$11*Platforme!$C$12))*(1-(Platforme!$C$14*Platforme!$C$15)))),Platforme!$C$16))</f>
        <v>1700</v>
      </c>
      <c r="G9" s="29" t="n">
        <f aca="false">IF(Sezoane!$A$10="","",IF(N(Sezoane!O10)=0,CEILING(IF(Platforme!$D$13=1,(((Sezoane!E10-Platforme!$B$8)*(1-(Platforme!$B$11+Platforme!$B$12-Platforme!$B$11*Platforme!$B$12))*1/(1+Platforme!$B$31))/(1-(Platforme!$D$11+Platforme!$D$12-Platforme!$D$11*Platforme!$D$12))+Platforme!$B$8)/(1-(Platforme!$D$14*Platforme!$D$15)),(((Sezoane!E10-Platforme!$B$8)*(1-(Platforme!$B$11+Platforme!$B$12-Platforme!$B$11*Platforme!$B$12))*1/(1+Platforme!$B$31))+Platforme!$B$8)/((1-(Platforme!$D$11+Platforme!$D$12-Platforme!$D$11*Platforme!$D$12))*(1-(Platforme!$D$14*Platforme!$D$15)))),Platforme!$D$16),MAX(CEILING(IF(Platforme!$D$13=1,(((Sezoane!E10-Platforme!$B$8)*(1-(Platforme!$B$11+Platforme!$B$12-Platforme!$B$11*Platforme!$B$12))*Platforme!$B$27*(1+Platforme!$B$31)/(1+Platforme!$B$31))/(1-(Platforme!$D$11+Platforme!$D$12-Platforme!$D$11*Platforme!$D$12))+Platforme!$B$8)/(1-(Platforme!$D$14*Platforme!$D$15)),(((Sezoane!E10-Platforme!$B$8)*(1-(Platforme!$B$11+Platforme!$B$12-Platforme!$B$11*Platforme!$B$12))*Platforme!$B$27*(1+Platforme!$B$31)/(1+Platforme!$B$31))+Platforme!$B$8)/((1-(Platforme!$D$11+Platforme!$D$12-Platforme!$D$11*Platforme!$D$12))*(1-(Platforme!$D$14*Platforme!$D$15)))),Platforme!$D$16),CEILING(CEILING(IF(Platforme!$D$13=1,(((Sezoane!E10-Platforme!$B$8)*(1-(Platforme!$B$11+Platforme!$B$12-Platforme!$B$11*Platforme!$B$12))*1/(1+Platforme!$B$31))/(1-(Platforme!$D$11+Platforme!$D$12-Platforme!$D$11*Platforme!$D$12))+Platforme!$B$8)/(1-(Platforme!$D$14*Platforme!$D$15)),(((Sezoane!E10-Platforme!$B$8)*(1-(Platforme!$B$11+Platforme!$B$12-Platforme!$B$11*Platforme!$B$12))*1/(1+Platforme!$B$31))+Platforme!$B$8)/((1-(Platforme!$D$11+Platforme!$D$12-Platforme!$D$11*Platforme!$D$12))*(1-(Platforme!$D$14*Platforme!$D$15)))),Platforme!$D$16)*(1-Platforme!$B$26)+Sezoane!O10*Platforme!$B$26,Platforme!$D$16))))</f>
        <v>1530</v>
      </c>
      <c r="H9" s="29" t="n">
        <f aca="false">IF(Sezoane!$A$10="","",CEILING(IF(Platforme!$E$13=1,(((Sezoane!E10-Platforme!$B$8)*(1-(Platforme!$B$11+Platforme!$B$12-Platforme!$B$11*Platforme!$B$12))*1/(1+Platforme!$B$31))/(1-(Platforme!$E$11+Platforme!$E$12-Platforme!$E$11*Platforme!$E$12))+Platforme!$B$8)/(1-(Platforme!$E$14*Platforme!$E$15)),(((Sezoane!E10-Platforme!$B$8)*(1-(Platforme!$B$11+Platforme!$B$12-Platforme!$B$11*Platforme!$B$12))*1/(1+Platforme!$B$31))+Platforme!$B$8)/((1-(Platforme!$E$11+Platforme!$E$12-Platforme!$E$11*Platforme!$E$12))*(1-(Platforme!$E$14*Platforme!$E$15)))),Platforme!$E$16))</f>
        <v>1470</v>
      </c>
      <c r="I9" s="30" t="n">
        <f aca="false">IF(Sezoane!$A$10="","",(Sezoane!E10-Platforme!$B$8)*(1-(Platforme!$B$11+Platforme!$B$12-Platforme!$B$11*Platforme!$B$12)))</f>
        <v>1302</v>
      </c>
      <c r="J9" s="30" t="n">
        <f aca="false">IF(Sezoane!$A$10="","",F9*(1-Platforme!$C$14))</f>
        <v>1530</v>
      </c>
      <c r="K9" s="31" t="n">
        <f aca="false">IF(Sezoane!$A$10="","",1-E9/MIN(J9,G9,H9))</f>
        <v>0.0816326530612245</v>
      </c>
      <c r="L9" s="32" t="n">
        <f aca="false">IF(Sezoane!$A$10="","",IFERROR(INDEX('Date actuale'!$C$6:$C$40,MATCH(A9,'Date actuale'!$A$6:$A$40,0)),""))</f>
        <v>1350</v>
      </c>
      <c r="M9" s="32" t="n">
        <f aca="false">IF(Sezoane!$A$10="","",IFERROR(INDEX('Date actuale'!$D$6:$D$40,MATCH(A9,'Date actuale'!$A$6:$A$40,0)),""))</f>
        <v>1450</v>
      </c>
      <c r="N9" s="32" t="n">
        <f aca="false">IF(Sezoane!$A$10="","",IFERROR(INDEX('Date actuale'!$E$6:$E$40,MATCH(A9,'Date actuale'!$A$6:$A$40,0)),""))</f>
        <v>1450</v>
      </c>
      <c r="O9" s="25" t="str">
        <f aca="false">IF(Sezoane!$A$10="","",Sezoane!M10)</f>
        <v>Flexibil 14 zile</v>
      </c>
      <c r="P9" s="28" t="str">
        <f aca="false">IF(OR(Sezoane!$A$10="",N(Sezoane!O10)=0),"",Sezoane!O10)</f>
        <v/>
      </c>
      <c r="Q9" s="30" t="n">
        <f aca="false">IF(Sezoane!$A$10="","",IF(Platforme!$D$13=1,(G9*(1-Platforme!$D$14)-Platforme!$B$8)*(1-(Platforme!$D$11+Platforme!$D$12-Platforme!$D$11*Platforme!$D$12)),G9*(1-Platforme!$D$14)*(1-(Platforme!$D$11+Platforme!$D$12-Platforme!$D$11*Platforme!$D$12))-Platforme!$B$8))</f>
        <v>1244.85</v>
      </c>
      <c r="R9" s="31" t="n">
        <f aca="false">IF(Sezoane!$A$10="","",Q9/U9-1)</f>
        <v>0.00391129032258064</v>
      </c>
      <c r="S9" s="30" t="n">
        <f aca="false">IF(Sezoane!$A$10="","",G9*(1-Platforme!$B$28))</f>
        <v>1300.5</v>
      </c>
      <c r="T9" s="30" t="n">
        <f aca="false">IF(Sezoane!$A$10="","",IF(Platforme!$D$13=1,(S9*(1-Platforme!$D$14)-Platforme!$B$8)*(1-(Platforme!$D$11+Platforme!$D$12-Platforme!$D$11*Platforme!$D$12)),S9*(1-Platforme!$D$14)*(1-(Platforme!$D$11+Platforme!$D$12-Platforme!$D$11*Platforme!$D$12))-Platforme!$B$8))</f>
        <v>1050.9225</v>
      </c>
      <c r="U9" s="33" t="n">
        <f aca="false">IF(Sezoane!$A$10="","",I9/(1+Platforme!$B$31))</f>
        <v>1240</v>
      </c>
    </row>
    <row r="10" customFormat="false" ht="15" hidden="false" customHeight="false" outlineLevel="0" collapsed="false">
      <c r="A10" s="25" t="str">
        <f aca="false">IF(Sezoane!$A$11="","",Sezoane!A11)</f>
        <v>Vacanta-schi-2027</v>
      </c>
      <c r="B10" s="26" t="n">
        <f aca="false">IF(Sezoane!$A$11="","",Sezoane!C11)</f>
        <v>46433</v>
      </c>
      <c r="C10" s="26" t="n">
        <f aca="false">IF(Sezoane!$A$11="","",Sezoane!D11)</f>
        <v>46453</v>
      </c>
      <c r="D10" s="27" t="n">
        <f aca="false">IF(Sezoane!$A$11="","",Sezoane!F11)</f>
        <v>2</v>
      </c>
      <c r="E10" s="28" t="n">
        <f aca="false">IF(Sezoane!$A$11="","",Sezoane!E11)</f>
        <v>1450</v>
      </c>
      <c r="F10" s="29" t="n">
        <f aca="false">IF(Sezoane!$A$11="","",CEILING(IF(Platforme!$C$13=1,(((Sezoane!E11-Platforme!$B$8)*(1-(Platforme!$B$11+Platforme!$B$12-Platforme!$B$11*Platforme!$B$12))*1/(1+Platforme!$B$31))/(1-(Platforme!$C$11+Platforme!$C$12-Platforme!$C$11*Platforme!$C$12))+Platforme!$B$8)/(1-(Platforme!$C$14*Platforme!$C$15)),(((Sezoane!E11-Platforme!$B$8)*(1-(Platforme!$B$11+Platforme!$B$12-Platforme!$B$11*Platforme!$B$12))*1/(1+Platforme!$B$31))+Platforme!$B$8)/((1-(Platforme!$C$11+Platforme!$C$12-Platforme!$C$11*Platforme!$C$12))*(1-(Platforme!$C$14*Platforme!$C$15)))),Platforme!$C$16))</f>
        <v>1830</v>
      </c>
      <c r="G10" s="29" t="n">
        <f aca="false">IF(Sezoane!$A$11="","",IF(N(Sezoane!O11)=0,CEILING(IF(Platforme!$D$13=1,(((Sezoane!E11-Platforme!$B$8)*(1-(Platforme!$B$11+Platforme!$B$12-Platforme!$B$11*Platforme!$B$12))*1/(1+Platforme!$B$31))/(1-(Platforme!$D$11+Platforme!$D$12-Platforme!$D$11*Platforme!$D$12))+Platforme!$B$8)/(1-(Platforme!$D$14*Platforme!$D$15)),(((Sezoane!E11-Platforme!$B$8)*(1-(Platforme!$B$11+Platforme!$B$12-Platforme!$B$11*Platforme!$B$12))*1/(1+Platforme!$B$31))+Platforme!$B$8)/((1-(Platforme!$D$11+Platforme!$D$12-Platforme!$D$11*Platforme!$D$12))*(1-(Platforme!$D$14*Platforme!$D$15)))),Platforme!$D$16),MAX(CEILING(IF(Platforme!$D$13=1,(((Sezoane!E11-Platforme!$B$8)*(1-(Platforme!$B$11+Platforme!$B$12-Platforme!$B$11*Platforme!$B$12))*Platforme!$B$27*(1+Platforme!$B$31)/(1+Platforme!$B$31))/(1-(Platforme!$D$11+Platforme!$D$12-Platforme!$D$11*Platforme!$D$12))+Platforme!$B$8)/(1-(Platforme!$D$14*Platforme!$D$15)),(((Sezoane!E11-Platforme!$B$8)*(1-(Platforme!$B$11+Platforme!$B$12-Platforme!$B$11*Platforme!$B$12))*Platforme!$B$27*(1+Platforme!$B$31)/(1+Platforme!$B$31))+Platforme!$B$8)/((1-(Platforme!$D$11+Platforme!$D$12-Platforme!$D$11*Platforme!$D$12))*(1-(Platforme!$D$14*Platforme!$D$15)))),Platforme!$D$16),CEILING(CEILING(IF(Platforme!$D$13=1,(((Sezoane!E11-Platforme!$B$8)*(1-(Platforme!$B$11+Platforme!$B$12-Platforme!$B$11*Platforme!$B$12))*1/(1+Platforme!$B$31))/(1-(Platforme!$D$11+Platforme!$D$12-Platforme!$D$11*Platforme!$D$12))+Platforme!$B$8)/(1-(Platforme!$D$14*Platforme!$D$15)),(((Sezoane!E11-Platforme!$B$8)*(1-(Platforme!$B$11+Platforme!$B$12-Platforme!$B$11*Platforme!$B$12))*1/(1+Platforme!$B$31))+Platforme!$B$8)/((1-(Platforme!$D$11+Platforme!$D$12-Platforme!$D$11*Platforme!$D$12))*(1-(Platforme!$D$14*Platforme!$D$15)))),Platforme!$D$16)*(1-Platforme!$B$26)+Sezoane!O11*Platforme!$B$26,Platforme!$D$16))))</f>
        <v>1640</v>
      </c>
      <c r="H10" s="29" t="n">
        <f aca="false">IF(Sezoane!$A$11="","",CEILING(IF(Platforme!$E$13=1,(((Sezoane!E11-Platforme!$B$8)*(1-(Platforme!$B$11+Platforme!$B$12-Platforme!$B$11*Platforme!$B$12))*1/(1+Platforme!$B$31))/(1-(Platforme!$E$11+Platforme!$E$12-Platforme!$E$11*Platforme!$E$12))+Platforme!$B$8)/(1-(Platforme!$E$14*Platforme!$E$15)),(((Sezoane!E11-Platforme!$B$8)*(1-(Platforme!$B$11+Platforme!$B$12-Platforme!$B$11*Platforme!$B$12))*1/(1+Platforme!$B$31))+Platforme!$B$8)/((1-(Platforme!$E$11+Platforme!$E$12-Platforme!$E$11*Platforme!$E$12))*(1-(Platforme!$E$14*Platforme!$E$15)))),Platforme!$E$16))</f>
        <v>1580</v>
      </c>
      <c r="I10" s="30" t="n">
        <f aca="false">IF(Sezoane!$A$11="","",(Sezoane!E11-Platforme!$B$8)*(1-(Platforme!$B$11+Platforme!$B$12-Platforme!$B$11*Platforme!$B$12)))</f>
        <v>1402</v>
      </c>
      <c r="J10" s="30" t="n">
        <f aca="false">IF(Sezoane!$A$11="","",F10*(1-Platforme!$C$14))</f>
        <v>1647</v>
      </c>
      <c r="K10" s="31" t="n">
        <f aca="false">IF(Sezoane!$A$11="","",1-E10/MIN(J10,G10,H10))</f>
        <v>0.0822784810126582</v>
      </c>
      <c r="L10" s="32" t="n">
        <f aca="false">IF(Sezoane!$A$11="","",IFERROR(INDEX('Date actuale'!$C$6:$C$40,MATCH(A10,'Date actuale'!$A$6:$A$40,0)),""))</f>
        <v>1450</v>
      </c>
      <c r="M10" s="32" t="n">
        <f aca="false">IF(Sezoane!$A$11="","",IFERROR(INDEX('Date actuale'!$D$6:$D$40,MATCH(A10,'Date actuale'!$A$6:$A$40,0)),""))</f>
        <v>1500</v>
      </c>
      <c r="N10" s="32" t="n">
        <f aca="false">IF(Sezoane!$A$11="","",IFERROR(INDEX('Date actuale'!$E$6:$E$40,MATCH(A10,'Date actuale'!$A$6:$A$40,0)),""))</f>
        <v>1500</v>
      </c>
      <c r="O10" s="25" t="str">
        <f aca="false">IF(Sezoane!$A$11="","",Sezoane!M11)</f>
        <v>Flexibil 14 zile</v>
      </c>
      <c r="P10" s="28" t="str">
        <f aca="false">IF(OR(Sezoane!$A$11="",N(Sezoane!O11)=0),"",Sezoane!O11)</f>
        <v/>
      </c>
      <c r="Q10" s="30" t="n">
        <f aca="false">IF(Sezoane!$A$11="","",IF(Platforme!$D$13=1,(G10*(1-Platforme!$D$14)-Platforme!$B$8)*(1-(Platforme!$D$11+Platforme!$D$12-Platforme!$D$11*Platforme!$D$12)),G10*(1-Platforme!$D$14)*(1-(Platforme!$D$11+Platforme!$D$12-Platforme!$D$11*Platforme!$D$12))-Platforme!$B$8))</f>
        <v>1337.8</v>
      </c>
      <c r="R10" s="31" t="n">
        <f aca="false">IF(Sezoane!$A$11="","",Q10/U10-1)</f>
        <v>0.00191868758915836</v>
      </c>
      <c r="S10" s="30" t="n">
        <f aca="false">IF(Sezoane!$A$11="","",G10*(1-Platforme!$B$28))</f>
        <v>1394</v>
      </c>
      <c r="T10" s="30" t="n">
        <f aca="false">IF(Sezoane!$A$11="","",IF(Platforme!$D$13=1,(S10*(1-Platforme!$D$14)-Platforme!$B$8)*(1-(Platforme!$D$11+Platforme!$D$12-Platforme!$D$11*Platforme!$D$12)),S10*(1-Platforme!$D$14)*(1-(Platforme!$D$11+Platforme!$D$12-Platforme!$D$11*Platforme!$D$12))-Platforme!$B$8))</f>
        <v>1129.93</v>
      </c>
      <c r="U10" s="33" t="n">
        <f aca="false">IF(Sezoane!$A$11="","",I10/(1+Platforme!$B$31))</f>
        <v>1335.2380952381</v>
      </c>
    </row>
    <row r="11" customFormat="false" ht="15" hidden="false" customHeight="false" outlineLevel="0" collapsed="false">
      <c r="A11" s="25" t="str">
        <f aca="false">IF(Sezoane!$A$12="","",Sezoane!A12)</f>
        <v/>
      </c>
      <c r="B11" s="26" t="str">
        <f aca="false">IF(Sezoane!$A$12="","",Sezoane!C12)</f>
        <v/>
      </c>
      <c r="C11" s="26" t="str">
        <f aca="false">IF(Sezoane!$A$12="","",Sezoane!D12)</f>
        <v/>
      </c>
      <c r="D11" s="25" t="str">
        <f aca="false">IF(Sezoane!$A$12="","",Sezoane!F12)</f>
        <v/>
      </c>
      <c r="E11" s="28" t="str">
        <f aca="false">IF(Sezoane!$A$12="","",Sezoane!E12)</f>
        <v/>
      </c>
      <c r="F11" s="29" t="str">
        <f aca="false">IF(Sezoane!$A$12="","",CEILING(IF(Platforme!$C$13=1,(((Sezoane!E12-Platforme!$B$8)*(1-(Platforme!$B$11+Platforme!$B$12-Platforme!$B$11*Platforme!$B$12))*1/(1+Platforme!$B$31))/(1-(Platforme!$C$11+Platforme!$C$12-Platforme!$C$11*Platforme!$C$12))+Platforme!$B$8)/(1-(Platforme!$C$14*Platforme!$C$15)),(((Sezoane!E12-Platforme!$B$8)*(1-(Platforme!$B$11+Platforme!$B$12-Platforme!$B$11*Platforme!$B$12))*1/(1+Platforme!$B$31))+Platforme!$B$8)/((1-(Platforme!$C$11+Platforme!$C$12-Platforme!$C$11*Platforme!$C$12))*(1-(Platforme!$C$14*Platforme!$C$15)))),Platforme!$C$16))</f>
        <v/>
      </c>
      <c r="G11" s="29" t="str">
        <f aca="false">IF(Sezoane!$A$12="","",IF(N(Sezoane!O12)=0,CEILING(IF(Platforme!$D$13=1,(((Sezoane!E12-Platforme!$B$8)*(1-(Platforme!$B$11+Platforme!$B$12-Platforme!$B$11*Platforme!$B$12))*1/(1+Platforme!$B$31))/(1-(Platforme!$D$11+Platforme!$D$12-Platforme!$D$11*Platforme!$D$12))+Platforme!$B$8)/(1-(Platforme!$D$14*Platforme!$D$15)),(((Sezoane!E12-Platforme!$B$8)*(1-(Platforme!$B$11+Platforme!$B$12-Platforme!$B$11*Platforme!$B$12))*1/(1+Platforme!$B$31))+Platforme!$B$8)/((1-(Platforme!$D$11+Platforme!$D$12-Platforme!$D$11*Platforme!$D$12))*(1-(Platforme!$D$14*Platforme!$D$15)))),Platforme!$D$16),MAX(CEILING(IF(Platforme!$D$13=1,(((Sezoane!E12-Platforme!$B$8)*(1-(Platforme!$B$11+Platforme!$B$12-Platforme!$B$11*Platforme!$B$12))*Platforme!$B$27*(1+Platforme!$B$31)/(1+Platforme!$B$31))/(1-(Platforme!$D$11+Platforme!$D$12-Platforme!$D$11*Platforme!$D$12))+Platforme!$B$8)/(1-(Platforme!$D$14*Platforme!$D$15)),(((Sezoane!E12-Platforme!$B$8)*(1-(Platforme!$B$11+Platforme!$B$12-Platforme!$B$11*Platforme!$B$12))*Platforme!$B$27*(1+Platforme!$B$31)/(1+Platforme!$B$31))+Platforme!$B$8)/((1-(Platforme!$D$11+Platforme!$D$12-Platforme!$D$11*Platforme!$D$12))*(1-(Platforme!$D$14*Platforme!$D$15)))),Platforme!$D$16),CEILING(CEILING(IF(Platforme!$D$13=1,(((Sezoane!E12-Platforme!$B$8)*(1-(Platforme!$B$11+Platforme!$B$12-Platforme!$B$11*Platforme!$B$12))*1/(1+Platforme!$B$31))/(1-(Platforme!$D$11+Platforme!$D$12-Platforme!$D$11*Platforme!$D$12))+Platforme!$B$8)/(1-(Platforme!$D$14*Platforme!$D$15)),(((Sezoane!E12-Platforme!$B$8)*(1-(Platforme!$B$11+Platforme!$B$12-Platforme!$B$11*Platforme!$B$12))*1/(1+Platforme!$B$31))+Platforme!$B$8)/((1-(Platforme!$D$11+Platforme!$D$12-Platforme!$D$11*Platforme!$D$12))*(1-(Platforme!$D$14*Platforme!$D$15)))),Platforme!$D$16)*(1-Platforme!$B$26)+Sezoane!O12*Platforme!$B$26,Platforme!$D$16))))</f>
        <v/>
      </c>
      <c r="H11" s="29" t="str">
        <f aca="false">IF(Sezoane!$A$12="","",CEILING(IF(Platforme!$E$13=1,(((Sezoane!E12-Platforme!$B$8)*(1-(Platforme!$B$11+Platforme!$B$12-Platforme!$B$11*Platforme!$B$12))*1/(1+Platforme!$B$31))/(1-(Platforme!$E$11+Platforme!$E$12-Platforme!$E$11*Platforme!$E$12))+Platforme!$B$8)/(1-(Platforme!$E$14*Platforme!$E$15)),(((Sezoane!E12-Platforme!$B$8)*(1-(Platforme!$B$11+Platforme!$B$12-Platforme!$B$11*Platforme!$B$12))*1/(1+Platforme!$B$31))+Platforme!$B$8)/((1-(Platforme!$E$11+Platforme!$E$12-Platforme!$E$11*Platforme!$E$12))*(1-(Platforme!$E$14*Platforme!$E$15)))),Platforme!$E$16))</f>
        <v/>
      </c>
      <c r="I11" s="30" t="str">
        <f aca="false">IF(Sezoane!$A$12="","",(Sezoane!E12-Platforme!$B$8)*(1-(Platforme!$B$11+Platforme!$B$12-Platforme!$B$11*Platforme!$B$12)))</f>
        <v/>
      </c>
      <c r="J11" s="30" t="str">
        <f aca="false">IF(Sezoane!$A$12="","",F11*(1-Platforme!$C$14))</f>
        <v/>
      </c>
      <c r="K11" s="31" t="str">
        <f aca="false">IF(Sezoane!$A$12="","",1-E11/MIN(J11,G11,H11))</f>
        <v/>
      </c>
      <c r="L11" s="32" t="str">
        <f aca="false">IF(Sezoane!$A$12="","",IFERROR(INDEX('Date actuale'!$C$6:$C$40,MATCH(A11,'Date actuale'!$A$6:$A$40,0)),""))</f>
        <v/>
      </c>
      <c r="M11" s="32" t="str">
        <f aca="false">IF(Sezoane!$A$12="","",IFERROR(INDEX('Date actuale'!$D$6:$D$40,MATCH(A11,'Date actuale'!$A$6:$A$40,0)),""))</f>
        <v/>
      </c>
      <c r="N11" s="32" t="str">
        <f aca="false">IF(Sezoane!$A$12="","",IFERROR(INDEX('Date actuale'!$E$6:$E$40,MATCH(A11,'Date actuale'!$A$6:$A$40,0)),""))</f>
        <v/>
      </c>
      <c r="O11" s="25" t="str">
        <f aca="false">IF(Sezoane!$A$12="","",Sezoane!M12)</f>
        <v/>
      </c>
      <c r="P11" s="28" t="str">
        <f aca="false">IF(OR(Sezoane!$A$12="",N(Sezoane!O12)=0),"",Sezoane!O12)</f>
        <v/>
      </c>
      <c r="Q11" s="30" t="str">
        <f aca="false">IF(Sezoane!$A$12="","",IF(Platforme!$D$13=1,(G11*(1-Platforme!$D$14)-Platforme!$B$8)*(1-(Platforme!$D$11+Platforme!$D$12-Platforme!$D$11*Platforme!$D$12)),G11*(1-Platforme!$D$14)*(1-(Platforme!$D$11+Platforme!$D$12-Platforme!$D$11*Platforme!$D$12))-Platforme!$B$8))</f>
        <v/>
      </c>
      <c r="R11" s="31" t="str">
        <f aca="false">IF(Sezoane!$A$12="","",Q11/U11-1)</f>
        <v/>
      </c>
      <c r="S11" s="30" t="str">
        <f aca="false">IF(Sezoane!$A$12="","",G11*(1-Platforme!$B$28))</f>
        <v/>
      </c>
      <c r="T11" s="30" t="str">
        <f aca="false">IF(Sezoane!$A$12="","",IF(Platforme!$D$13=1,(S11*(1-Platforme!$D$14)-Platforme!$B$8)*(1-(Platforme!$D$11+Platforme!$D$12-Platforme!$D$11*Platforme!$D$12)),S11*(1-Platforme!$D$14)*(1-(Platforme!$D$11+Platforme!$D$12-Platforme!$D$11*Platforme!$D$12))-Platforme!$B$8))</f>
        <v/>
      </c>
      <c r="U11" s="33" t="str">
        <f aca="false">IF(Sezoane!$A$12="","",I11/(1+Platforme!$B$31))</f>
        <v/>
      </c>
    </row>
    <row r="12" customFormat="false" ht="15" hidden="false" customHeight="false" outlineLevel="0" collapsed="false">
      <c r="A12" s="25" t="str">
        <f aca="false">IF(Sezoane!$A$13="","",Sezoane!A13)</f>
        <v/>
      </c>
      <c r="B12" s="26" t="str">
        <f aca="false">IF(Sezoane!$A$13="","",Sezoane!C13)</f>
        <v/>
      </c>
      <c r="C12" s="26" t="str">
        <f aca="false">IF(Sezoane!$A$13="","",Sezoane!D13)</f>
        <v/>
      </c>
      <c r="D12" s="25" t="str">
        <f aca="false">IF(Sezoane!$A$13="","",Sezoane!F13)</f>
        <v/>
      </c>
      <c r="E12" s="28" t="str">
        <f aca="false">IF(Sezoane!$A$13="","",Sezoane!E13)</f>
        <v/>
      </c>
      <c r="F12" s="29" t="str">
        <f aca="false">IF(Sezoane!$A$13="","",CEILING(IF(Platforme!$C$13=1,(((Sezoane!E13-Platforme!$B$8)*(1-(Platforme!$B$11+Platforme!$B$12-Platforme!$B$11*Platforme!$B$12))*1/(1+Platforme!$B$31))/(1-(Platforme!$C$11+Platforme!$C$12-Platforme!$C$11*Platforme!$C$12))+Platforme!$B$8)/(1-(Platforme!$C$14*Platforme!$C$15)),(((Sezoane!E13-Platforme!$B$8)*(1-(Platforme!$B$11+Platforme!$B$12-Platforme!$B$11*Platforme!$B$12))*1/(1+Platforme!$B$31))+Platforme!$B$8)/((1-(Platforme!$C$11+Platforme!$C$12-Platforme!$C$11*Platforme!$C$12))*(1-(Platforme!$C$14*Platforme!$C$15)))),Platforme!$C$16))</f>
        <v/>
      </c>
      <c r="G12" s="29" t="str">
        <f aca="false">IF(Sezoane!$A$13="","",IF(N(Sezoane!O13)=0,CEILING(IF(Platforme!$D$13=1,(((Sezoane!E13-Platforme!$B$8)*(1-(Platforme!$B$11+Platforme!$B$12-Platforme!$B$11*Platforme!$B$12))*1/(1+Platforme!$B$31))/(1-(Platforme!$D$11+Platforme!$D$12-Platforme!$D$11*Platforme!$D$12))+Platforme!$B$8)/(1-(Platforme!$D$14*Platforme!$D$15)),(((Sezoane!E13-Platforme!$B$8)*(1-(Platforme!$B$11+Platforme!$B$12-Platforme!$B$11*Platforme!$B$12))*1/(1+Platforme!$B$31))+Platforme!$B$8)/((1-(Platforme!$D$11+Platforme!$D$12-Platforme!$D$11*Platforme!$D$12))*(1-(Platforme!$D$14*Platforme!$D$15)))),Platforme!$D$16),MAX(CEILING(IF(Platforme!$D$13=1,(((Sezoane!E13-Platforme!$B$8)*(1-(Platforme!$B$11+Platforme!$B$12-Platforme!$B$11*Platforme!$B$12))*Platforme!$B$27*(1+Platforme!$B$31)/(1+Platforme!$B$31))/(1-(Platforme!$D$11+Platforme!$D$12-Platforme!$D$11*Platforme!$D$12))+Platforme!$B$8)/(1-(Platforme!$D$14*Platforme!$D$15)),(((Sezoane!E13-Platforme!$B$8)*(1-(Platforme!$B$11+Platforme!$B$12-Platforme!$B$11*Platforme!$B$12))*Platforme!$B$27*(1+Platforme!$B$31)/(1+Platforme!$B$31))+Platforme!$B$8)/((1-(Platforme!$D$11+Platforme!$D$12-Platforme!$D$11*Platforme!$D$12))*(1-(Platforme!$D$14*Platforme!$D$15)))),Platforme!$D$16),CEILING(CEILING(IF(Platforme!$D$13=1,(((Sezoane!E13-Platforme!$B$8)*(1-(Platforme!$B$11+Platforme!$B$12-Platforme!$B$11*Platforme!$B$12))*1/(1+Platforme!$B$31))/(1-(Platforme!$D$11+Platforme!$D$12-Platforme!$D$11*Platforme!$D$12))+Platforme!$B$8)/(1-(Platforme!$D$14*Platforme!$D$15)),(((Sezoane!E13-Platforme!$B$8)*(1-(Platforme!$B$11+Platforme!$B$12-Platforme!$B$11*Platforme!$B$12))*1/(1+Platforme!$B$31))+Platforme!$B$8)/((1-(Platforme!$D$11+Platforme!$D$12-Platforme!$D$11*Platforme!$D$12))*(1-(Platforme!$D$14*Platforme!$D$15)))),Platforme!$D$16)*(1-Platforme!$B$26)+Sezoane!O13*Platforme!$B$26,Platforme!$D$16))))</f>
        <v/>
      </c>
      <c r="H12" s="29" t="str">
        <f aca="false">IF(Sezoane!$A$13="","",CEILING(IF(Platforme!$E$13=1,(((Sezoane!E13-Platforme!$B$8)*(1-(Platforme!$B$11+Platforme!$B$12-Platforme!$B$11*Platforme!$B$12))*1/(1+Platforme!$B$31))/(1-(Platforme!$E$11+Platforme!$E$12-Platforme!$E$11*Platforme!$E$12))+Platforme!$B$8)/(1-(Platforme!$E$14*Platforme!$E$15)),(((Sezoane!E13-Platforme!$B$8)*(1-(Platforme!$B$11+Platforme!$B$12-Platforme!$B$11*Platforme!$B$12))*1/(1+Platforme!$B$31))+Platforme!$B$8)/((1-(Platforme!$E$11+Platforme!$E$12-Platforme!$E$11*Platforme!$E$12))*(1-(Platforme!$E$14*Platforme!$E$15)))),Platforme!$E$16))</f>
        <v/>
      </c>
      <c r="I12" s="30" t="str">
        <f aca="false">IF(Sezoane!$A$13="","",(Sezoane!E13-Platforme!$B$8)*(1-(Platforme!$B$11+Platforme!$B$12-Platforme!$B$11*Platforme!$B$12)))</f>
        <v/>
      </c>
      <c r="J12" s="30" t="str">
        <f aca="false">IF(Sezoane!$A$13="","",F12*(1-Platforme!$C$14))</f>
        <v/>
      </c>
      <c r="K12" s="31" t="str">
        <f aca="false">IF(Sezoane!$A$13="","",1-E12/MIN(J12,G12,H12))</f>
        <v/>
      </c>
      <c r="L12" s="32" t="str">
        <f aca="false">IF(Sezoane!$A$13="","",IFERROR(INDEX('Date actuale'!$C$6:$C$40,MATCH(A12,'Date actuale'!$A$6:$A$40,0)),""))</f>
        <v/>
      </c>
      <c r="M12" s="32" t="str">
        <f aca="false">IF(Sezoane!$A$13="","",IFERROR(INDEX('Date actuale'!$D$6:$D$40,MATCH(A12,'Date actuale'!$A$6:$A$40,0)),""))</f>
        <v/>
      </c>
      <c r="N12" s="32" t="str">
        <f aca="false">IF(Sezoane!$A$13="","",IFERROR(INDEX('Date actuale'!$E$6:$E$40,MATCH(A12,'Date actuale'!$A$6:$A$40,0)),""))</f>
        <v/>
      </c>
      <c r="O12" s="25" t="str">
        <f aca="false">IF(Sezoane!$A$13="","",Sezoane!M13)</f>
        <v/>
      </c>
      <c r="P12" s="28" t="str">
        <f aca="false">IF(OR(Sezoane!$A$13="",N(Sezoane!O13)=0),"",Sezoane!O13)</f>
        <v/>
      </c>
      <c r="Q12" s="30" t="str">
        <f aca="false">IF(Sezoane!$A$13="","",IF(Platforme!$D$13=1,(G12*(1-Platforme!$D$14)-Platforme!$B$8)*(1-(Platforme!$D$11+Platforme!$D$12-Platforme!$D$11*Platforme!$D$12)),G12*(1-Platforme!$D$14)*(1-(Platforme!$D$11+Platforme!$D$12-Platforme!$D$11*Platforme!$D$12))-Platforme!$B$8))</f>
        <v/>
      </c>
      <c r="R12" s="31" t="str">
        <f aca="false">IF(Sezoane!$A$13="","",Q12/U12-1)</f>
        <v/>
      </c>
      <c r="S12" s="30" t="str">
        <f aca="false">IF(Sezoane!$A$13="","",G12*(1-Platforme!$B$28))</f>
        <v/>
      </c>
      <c r="T12" s="30" t="str">
        <f aca="false">IF(Sezoane!$A$13="","",IF(Platforme!$D$13=1,(S12*(1-Platforme!$D$14)-Platforme!$B$8)*(1-(Platforme!$D$11+Platforme!$D$12-Platforme!$D$11*Platforme!$D$12)),S12*(1-Platforme!$D$14)*(1-(Platforme!$D$11+Platforme!$D$12-Platforme!$D$11*Platforme!$D$12))-Platforme!$B$8))</f>
        <v/>
      </c>
      <c r="U12" s="33" t="str">
        <f aca="false">IF(Sezoane!$A$13="","",I12/(1+Platforme!$B$31))</f>
        <v/>
      </c>
    </row>
    <row r="13" customFormat="false" ht="15" hidden="false" customHeight="false" outlineLevel="0" collapsed="false">
      <c r="A13" s="25" t="str">
        <f aca="false">IF(Sezoane!$A$14="","",Sezoane!A14)</f>
        <v/>
      </c>
      <c r="B13" s="26" t="str">
        <f aca="false">IF(Sezoane!$A$14="","",Sezoane!C14)</f>
        <v/>
      </c>
      <c r="C13" s="26" t="str">
        <f aca="false">IF(Sezoane!$A$14="","",Sezoane!D14)</f>
        <v/>
      </c>
      <c r="D13" s="25" t="str">
        <f aca="false">IF(Sezoane!$A$14="","",Sezoane!F14)</f>
        <v/>
      </c>
      <c r="E13" s="28" t="str">
        <f aca="false">IF(Sezoane!$A$14="","",Sezoane!E14)</f>
        <v/>
      </c>
      <c r="F13" s="29" t="str">
        <f aca="false">IF(Sezoane!$A$14="","",CEILING(IF(Platforme!$C$13=1,(((Sezoane!E14-Platforme!$B$8)*(1-(Platforme!$B$11+Platforme!$B$12-Platforme!$B$11*Platforme!$B$12))*1/(1+Platforme!$B$31))/(1-(Platforme!$C$11+Platforme!$C$12-Platforme!$C$11*Platforme!$C$12))+Platforme!$B$8)/(1-(Platforme!$C$14*Platforme!$C$15)),(((Sezoane!E14-Platforme!$B$8)*(1-(Platforme!$B$11+Platforme!$B$12-Platforme!$B$11*Platforme!$B$12))*1/(1+Platforme!$B$31))+Platforme!$B$8)/((1-(Platforme!$C$11+Platforme!$C$12-Platforme!$C$11*Platforme!$C$12))*(1-(Platforme!$C$14*Platforme!$C$15)))),Platforme!$C$16))</f>
        <v/>
      </c>
      <c r="G13" s="29" t="str">
        <f aca="false">IF(Sezoane!$A$14="","",IF(N(Sezoane!O14)=0,CEILING(IF(Platforme!$D$13=1,(((Sezoane!E14-Platforme!$B$8)*(1-(Platforme!$B$11+Platforme!$B$12-Platforme!$B$11*Platforme!$B$12))*1/(1+Platforme!$B$31))/(1-(Platforme!$D$11+Platforme!$D$12-Platforme!$D$11*Platforme!$D$12))+Platforme!$B$8)/(1-(Platforme!$D$14*Platforme!$D$15)),(((Sezoane!E14-Platforme!$B$8)*(1-(Platforme!$B$11+Platforme!$B$12-Platforme!$B$11*Platforme!$B$12))*1/(1+Platforme!$B$31))+Platforme!$B$8)/((1-(Platforme!$D$11+Platforme!$D$12-Platforme!$D$11*Platforme!$D$12))*(1-(Platforme!$D$14*Platforme!$D$15)))),Platforme!$D$16),MAX(CEILING(IF(Platforme!$D$13=1,(((Sezoane!E14-Platforme!$B$8)*(1-(Platforme!$B$11+Platforme!$B$12-Platforme!$B$11*Platforme!$B$12))*Platforme!$B$27*(1+Platforme!$B$31)/(1+Platforme!$B$31))/(1-(Platforme!$D$11+Platforme!$D$12-Platforme!$D$11*Platforme!$D$12))+Platforme!$B$8)/(1-(Platforme!$D$14*Platforme!$D$15)),(((Sezoane!E14-Platforme!$B$8)*(1-(Platforme!$B$11+Platforme!$B$12-Platforme!$B$11*Platforme!$B$12))*Platforme!$B$27*(1+Platforme!$B$31)/(1+Platforme!$B$31))+Platforme!$B$8)/((1-(Platforme!$D$11+Platforme!$D$12-Platforme!$D$11*Platforme!$D$12))*(1-(Platforme!$D$14*Platforme!$D$15)))),Platforme!$D$16),CEILING(CEILING(IF(Platforme!$D$13=1,(((Sezoane!E14-Platforme!$B$8)*(1-(Platforme!$B$11+Platforme!$B$12-Platforme!$B$11*Platforme!$B$12))*1/(1+Platforme!$B$31))/(1-(Platforme!$D$11+Platforme!$D$12-Platforme!$D$11*Platforme!$D$12))+Platforme!$B$8)/(1-(Platforme!$D$14*Platforme!$D$15)),(((Sezoane!E14-Platforme!$B$8)*(1-(Platforme!$B$11+Platforme!$B$12-Platforme!$B$11*Platforme!$B$12))*1/(1+Platforme!$B$31))+Platforme!$B$8)/((1-(Platforme!$D$11+Platforme!$D$12-Platforme!$D$11*Platforme!$D$12))*(1-(Platforme!$D$14*Platforme!$D$15)))),Platforme!$D$16)*(1-Platforme!$B$26)+Sezoane!O14*Platforme!$B$26,Platforme!$D$16))))</f>
        <v/>
      </c>
      <c r="H13" s="29" t="str">
        <f aca="false">IF(Sezoane!$A$14="","",CEILING(IF(Platforme!$E$13=1,(((Sezoane!E14-Platforme!$B$8)*(1-(Platforme!$B$11+Platforme!$B$12-Platforme!$B$11*Platforme!$B$12))*1/(1+Platforme!$B$31))/(1-(Platforme!$E$11+Platforme!$E$12-Platforme!$E$11*Platforme!$E$12))+Platforme!$B$8)/(1-(Platforme!$E$14*Platforme!$E$15)),(((Sezoane!E14-Platforme!$B$8)*(1-(Platforme!$B$11+Platforme!$B$12-Platforme!$B$11*Platforme!$B$12))*1/(1+Platforme!$B$31))+Platforme!$B$8)/((1-(Platforme!$E$11+Platforme!$E$12-Platforme!$E$11*Platforme!$E$12))*(1-(Platforme!$E$14*Platforme!$E$15)))),Platforme!$E$16))</f>
        <v/>
      </c>
      <c r="I13" s="30" t="str">
        <f aca="false">IF(Sezoane!$A$14="","",(Sezoane!E14-Platforme!$B$8)*(1-(Platforme!$B$11+Platforme!$B$12-Platforme!$B$11*Platforme!$B$12)))</f>
        <v/>
      </c>
      <c r="J13" s="30" t="str">
        <f aca="false">IF(Sezoane!$A$14="","",F13*(1-Platforme!$C$14))</f>
        <v/>
      </c>
      <c r="K13" s="31" t="str">
        <f aca="false">IF(Sezoane!$A$14="","",1-E13/MIN(J13,G13,H13))</f>
        <v/>
      </c>
      <c r="L13" s="32" t="str">
        <f aca="false">IF(Sezoane!$A$14="","",IFERROR(INDEX('Date actuale'!$C$6:$C$40,MATCH(A13,'Date actuale'!$A$6:$A$40,0)),""))</f>
        <v/>
      </c>
      <c r="M13" s="32" t="str">
        <f aca="false">IF(Sezoane!$A$14="","",IFERROR(INDEX('Date actuale'!$D$6:$D$40,MATCH(A13,'Date actuale'!$A$6:$A$40,0)),""))</f>
        <v/>
      </c>
      <c r="N13" s="32" t="str">
        <f aca="false">IF(Sezoane!$A$14="","",IFERROR(INDEX('Date actuale'!$E$6:$E$40,MATCH(A13,'Date actuale'!$A$6:$A$40,0)),""))</f>
        <v/>
      </c>
      <c r="O13" s="25" t="str">
        <f aca="false">IF(Sezoane!$A$14="","",Sezoane!M14)</f>
        <v/>
      </c>
      <c r="P13" s="28" t="str">
        <f aca="false">IF(OR(Sezoane!$A$14="",N(Sezoane!O14)=0),"",Sezoane!O14)</f>
        <v/>
      </c>
      <c r="Q13" s="30" t="str">
        <f aca="false">IF(Sezoane!$A$14="","",IF(Platforme!$D$13=1,(G13*(1-Platforme!$D$14)-Platforme!$B$8)*(1-(Platforme!$D$11+Platforme!$D$12-Platforme!$D$11*Platforme!$D$12)),G13*(1-Platforme!$D$14)*(1-(Platforme!$D$11+Platforme!$D$12-Platforme!$D$11*Platforme!$D$12))-Platforme!$B$8))</f>
        <v/>
      </c>
      <c r="R13" s="31" t="str">
        <f aca="false">IF(Sezoane!$A$14="","",Q13/U13-1)</f>
        <v/>
      </c>
      <c r="S13" s="30" t="str">
        <f aca="false">IF(Sezoane!$A$14="","",G13*(1-Platforme!$B$28))</f>
        <v/>
      </c>
      <c r="T13" s="30" t="str">
        <f aca="false">IF(Sezoane!$A$14="","",IF(Platforme!$D$13=1,(S13*(1-Platforme!$D$14)-Platforme!$B$8)*(1-(Platforme!$D$11+Platforme!$D$12-Platforme!$D$11*Platforme!$D$12)),S13*(1-Platforme!$D$14)*(1-(Platforme!$D$11+Platforme!$D$12-Platforme!$D$11*Platforme!$D$12))-Platforme!$B$8))</f>
        <v/>
      </c>
      <c r="U13" s="33" t="str">
        <f aca="false">IF(Sezoane!$A$14="","",I13/(1+Platforme!$B$31))</f>
        <v/>
      </c>
    </row>
    <row r="14" customFormat="false" ht="15" hidden="false" customHeight="false" outlineLevel="0" collapsed="false">
      <c r="A14" s="25" t="str">
        <f aca="false">IF(Sezoane!$A$15="","",Sezoane!A15)</f>
        <v/>
      </c>
      <c r="B14" s="26" t="str">
        <f aca="false">IF(Sezoane!$A$15="","",Sezoane!C15)</f>
        <v/>
      </c>
      <c r="C14" s="26" t="str">
        <f aca="false">IF(Sezoane!$A$15="","",Sezoane!D15)</f>
        <v/>
      </c>
      <c r="D14" s="25" t="str">
        <f aca="false">IF(Sezoane!$A$15="","",Sezoane!F15)</f>
        <v/>
      </c>
      <c r="E14" s="28" t="str">
        <f aca="false">IF(Sezoane!$A$15="","",Sezoane!E15)</f>
        <v/>
      </c>
      <c r="F14" s="29" t="str">
        <f aca="false">IF(Sezoane!$A$15="","",CEILING(IF(Platforme!$C$13=1,(((Sezoane!E15-Platforme!$B$8)*(1-(Platforme!$B$11+Platforme!$B$12-Platforme!$B$11*Platforme!$B$12))*1/(1+Platforme!$B$31))/(1-(Platforme!$C$11+Platforme!$C$12-Platforme!$C$11*Platforme!$C$12))+Platforme!$B$8)/(1-(Platforme!$C$14*Platforme!$C$15)),(((Sezoane!E15-Platforme!$B$8)*(1-(Platforme!$B$11+Platforme!$B$12-Platforme!$B$11*Platforme!$B$12))*1/(1+Platforme!$B$31))+Platforme!$B$8)/((1-(Platforme!$C$11+Platforme!$C$12-Platforme!$C$11*Platforme!$C$12))*(1-(Platforme!$C$14*Platforme!$C$15)))),Platforme!$C$16))</f>
        <v/>
      </c>
      <c r="G14" s="29" t="str">
        <f aca="false">IF(Sezoane!$A$15="","",IF(N(Sezoane!O15)=0,CEILING(IF(Platforme!$D$13=1,(((Sezoane!E15-Platforme!$B$8)*(1-(Platforme!$B$11+Platforme!$B$12-Platforme!$B$11*Platforme!$B$12))*1/(1+Platforme!$B$31))/(1-(Platforme!$D$11+Platforme!$D$12-Platforme!$D$11*Platforme!$D$12))+Platforme!$B$8)/(1-(Platforme!$D$14*Platforme!$D$15)),(((Sezoane!E15-Platforme!$B$8)*(1-(Platforme!$B$11+Platforme!$B$12-Platforme!$B$11*Platforme!$B$12))*1/(1+Platforme!$B$31))+Platforme!$B$8)/((1-(Platforme!$D$11+Platforme!$D$12-Platforme!$D$11*Platforme!$D$12))*(1-(Platforme!$D$14*Platforme!$D$15)))),Platforme!$D$16),MAX(CEILING(IF(Platforme!$D$13=1,(((Sezoane!E15-Platforme!$B$8)*(1-(Platforme!$B$11+Platforme!$B$12-Platforme!$B$11*Platforme!$B$12))*Platforme!$B$27*(1+Platforme!$B$31)/(1+Platforme!$B$31))/(1-(Platforme!$D$11+Platforme!$D$12-Platforme!$D$11*Platforme!$D$12))+Platforme!$B$8)/(1-(Platforme!$D$14*Platforme!$D$15)),(((Sezoane!E15-Platforme!$B$8)*(1-(Platforme!$B$11+Platforme!$B$12-Platforme!$B$11*Platforme!$B$12))*Platforme!$B$27*(1+Platforme!$B$31)/(1+Platforme!$B$31))+Platforme!$B$8)/((1-(Platforme!$D$11+Platforme!$D$12-Platforme!$D$11*Platforme!$D$12))*(1-(Platforme!$D$14*Platforme!$D$15)))),Platforme!$D$16),CEILING(CEILING(IF(Platforme!$D$13=1,(((Sezoane!E15-Platforme!$B$8)*(1-(Platforme!$B$11+Platforme!$B$12-Platforme!$B$11*Platforme!$B$12))*1/(1+Platforme!$B$31))/(1-(Platforme!$D$11+Platforme!$D$12-Platforme!$D$11*Platforme!$D$12))+Platforme!$B$8)/(1-(Platforme!$D$14*Platforme!$D$15)),(((Sezoane!E15-Platforme!$B$8)*(1-(Platforme!$B$11+Platforme!$B$12-Platforme!$B$11*Platforme!$B$12))*1/(1+Platforme!$B$31))+Platforme!$B$8)/((1-(Platforme!$D$11+Platforme!$D$12-Platforme!$D$11*Platforme!$D$12))*(1-(Platforme!$D$14*Platforme!$D$15)))),Platforme!$D$16)*(1-Platforme!$B$26)+Sezoane!O15*Platforme!$B$26,Platforme!$D$16))))</f>
        <v/>
      </c>
      <c r="H14" s="29" t="str">
        <f aca="false">IF(Sezoane!$A$15="","",CEILING(IF(Platforme!$E$13=1,(((Sezoane!E15-Platforme!$B$8)*(1-(Platforme!$B$11+Platforme!$B$12-Platforme!$B$11*Platforme!$B$12))*1/(1+Platforme!$B$31))/(1-(Platforme!$E$11+Platforme!$E$12-Platforme!$E$11*Platforme!$E$12))+Platforme!$B$8)/(1-(Platforme!$E$14*Platforme!$E$15)),(((Sezoane!E15-Platforme!$B$8)*(1-(Platforme!$B$11+Platforme!$B$12-Platforme!$B$11*Platforme!$B$12))*1/(1+Platforme!$B$31))+Platforme!$B$8)/((1-(Platforme!$E$11+Platforme!$E$12-Platforme!$E$11*Platforme!$E$12))*(1-(Platforme!$E$14*Platforme!$E$15)))),Platforme!$E$16))</f>
        <v/>
      </c>
      <c r="I14" s="30" t="str">
        <f aca="false">IF(Sezoane!$A$15="","",(Sezoane!E15-Platforme!$B$8)*(1-(Platforme!$B$11+Platforme!$B$12-Platforme!$B$11*Platforme!$B$12)))</f>
        <v/>
      </c>
      <c r="J14" s="30" t="str">
        <f aca="false">IF(Sezoane!$A$15="","",F14*(1-Platforme!$C$14))</f>
        <v/>
      </c>
      <c r="K14" s="31" t="str">
        <f aca="false">IF(Sezoane!$A$15="","",1-E14/MIN(J14,G14,H14))</f>
        <v/>
      </c>
      <c r="L14" s="32" t="str">
        <f aca="false">IF(Sezoane!$A$15="","",IFERROR(INDEX('Date actuale'!$C$6:$C$40,MATCH(A14,'Date actuale'!$A$6:$A$40,0)),""))</f>
        <v/>
      </c>
      <c r="M14" s="32" t="str">
        <f aca="false">IF(Sezoane!$A$15="","",IFERROR(INDEX('Date actuale'!$D$6:$D$40,MATCH(A14,'Date actuale'!$A$6:$A$40,0)),""))</f>
        <v/>
      </c>
      <c r="N14" s="32" t="str">
        <f aca="false">IF(Sezoane!$A$15="","",IFERROR(INDEX('Date actuale'!$E$6:$E$40,MATCH(A14,'Date actuale'!$A$6:$A$40,0)),""))</f>
        <v/>
      </c>
      <c r="O14" s="25" t="str">
        <f aca="false">IF(Sezoane!$A$15="","",Sezoane!M15)</f>
        <v/>
      </c>
      <c r="P14" s="28" t="str">
        <f aca="false">IF(OR(Sezoane!$A$15="",N(Sezoane!O15)=0),"",Sezoane!O15)</f>
        <v/>
      </c>
      <c r="Q14" s="30" t="str">
        <f aca="false">IF(Sezoane!$A$15="","",IF(Platforme!$D$13=1,(G14*(1-Platforme!$D$14)-Platforme!$B$8)*(1-(Platforme!$D$11+Platforme!$D$12-Platforme!$D$11*Platforme!$D$12)),G14*(1-Platforme!$D$14)*(1-(Platforme!$D$11+Platforme!$D$12-Platforme!$D$11*Platforme!$D$12))-Platforme!$B$8))</f>
        <v/>
      </c>
      <c r="R14" s="31" t="str">
        <f aca="false">IF(Sezoane!$A$15="","",Q14/U14-1)</f>
        <v/>
      </c>
      <c r="S14" s="30" t="str">
        <f aca="false">IF(Sezoane!$A$15="","",G14*(1-Platforme!$B$28))</f>
        <v/>
      </c>
      <c r="T14" s="30" t="str">
        <f aca="false">IF(Sezoane!$A$15="","",IF(Platforme!$D$13=1,(S14*(1-Platforme!$D$14)-Platforme!$B$8)*(1-(Platforme!$D$11+Platforme!$D$12-Platforme!$D$11*Platforme!$D$12)),S14*(1-Platforme!$D$14)*(1-(Platforme!$D$11+Platforme!$D$12-Platforme!$D$11*Platforme!$D$12))-Platforme!$B$8))</f>
        <v/>
      </c>
      <c r="U14" s="33" t="str">
        <f aca="false">IF(Sezoane!$A$15="","",I14/(1+Platforme!$B$31))</f>
        <v/>
      </c>
    </row>
    <row r="15" customFormat="false" ht="15" hidden="false" customHeight="false" outlineLevel="0" collapsed="false">
      <c r="A15" s="25" t="str">
        <f aca="false">IF(Sezoane!$A$16="","",Sezoane!A16)</f>
        <v/>
      </c>
      <c r="B15" s="26" t="str">
        <f aca="false">IF(Sezoane!$A$16="","",Sezoane!C16)</f>
        <v/>
      </c>
      <c r="C15" s="26" t="str">
        <f aca="false">IF(Sezoane!$A$16="","",Sezoane!D16)</f>
        <v/>
      </c>
      <c r="D15" s="25" t="str">
        <f aca="false">IF(Sezoane!$A$16="","",Sezoane!F16)</f>
        <v/>
      </c>
      <c r="E15" s="28" t="str">
        <f aca="false">IF(Sezoane!$A$16="","",Sezoane!E16)</f>
        <v/>
      </c>
      <c r="F15" s="29" t="str">
        <f aca="false">IF(Sezoane!$A$16="","",CEILING(IF(Platforme!$C$13=1,(((Sezoane!E16-Platforme!$B$8)*(1-(Platforme!$B$11+Platforme!$B$12-Platforme!$B$11*Platforme!$B$12))*1/(1+Platforme!$B$31))/(1-(Platforme!$C$11+Platforme!$C$12-Platforme!$C$11*Platforme!$C$12))+Platforme!$B$8)/(1-(Platforme!$C$14*Platforme!$C$15)),(((Sezoane!E16-Platforme!$B$8)*(1-(Platforme!$B$11+Platforme!$B$12-Platforme!$B$11*Platforme!$B$12))*1/(1+Platforme!$B$31))+Platforme!$B$8)/((1-(Platforme!$C$11+Platforme!$C$12-Platforme!$C$11*Platforme!$C$12))*(1-(Platforme!$C$14*Platforme!$C$15)))),Platforme!$C$16))</f>
        <v/>
      </c>
      <c r="G15" s="29" t="str">
        <f aca="false">IF(Sezoane!$A$16="","",IF(N(Sezoane!O16)=0,CEILING(IF(Platforme!$D$13=1,(((Sezoane!E16-Platforme!$B$8)*(1-(Platforme!$B$11+Platforme!$B$12-Platforme!$B$11*Platforme!$B$12))*1/(1+Platforme!$B$31))/(1-(Platforme!$D$11+Platforme!$D$12-Platforme!$D$11*Platforme!$D$12))+Platforme!$B$8)/(1-(Platforme!$D$14*Platforme!$D$15)),(((Sezoane!E16-Platforme!$B$8)*(1-(Platforme!$B$11+Platforme!$B$12-Platforme!$B$11*Platforme!$B$12))*1/(1+Platforme!$B$31))+Platforme!$B$8)/((1-(Platforme!$D$11+Platforme!$D$12-Platforme!$D$11*Platforme!$D$12))*(1-(Platforme!$D$14*Platforme!$D$15)))),Platforme!$D$16),MAX(CEILING(IF(Platforme!$D$13=1,(((Sezoane!E16-Platforme!$B$8)*(1-(Platforme!$B$11+Platforme!$B$12-Platforme!$B$11*Platforme!$B$12))*Platforme!$B$27*(1+Platforme!$B$31)/(1+Platforme!$B$31))/(1-(Platforme!$D$11+Platforme!$D$12-Platforme!$D$11*Platforme!$D$12))+Platforme!$B$8)/(1-(Platforme!$D$14*Platforme!$D$15)),(((Sezoane!E16-Platforme!$B$8)*(1-(Platforme!$B$11+Platforme!$B$12-Platforme!$B$11*Platforme!$B$12))*Platforme!$B$27*(1+Platforme!$B$31)/(1+Platforme!$B$31))+Platforme!$B$8)/((1-(Platforme!$D$11+Platforme!$D$12-Platforme!$D$11*Platforme!$D$12))*(1-(Platforme!$D$14*Platforme!$D$15)))),Platforme!$D$16),CEILING(CEILING(IF(Platforme!$D$13=1,(((Sezoane!E16-Platforme!$B$8)*(1-(Platforme!$B$11+Platforme!$B$12-Platforme!$B$11*Platforme!$B$12))*1/(1+Platforme!$B$31))/(1-(Platforme!$D$11+Platforme!$D$12-Platforme!$D$11*Platforme!$D$12))+Platforme!$B$8)/(1-(Platforme!$D$14*Platforme!$D$15)),(((Sezoane!E16-Platforme!$B$8)*(1-(Platforme!$B$11+Platforme!$B$12-Platforme!$B$11*Platforme!$B$12))*1/(1+Platforme!$B$31))+Platforme!$B$8)/((1-(Platforme!$D$11+Platforme!$D$12-Platforme!$D$11*Platforme!$D$12))*(1-(Platforme!$D$14*Platforme!$D$15)))),Platforme!$D$16)*(1-Platforme!$B$26)+Sezoane!O16*Platforme!$B$26,Platforme!$D$16))))</f>
        <v/>
      </c>
      <c r="H15" s="29" t="str">
        <f aca="false">IF(Sezoane!$A$16="","",CEILING(IF(Platforme!$E$13=1,(((Sezoane!E16-Platforme!$B$8)*(1-(Platforme!$B$11+Platforme!$B$12-Platforme!$B$11*Platforme!$B$12))*1/(1+Platforme!$B$31))/(1-(Platforme!$E$11+Platforme!$E$12-Platforme!$E$11*Platforme!$E$12))+Platforme!$B$8)/(1-(Platforme!$E$14*Platforme!$E$15)),(((Sezoane!E16-Platforme!$B$8)*(1-(Platforme!$B$11+Platforme!$B$12-Platforme!$B$11*Platforme!$B$12))*1/(1+Platforme!$B$31))+Platforme!$B$8)/((1-(Platforme!$E$11+Platforme!$E$12-Platforme!$E$11*Platforme!$E$12))*(1-(Platforme!$E$14*Platforme!$E$15)))),Platforme!$E$16))</f>
        <v/>
      </c>
      <c r="I15" s="30" t="str">
        <f aca="false">IF(Sezoane!$A$16="","",(Sezoane!E16-Platforme!$B$8)*(1-(Platforme!$B$11+Platforme!$B$12-Platforme!$B$11*Platforme!$B$12)))</f>
        <v/>
      </c>
      <c r="J15" s="30" t="str">
        <f aca="false">IF(Sezoane!$A$16="","",F15*(1-Platforme!$C$14))</f>
        <v/>
      </c>
      <c r="K15" s="31" t="str">
        <f aca="false">IF(Sezoane!$A$16="","",1-E15/MIN(J15,G15,H15))</f>
        <v/>
      </c>
      <c r="L15" s="32" t="str">
        <f aca="false">IF(Sezoane!$A$16="","",IFERROR(INDEX('Date actuale'!$C$6:$C$40,MATCH(A15,'Date actuale'!$A$6:$A$40,0)),""))</f>
        <v/>
      </c>
      <c r="M15" s="32" t="str">
        <f aca="false">IF(Sezoane!$A$16="","",IFERROR(INDEX('Date actuale'!$D$6:$D$40,MATCH(A15,'Date actuale'!$A$6:$A$40,0)),""))</f>
        <v/>
      </c>
      <c r="N15" s="32" t="str">
        <f aca="false">IF(Sezoane!$A$16="","",IFERROR(INDEX('Date actuale'!$E$6:$E$40,MATCH(A15,'Date actuale'!$A$6:$A$40,0)),""))</f>
        <v/>
      </c>
      <c r="O15" s="25" t="str">
        <f aca="false">IF(Sezoane!$A$16="","",Sezoane!M16)</f>
        <v/>
      </c>
      <c r="P15" s="28" t="str">
        <f aca="false">IF(OR(Sezoane!$A$16="",N(Sezoane!O16)=0),"",Sezoane!O16)</f>
        <v/>
      </c>
      <c r="Q15" s="30" t="str">
        <f aca="false">IF(Sezoane!$A$16="","",IF(Platforme!$D$13=1,(G15*(1-Platforme!$D$14)-Platforme!$B$8)*(1-(Platforme!$D$11+Platforme!$D$12-Platforme!$D$11*Platforme!$D$12)),G15*(1-Platforme!$D$14)*(1-(Platforme!$D$11+Platforme!$D$12-Platforme!$D$11*Platforme!$D$12))-Platforme!$B$8))</f>
        <v/>
      </c>
      <c r="R15" s="31" t="str">
        <f aca="false">IF(Sezoane!$A$16="","",Q15/U15-1)</f>
        <v/>
      </c>
      <c r="S15" s="30" t="str">
        <f aca="false">IF(Sezoane!$A$16="","",G15*(1-Platforme!$B$28))</f>
        <v/>
      </c>
      <c r="T15" s="30" t="str">
        <f aca="false">IF(Sezoane!$A$16="","",IF(Platforme!$D$13=1,(S15*(1-Platforme!$D$14)-Platforme!$B$8)*(1-(Platforme!$D$11+Platforme!$D$12-Platforme!$D$11*Platforme!$D$12)),S15*(1-Platforme!$D$14)*(1-(Platforme!$D$11+Platforme!$D$12-Platforme!$D$11*Platforme!$D$12))-Platforme!$B$8))</f>
        <v/>
      </c>
      <c r="U15" s="33" t="str">
        <f aca="false">IF(Sezoane!$A$16="","",I15/(1+Platforme!$B$31))</f>
        <v/>
      </c>
    </row>
    <row r="16" customFormat="false" ht="15" hidden="false" customHeight="false" outlineLevel="0" collapsed="false">
      <c r="A16" s="25" t="str">
        <f aca="false">IF(Sezoane!$A$17="","",Sezoane!A17)</f>
        <v/>
      </c>
      <c r="B16" s="26" t="str">
        <f aca="false">IF(Sezoane!$A$17="","",Sezoane!C17)</f>
        <v/>
      </c>
      <c r="C16" s="26" t="str">
        <f aca="false">IF(Sezoane!$A$17="","",Sezoane!D17)</f>
        <v/>
      </c>
      <c r="D16" s="25" t="str">
        <f aca="false">IF(Sezoane!$A$17="","",Sezoane!F17)</f>
        <v/>
      </c>
      <c r="E16" s="28" t="str">
        <f aca="false">IF(Sezoane!$A$17="","",Sezoane!E17)</f>
        <v/>
      </c>
      <c r="F16" s="29" t="str">
        <f aca="false">IF(Sezoane!$A$17="","",CEILING(IF(Platforme!$C$13=1,(((Sezoane!E17-Platforme!$B$8)*(1-(Platforme!$B$11+Platforme!$B$12-Platforme!$B$11*Platforme!$B$12))*1/(1+Platforme!$B$31))/(1-(Platforme!$C$11+Platforme!$C$12-Platforme!$C$11*Platforme!$C$12))+Platforme!$B$8)/(1-(Platforme!$C$14*Platforme!$C$15)),(((Sezoane!E17-Platforme!$B$8)*(1-(Platforme!$B$11+Platforme!$B$12-Platforme!$B$11*Platforme!$B$12))*1/(1+Platforme!$B$31))+Platforme!$B$8)/((1-(Platforme!$C$11+Platforme!$C$12-Platforme!$C$11*Platforme!$C$12))*(1-(Platforme!$C$14*Platforme!$C$15)))),Platforme!$C$16))</f>
        <v/>
      </c>
      <c r="G16" s="29" t="str">
        <f aca="false">IF(Sezoane!$A$17="","",IF(N(Sezoane!O17)=0,CEILING(IF(Platforme!$D$13=1,(((Sezoane!E17-Platforme!$B$8)*(1-(Platforme!$B$11+Platforme!$B$12-Platforme!$B$11*Platforme!$B$12))*1/(1+Platforme!$B$31))/(1-(Platforme!$D$11+Platforme!$D$12-Platforme!$D$11*Platforme!$D$12))+Platforme!$B$8)/(1-(Platforme!$D$14*Platforme!$D$15)),(((Sezoane!E17-Platforme!$B$8)*(1-(Platforme!$B$11+Platforme!$B$12-Platforme!$B$11*Platforme!$B$12))*1/(1+Platforme!$B$31))+Platforme!$B$8)/((1-(Platforme!$D$11+Platforme!$D$12-Platforme!$D$11*Platforme!$D$12))*(1-(Platforme!$D$14*Platforme!$D$15)))),Platforme!$D$16),MAX(CEILING(IF(Platforme!$D$13=1,(((Sezoane!E17-Platforme!$B$8)*(1-(Platforme!$B$11+Platforme!$B$12-Platforme!$B$11*Platforme!$B$12))*Platforme!$B$27*(1+Platforme!$B$31)/(1+Platforme!$B$31))/(1-(Platforme!$D$11+Platforme!$D$12-Platforme!$D$11*Platforme!$D$12))+Platforme!$B$8)/(1-(Platforme!$D$14*Platforme!$D$15)),(((Sezoane!E17-Platforme!$B$8)*(1-(Platforme!$B$11+Platforme!$B$12-Platforme!$B$11*Platforme!$B$12))*Platforme!$B$27*(1+Platforme!$B$31)/(1+Platforme!$B$31))+Platforme!$B$8)/((1-(Platforme!$D$11+Platforme!$D$12-Platforme!$D$11*Platforme!$D$12))*(1-(Platforme!$D$14*Platforme!$D$15)))),Platforme!$D$16),CEILING(CEILING(IF(Platforme!$D$13=1,(((Sezoane!E17-Platforme!$B$8)*(1-(Platforme!$B$11+Platforme!$B$12-Platforme!$B$11*Platforme!$B$12))*1/(1+Platforme!$B$31))/(1-(Platforme!$D$11+Platforme!$D$12-Platforme!$D$11*Platforme!$D$12))+Platforme!$B$8)/(1-(Platforme!$D$14*Platforme!$D$15)),(((Sezoane!E17-Platforme!$B$8)*(1-(Platforme!$B$11+Platforme!$B$12-Platforme!$B$11*Platforme!$B$12))*1/(1+Platforme!$B$31))+Platforme!$B$8)/((1-(Platforme!$D$11+Platforme!$D$12-Platforme!$D$11*Platforme!$D$12))*(1-(Platforme!$D$14*Platforme!$D$15)))),Platforme!$D$16)*(1-Platforme!$B$26)+Sezoane!O17*Platforme!$B$26,Platforme!$D$16))))</f>
        <v/>
      </c>
      <c r="H16" s="29" t="str">
        <f aca="false">IF(Sezoane!$A$17="","",CEILING(IF(Platforme!$E$13=1,(((Sezoane!E17-Platforme!$B$8)*(1-(Platforme!$B$11+Platforme!$B$12-Platforme!$B$11*Platforme!$B$12))*1/(1+Platforme!$B$31))/(1-(Platforme!$E$11+Platforme!$E$12-Platforme!$E$11*Platforme!$E$12))+Platforme!$B$8)/(1-(Platforme!$E$14*Platforme!$E$15)),(((Sezoane!E17-Platforme!$B$8)*(1-(Platforme!$B$11+Platforme!$B$12-Platforme!$B$11*Platforme!$B$12))*1/(1+Platforme!$B$31))+Platforme!$B$8)/((1-(Platforme!$E$11+Platforme!$E$12-Platforme!$E$11*Platforme!$E$12))*(1-(Platforme!$E$14*Platforme!$E$15)))),Platforme!$E$16))</f>
        <v/>
      </c>
      <c r="I16" s="30" t="str">
        <f aca="false">IF(Sezoane!$A$17="","",(Sezoane!E17-Platforme!$B$8)*(1-(Platforme!$B$11+Platforme!$B$12-Platforme!$B$11*Platforme!$B$12)))</f>
        <v/>
      </c>
      <c r="J16" s="30" t="str">
        <f aca="false">IF(Sezoane!$A$17="","",F16*(1-Platforme!$C$14))</f>
        <v/>
      </c>
      <c r="K16" s="31" t="str">
        <f aca="false">IF(Sezoane!$A$17="","",1-E16/MIN(J16,G16,H16))</f>
        <v/>
      </c>
      <c r="L16" s="32" t="str">
        <f aca="false">IF(Sezoane!$A$17="","",IFERROR(INDEX('Date actuale'!$C$6:$C$40,MATCH(A16,'Date actuale'!$A$6:$A$40,0)),""))</f>
        <v/>
      </c>
      <c r="M16" s="32" t="str">
        <f aca="false">IF(Sezoane!$A$17="","",IFERROR(INDEX('Date actuale'!$D$6:$D$40,MATCH(A16,'Date actuale'!$A$6:$A$40,0)),""))</f>
        <v/>
      </c>
      <c r="N16" s="32" t="str">
        <f aca="false">IF(Sezoane!$A$17="","",IFERROR(INDEX('Date actuale'!$E$6:$E$40,MATCH(A16,'Date actuale'!$A$6:$A$40,0)),""))</f>
        <v/>
      </c>
      <c r="O16" s="25" t="str">
        <f aca="false">IF(Sezoane!$A$17="","",Sezoane!M17)</f>
        <v/>
      </c>
      <c r="P16" s="28" t="str">
        <f aca="false">IF(OR(Sezoane!$A$17="",N(Sezoane!O17)=0),"",Sezoane!O17)</f>
        <v/>
      </c>
      <c r="Q16" s="30" t="str">
        <f aca="false">IF(Sezoane!$A$17="","",IF(Platforme!$D$13=1,(G16*(1-Platforme!$D$14)-Platforme!$B$8)*(1-(Platforme!$D$11+Platforme!$D$12-Platforme!$D$11*Platforme!$D$12)),G16*(1-Platforme!$D$14)*(1-(Platforme!$D$11+Platforme!$D$12-Platforme!$D$11*Platforme!$D$12))-Platforme!$B$8))</f>
        <v/>
      </c>
      <c r="R16" s="31" t="str">
        <f aca="false">IF(Sezoane!$A$17="","",Q16/U16-1)</f>
        <v/>
      </c>
      <c r="S16" s="30" t="str">
        <f aca="false">IF(Sezoane!$A$17="","",G16*(1-Platforme!$B$28))</f>
        <v/>
      </c>
      <c r="T16" s="30" t="str">
        <f aca="false">IF(Sezoane!$A$17="","",IF(Platforme!$D$13=1,(S16*(1-Platforme!$D$14)-Platforme!$B$8)*(1-(Platforme!$D$11+Platforme!$D$12-Platforme!$D$11*Platforme!$D$12)),S16*(1-Platforme!$D$14)*(1-(Platforme!$D$11+Platforme!$D$12-Platforme!$D$11*Platforme!$D$12))-Platforme!$B$8))</f>
        <v/>
      </c>
      <c r="U16" s="33" t="str">
        <f aca="false">IF(Sezoane!$A$17="","",I16/(1+Platforme!$B$31))</f>
        <v/>
      </c>
    </row>
    <row r="17" customFormat="false" ht="15" hidden="false" customHeight="false" outlineLevel="0" collapsed="false">
      <c r="A17" s="25" t="str">
        <f aca="false">IF(Sezoane!$A$18="","",Sezoane!A18)</f>
        <v/>
      </c>
      <c r="B17" s="26" t="str">
        <f aca="false">IF(Sezoane!$A$18="","",Sezoane!C18)</f>
        <v/>
      </c>
      <c r="C17" s="26" t="str">
        <f aca="false">IF(Sezoane!$A$18="","",Sezoane!D18)</f>
        <v/>
      </c>
      <c r="D17" s="25" t="str">
        <f aca="false">IF(Sezoane!$A$18="","",Sezoane!F18)</f>
        <v/>
      </c>
      <c r="E17" s="28" t="str">
        <f aca="false">IF(Sezoane!$A$18="","",Sezoane!E18)</f>
        <v/>
      </c>
      <c r="F17" s="29" t="str">
        <f aca="false">IF(Sezoane!$A$18="","",CEILING(IF(Platforme!$C$13=1,(((Sezoane!E18-Platforme!$B$8)*(1-(Platforme!$B$11+Platforme!$B$12-Platforme!$B$11*Platforme!$B$12))*1/(1+Platforme!$B$31))/(1-(Platforme!$C$11+Platforme!$C$12-Platforme!$C$11*Platforme!$C$12))+Platforme!$B$8)/(1-(Platforme!$C$14*Platforme!$C$15)),(((Sezoane!E18-Platforme!$B$8)*(1-(Platforme!$B$11+Platforme!$B$12-Platforme!$B$11*Platforme!$B$12))*1/(1+Platforme!$B$31))+Platforme!$B$8)/((1-(Platforme!$C$11+Platforme!$C$12-Platforme!$C$11*Platforme!$C$12))*(1-(Platforme!$C$14*Platforme!$C$15)))),Platforme!$C$16))</f>
        <v/>
      </c>
      <c r="G17" s="29" t="str">
        <f aca="false">IF(Sezoane!$A$18="","",IF(N(Sezoane!O18)=0,CEILING(IF(Platforme!$D$13=1,(((Sezoane!E18-Platforme!$B$8)*(1-(Platforme!$B$11+Platforme!$B$12-Platforme!$B$11*Platforme!$B$12))*1/(1+Platforme!$B$31))/(1-(Platforme!$D$11+Platforme!$D$12-Platforme!$D$11*Platforme!$D$12))+Platforme!$B$8)/(1-(Platforme!$D$14*Platforme!$D$15)),(((Sezoane!E18-Platforme!$B$8)*(1-(Platforme!$B$11+Platforme!$B$12-Platforme!$B$11*Platforme!$B$12))*1/(1+Platforme!$B$31))+Platforme!$B$8)/((1-(Platforme!$D$11+Platforme!$D$12-Platforme!$D$11*Platforme!$D$12))*(1-(Platforme!$D$14*Platforme!$D$15)))),Platforme!$D$16),MAX(CEILING(IF(Platforme!$D$13=1,(((Sezoane!E18-Platforme!$B$8)*(1-(Platforme!$B$11+Platforme!$B$12-Platforme!$B$11*Platforme!$B$12))*Platforme!$B$27*(1+Platforme!$B$31)/(1+Platforme!$B$31))/(1-(Platforme!$D$11+Platforme!$D$12-Platforme!$D$11*Platforme!$D$12))+Platforme!$B$8)/(1-(Platforme!$D$14*Platforme!$D$15)),(((Sezoane!E18-Platforme!$B$8)*(1-(Platforme!$B$11+Platforme!$B$12-Platforme!$B$11*Platforme!$B$12))*Platforme!$B$27*(1+Platforme!$B$31)/(1+Platforme!$B$31))+Platforme!$B$8)/((1-(Platforme!$D$11+Platforme!$D$12-Platforme!$D$11*Platforme!$D$12))*(1-(Platforme!$D$14*Platforme!$D$15)))),Platforme!$D$16),CEILING(CEILING(IF(Platforme!$D$13=1,(((Sezoane!E18-Platforme!$B$8)*(1-(Platforme!$B$11+Platforme!$B$12-Platforme!$B$11*Platforme!$B$12))*1/(1+Platforme!$B$31))/(1-(Platforme!$D$11+Platforme!$D$12-Platforme!$D$11*Platforme!$D$12))+Platforme!$B$8)/(1-(Platforme!$D$14*Platforme!$D$15)),(((Sezoane!E18-Platforme!$B$8)*(1-(Platforme!$B$11+Platforme!$B$12-Platforme!$B$11*Platforme!$B$12))*1/(1+Platforme!$B$31))+Platforme!$B$8)/((1-(Platforme!$D$11+Platforme!$D$12-Platforme!$D$11*Platforme!$D$12))*(1-(Platforme!$D$14*Platforme!$D$15)))),Platforme!$D$16)*(1-Platforme!$B$26)+Sezoane!O18*Platforme!$B$26,Platforme!$D$16))))</f>
        <v/>
      </c>
      <c r="H17" s="29" t="str">
        <f aca="false">IF(Sezoane!$A$18="","",CEILING(IF(Platforme!$E$13=1,(((Sezoane!E18-Platforme!$B$8)*(1-(Platforme!$B$11+Platforme!$B$12-Platforme!$B$11*Platforme!$B$12))*1/(1+Platforme!$B$31))/(1-(Platforme!$E$11+Platforme!$E$12-Platforme!$E$11*Platforme!$E$12))+Platforme!$B$8)/(1-(Platforme!$E$14*Platforme!$E$15)),(((Sezoane!E18-Platforme!$B$8)*(1-(Platforme!$B$11+Platforme!$B$12-Platforme!$B$11*Platforme!$B$12))*1/(1+Platforme!$B$31))+Platforme!$B$8)/((1-(Platforme!$E$11+Platforme!$E$12-Platforme!$E$11*Platforme!$E$12))*(1-(Platforme!$E$14*Platforme!$E$15)))),Platforme!$E$16))</f>
        <v/>
      </c>
      <c r="I17" s="30" t="str">
        <f aca="false">IF(Sezoane!$A$18="","",(Sezoane!E18-Platforme!$B$8)*(1-(Platforme!$B$11+Platforme!$B$12-Platforme!$B$11*Platforme!$B$12)))</f>
        <v/>
      </c>
      <c r="J17" s="30" t="str">
        <f aca="false">IF(Sezoane!$A$18="","",F17*(1-Platforme!$C$14))</f>
        <v/>
      </c>
      <c r="K17" s="31" t="str">
        <f aca="false">IF(Sezoane!$A$18="","",1-E17/MIN(J17,G17,H17))</f>
        <v/>
      </c>
      <c r="L17" s="32" t="str">
        <f aca="false">IF(Sezoane!$A$18="","",IFERROR(INDEX('Date actuale'!$C$6:$C$40,MATCH(A17,'Date actuale'!$A$6:$A$40,0)),""))</f>
        <v/>
      </c>
      <c r="M17" s="32" t="str">
        <f aca="false">IF(Sezoane!$A$18="","",IFERROR(INDEX('Date actuale'!$D$6:$D$40,MATCH(A17,'Date actuale'!$A$6:$A$40,0)),""))</f>
        <v/>
      </c>
      <c r="N17" s="32" t="str">
        <f aca="false">IF(Sezoane!$A$18="","",IFERROR(INDEX('Date actuale'!$E$6:$E$40,MATCH(A17,'Date actuale'!$A$6:$A$40,0)),""))</f>
        <v/>
      </c>
      <c r="O17" s="25" t="str">
        <f aca="false">IF(Sezoane!$A$18="","",Sezoane!M18)</f>
        <v/>
      </c>
      <c r="P17" s="28" t="str">
        <f aca="false">IF(OR(Sezoane!$A$18="",N(Sezoane!O18)=0),"",Sezoane!O18)</f>
        <v/>
      </c>
      <c r="Q17" s="30" t="str">
        <f aca="false">IF(Sezoane!$A$18="","",IF(Platforme!$D$13=1,(G17*(1-Platforme!$D$14)-Platforme!$B$8)*(1-(Platforme!$D$11+Platforme!$D$12-Platforme!$D$11*Platforme!$D$12)),G17*(1-Platforme!$D$14)*(1-(Platforme!$D$11+Platforme!$D$12-Platforme!$D$11*Platforme!$D$12))-Platforme!$B$8))</f>
        <v/>
      </c>
      <c r="R17" s="31" t="str">
        <f aca="false">IF(Sezoane!$A$18="","",Q17/U17-1)</f>
        <v/>
      </c>
      <c r="S17" s="30" t="str">
        <f aca="false">IF(Sezoane!$A$18="","",G17*(1-Platforme!$B$28))</f>
        <v/>
      </c>
      <c r="T17" s="30" t="str">
        <f aca="false">IF(Sezoane!$A$18="","",IF(Platforme!$D$13=1,(S17*(1-Platforme!$D$14)-Platforme!$B$8)*(1-(Platforme!$D$11+Platforme!$D$12-Platforme!$D$11*Platforme!$D$12)),S17*(1-Platforme!$D$14)*(1-(Platforme!$D$11+Platforme!$D$12-Platforme!$D$11*Platforme!$D$12))-Platforme!$B$8))</f>
        <v/>
      </c>
      <c r="U17" s="33" t="str">
        <f aca="false">IF(Sezoane!$A$18="","",I17/(1+Platforme!$B$31))</f>
        <v/>
      </c>
    </row>
    <row r="18" customFormat="false" ht="15" hidden="false" customHeight="false" outlineLevel="0" collapsed="false">
      <c r="A18" s="25" t="str">
        <f aca="false">IF(Sezoane!$A$19="","",Sezoane!A19)</f>
        <v/>
      </c>
      <c r="B18" s="26" t="str">
        <f aca="false">IF(Sezoane!$A$19="","",Sezoane!C19)</f>
        <v/>
      </c>
      <c r="C18" s="26" t="str">
        <f aca="false">IF(Sezoane!$A$19="","",Sezoane!D19)</f>
        <v/>
      </c>
      <c r="D18" s="25" t="str">
        <f aca="false">IF(Sezoane!$A$19="","",Sezoane!F19)</f>
        <v/>
      </c>
      <c r="E18" s="28" t="str">
        <f aca="false">IF(Sezoane!$A$19="","",Sezoane!E19)</f>
        <v/>
      </c>
      <c r="F18" s="29" t="str">
        <f aca="false">IF(Sezoane!$A$19="","",CEILING(IF(Platforme!$C$13=1,(((Sezoane!E19-Platforme!$B$8)*(1-(Platforme!$B$11+Platforme!$B$12-Platforme!$B$11*Platforme!$B$12))*1/(1+Platforme!$B$31))/(1-(Platforme!$C$11+Platforme!$C$12-Platforme!$C$11*Platforme!$C$12))+Platforme!$B$8)/(1-(Platforme!$C$14*Platforme!$C$15)),(((Sezoane!E19-Platforme!$B$8)*(1-(Platforme!$B$11+Platforme!$B$12-Platforme!$B$11*Platforme!$B$12))*1/(1+Platforme!$B$31))+Platforme!$B$8)/((1-(Platforme!$C$11+Platforme!$C$12-Platforme!$C$11*Platforme!$C$12))*(1-(Platforme!$C$14*Platforme!$C$15)))),Platforme!$C$16))</f>
        <v/>
      </c>
      <c r="G18" s="29" t="str">
        <f aca="false">IF(Sezoane!$A$19="","",IF(N(Sezoane!O19)=0,CEILING(IF(Platforme!$D$13=1,(((Sezoane!E19-Platforme!$B$8)*(1-(Platforme!$B$11+Platforme!$B$12-Platforme!$B$11*Platforme!$B$12))*1/(1+Platforme!$B$31))/(1-(Platforme!$D$11+Platforme!$D$12-Platforme!$D$11*Platforme!$D$12))+Platforme!$B$8)/(1-(Platforme!$D$14*Platforme!$D$15)),(((Sezoane!E19-Platforme!$B$8)*(1-(Platforme!$B$11+Platforme!$B$12-Platforme!$B$11*Platforme!$B$12))*1/(1+Platforme!$B$31))+Platforme!$B$8)/((1-(Platforme!$D$11+Platforme!$D$12-Platforme!$D$11*Platforme!$D$12))*(1-(Platforme!$D$14*Platforme!$D$15)))),Platforme!$D$16),MAX(CEILING(IF(Platforme!$D$13=1,(((Sezoane!E19-Platforme!$B$8)*(1-(Platforme!$B$11+Platforme!$B$12-Platforme!$B$11*Platforme!$B$12))*Platforme!$B$27*(1+Platforme!$B$31)/(1+Platforme!$B$31))/(1-(Platforme!$D$11+Platforme!$D$12-Platforme!$D$11*Platforme!$D$12))+Platforme!$B$8)/(1-(Platforme!$D$14*Platforme!$D$15)),(((Sezoane!E19-Platforme!$B$8)*(1-(Platforme!$B$11+Platforme!$B$12-Platforme!$B$11*Platforme!$B$12))*Platforme!$B$27*(1+Platforme!$B$31)/(1+Platforme!$B$31))+Platforme!$B$8)/((1-(Platforme!$D$11+Platforme!$D$12-Platforme!$D$11*Platforme!$D$12))*(1-(Platforme!$D$14*Platforme!$D$15)))),Platforme!$D$16),CEILING(CEILING(IF(Platforme!$D$13=1,(((Sezoane!E19-Platforme!$B$8)*(1-(Platforme!$B$11+Platforme!$B$12-Platforme!$B$11*Platforme!$B$12))*1/(1+Platforme!$B$31))/(1-(Platforme!$D$11+Platforme!$D$12-Platforme!$D$11*Platforme!$D$12))+Platforme!$B$8)/(1-(Platforme!$D$14*Platforme!$D$15)),(((Sezoane!E19-Platforme!$B$8)*(1-(Platforme!$B$11+Platforme!$B$12-Platforme!$B$11*Platforme!$B$12))*1/(1+Platforme!$B$31))+Platforme!$B$8)/((1-(Platforme!$D$11+Platforme!$D$12-Platforme!$D$11*Platforme!$D$12))*(1-(Platforme!$D$14*Platforme!$D$15)))),Platforme!$D$16)*(1-Platforme!$B$26)+Sezoane!O19*Platforme!$B$26,Platforme!$D$16))))</f>
        <v/>
      </c>
      <c r="H18" s="29" t="str">
        <f aca="false">IF(Sezoane!$A$19="","",CEILING(IF(Platforme!$E$13=1,(((Sezoane!E19-Platforme!$B$8)*(1-(Platforme!$B$11+Platforme!$B$12-Platforme!$B$11*Platforme!$B$12))*1/(1+Platforme!$B$31))/(1-(Platforme!$E$11+Platforme!$E$12-Platforme!$E$11*Platforme!$E$12))+Platforme!$B$8)/(1-(Platforme!$E$14*Platforme!$E$15)),(((Sezoane!E19-Platforme!$B$8)*(1-(Platforme!$B$11+Platforme!$B$12-Platforme!$B$11*Platforme!$B$12))*1/(1+Platforme!$B$31))+Platforme!$B$8)/((1-(Platforme!$E$11+Platforme!$E$12-Platforme!$E$11*Platforme!$E$12))*(1-(Platforme!$E$14*Platforme!$E$15)))),Platforme!$E$16))</f>
        <v/>
      </c>
      <c r="I18" s="30" t="str">
        <f aca="false">IF(Sezoane!$A$19="","",(Sezoane!E19-Platforme!$B$8)*(1-(Platforme!$B$11+Platforme!$B$12-Platforme!$B$11*Platforme!$B$12)))</f>
        <v/>
      </c>
      <c r="J18" s="30" t="str">
        <f aca="false">IF(Sezoane!$A$19="","",F18*(1-Platforme!$C$14))</f>
        <v/>
      </c>
      <c r="K18" s="31" t="str">
        <f aca="false">IF(Sezoane!$A$19="","",1-E18/MIN(J18,G18,H18))</f>
        <v/>
      </c>
      <c r="L18" s="32" t="str">
        <f aca="false">IF(Sezoane!$A$19="","",IFERROR(INDEX('Date actuale'!$C$6:$C$40,MATCH(A18,'Date actuale'!$A$6:$A$40,0)),""))</f>
        <v/>
      </c>
      <c r="M18" s="32" t="str">
        <f aca="false">IF(Sezoane!$A$19="","",IFERROR(INDEX('Date actuale'!$D$6:$D$40,MATCH(A18,'Date actuale'!$A$6:$A$40,0)),""))</f>
        <v/>
      </c>
      <c r="N18" s="32" t="str">
        <f aca="false">IF(Sezoane!$A$19="","",IFERROR(INDEX('Date actuale'!$E$6:$E$40,MATCH(A18,'Date actuale'!$A$6:$A$40,0)),""))</f>
        <v/>
      </c>
      <c r="O18" s="25" t="str">
        <f aca="false">IF(Sezoane!$A$19="","",Sezoane!M19)</f>
        <v/>
      </c>
      <c r="P18" s="28" t="str">
        <f aca="false">IF(OR(Sezoane!$A$19="",N(Sezoane!O19)=0),"",Sezoane!O19)</f>
        <v/>
      </c>
      <c r="Q18" s="30" t="str">
        <f aca="false">IF(Sezoane!$A$19="","",IF(Platforme!$D$13=1,(G18*(1-Platforme!$D$14)-Platforme!$B$8)*(1-(Platforme!$D$11+Platforme!$D$12-Platforme!$D$11*Platforme!$D$12)),G18*(1-Platforme!$D$14)*(1-(Platforme!$D$11+Platforme!$D$12-Platforme!$D$11*Platforme!$D$12))-Platforme!$B$8))</f>
        <v/>
      </c>
      <c r="R18" s="31" t="str">
        <f aca="false">IF(Sezoane!$A$19="","",Q18/U18-1)</f>
        <v/>
      </c>
      <c r="S18" s="30" t="str">
        <f aca="false">IF(Sezoane!$A$19="","",G18*(1-Platforme!$B$28))</f>
        <v/>
      </c>
      <c r="T18" s="30" t="str">
        <f aca="false">IF(Sezoane!$A$19="","",IF(Platforme!$D$13=1,(S18*(1-Platforme!$D$14)-Platforme!$B$8)*(1-(Platforme!$D$11+Platforme!$D$12-Platforme!$D$11*Platforme!$D$12)),S18*(1-Platforme!$D$14)*(1-(Platforme!$D$11+Platforme!$D$12-Platforme!$D$11*Platforme!$D$12))-Platforme!$B$8))</f>
        <v/>
      </c>
      <c r="U18" s="33" t="str">
        <f aca="false">IF(Sezoane!$A$19="","",I18/(1+Platforme!$B$31))</f>
        <v/>
      </c>
    </row>
    <row r="19" customFormat="false" ht="15" hidden="false" customHeight="false" outlineLevel="0" collapsed="false">
      <c r="A19" s="25" t="str">
        <f aca="false">IF(Sezoane!$A$20="","",Sezoane!A20)</f>
        <v/>
      </c>
      <c r="B19" s="26" t="str">
        <f aca="false">IF(Sezoane!$A$20="","",Sezoane!C20)</f>
        <v/>
      </c>
      <c r="C19" s="26" t="str">
        <f aca="false">IF(Sezoane!$A$20="","",Sezoane!D20)</f>
        <v/>
      </c>
      <c r="D19" s="25" t="str">
        <f aca="false">IF(Sezoane!$A$20="","",Sezoane!F20)</f>
        <v/>
      </c>
      <c r="E19" s="28" t="str">
        <f aca="false">IF(Sezoane!$A$20="","",Sezoane!E20)</f>
        <v/>
      </c>
      <c r="F19" s="29" t="str">
        <f aca="false">IF(Sezoane!$A$20="","",CEILING(IF(Platforme!$C$13=1,(((Sezoane!E20-Platforme!$B$8)*(1-(Platforme!$B$11+Platforme!$B$12-Platforme!$B$11*Platforme!$B$12))*1/(1+Platforme!$B$31))/(1-(Platforme!$C$11+Platforme!$C$12-Platforme!$C$11*Platforme!$C$12))+Platforme!$B$8)/(1-(Platforme!$C$14*Platforme!$C$15)),(((Sezoane!E20-Platforme!$B$8)*(1-(Platforme!$B$11+Platforme!$B$12-Platforme!$B$11*Platforme!$B$12))*1/(1+Platforme!$B$31))+Platforme!$B$8)/((1-(Platforme!$C$11+Platforme!$C$12-Platforme!$C$11*Platforme!$C$12))*(1-(Platforme!$C$14*Platforme!$C$15)))),Platforme!$C$16))</f>
        <v/>
      </c>
      <c r="G19" s="29" t="str">
        <f aca="false">IF(Sezoane!$A$20="","",IF(N(Sezoane!O20)=0,CEILING(IF(Platforme!$D$13=1,(((Sezoane!E20-Platforme!$B$8)*(1-(Platforme!$B$11+Platforme!$B$12-Platforme!$B$11*Platforme!$B$12))*1/(1+Platforme!$B$31))/(1-(Platforme!$D$11+Platforme!$D$12-Platforme!$D$11*Platforme!$D$12))+Platforme!$B$8)/(1-(Platforme!$D$14*Platforme!$D$15)),(((Sezoane!E20-Platforme!$B$8)*(1-(Platforme!$B$11+Platforme!$B$12-Platforme!$B$11*Platforme!$B$12))*1/(1+Platforme!$B$31))+Platforme!$B$8)/((1-(Platforme!$D$11+Platforme!$D$12-Platforme!$D$11*Platforme!$D$12))*(1-(Platforme!$D$14*Platforme!$D$15)))),Platforme!$D$16),MAX(CEILING(IF(Platforme!$D$13=1,(((Sezoane!E20-Platforme!$B$8)*(1-(Platforme!$B$11+Platforme!$B$12-Platforme!$B$11*Platforme!$B$12))*Platforme!$B$27*(1+Platforme!$B$31)/(1+Platforme!$B$31))/(1-(Platforme!$D$11+Platforme!$D$12-Platforme!$D$11*Platforme!$D$12))+Platforme!$B$8)/(1-(Platforme!$D$14*Platforme!$D$15)),(((Sezoane!E20-Platforme!$B$8)*(1-(Platforme!$B$11+Platforme!$B$12-Platforme!$B$11*Platforme!$B$12))*Platforme!$B$27*(1+Platforme!$B$31)/(1+Platforme!$B$31))+Platforme!$B$8)/((1-(Platforme!$D$11+Platforme!$D$12-Platforme!$D$11*Platforme!$D$12))*(1-(Platforme!$D$14*Platforme!$D$15)))),Platforme!$D$16),CEILING(CEILING(IF(Platforme!$D$13=1,(((Sezoane!E20-Platforme!$B$8)*(1-(Platforme!$B$11+Platforme!$B$12-Platforme!$B$11*Platforme!$B$12))*1/(1+Platforme!$B$31))/(1-(Platforme!$D$11+Platforme!$D$12-Platforme!$D$11*Platforme!$D$12))+Platforme!$B$8)/(1-(Platforme!$D$14*Platforme!$D$15)),(((Sezoane!E20-Platforme!$B$8)*(1-(Platforme!$B$11+Platforme!$B$12-Platforme!$B$11*Platforme!$B$12))*1/(1+Platforme!$B$31))+Platforme!$B$8)/((1-(Platforme!$D$11+Platforme!$D$12-Platforme!$D$11*Platforme!$D$12))*(1-(Platforme!$D$14*Platforme!$D$15)))),Platforme!$D$16)*(1-Platforme!$B$26)+Sezoane!O20*Platforme!$B$26,Platforme!$D$16))))</f>
        <v/>
      </c>
      <c r="H19" s="29" t="str">
        <f aca="false">IF(Sezoane!$A$20="","",CEILING(IF(Platforme!$E$13=1,(((Sezoane!E20-Platforme!$B$8)*(1-(Platforme!$B$11+Platforme!$B$12-Platforme!$B$11*Platforme!$B$12))*1/(1+Platforme!$B$31))/(1-(Platforme!$E$11+Platforme!$E$12-Platforme!$E$11*Platforme!$E$12))+Platforme!$B$8)/(1-(Platforme!$E$14*Platforme!$E$15)),(((Sezoane!E20-Platforme!$B$8)*(1-(Platforme!$B$11+Platforme!$B$12-Platforme!$B$11*Platforme!$B$12))*1/(1+Platforme!$B$31))+Platforme!$B$8)/((1-(Platforme!$E$11+Platforme!$E$12-Platforme!$E$11*Platforme!$E$12))*(1-(Platforme!$E$14*Platforme!$E$15)))),Platforme!$E$16))</f>
        <v/>
      </c>
      <c r="I19" s="30" t="str">
        <f aca="false">IF(Sezoane!$A$20="","",(Sezoane!E20-Platforme!$B$8)*(1-(Platforme!$B$11+Platforme!$B$12-Platforme!$B$11*Platforme!$B$12)))</f>
        <v/>
      </c>
      <c r="J19" s="30" t="str">
        <f aca="false">IF(Sezoane!$A$20="","",F19*(1-Platforme!$C$14))</f>
        <v/>
      </c>
      <c r="K19" s="31" t="str">
        <f aca="false">IF(Sezoane!$A$20="","",1-E19/MIN(J19,G19,H19))</f>
        <v/>
      </c>
      <c r="L19" s="32" t="str">
        <f aca="false">IF(Sezoane!$A$20="","",IFERROR(INDEX('Date actuale'!$C$6:$C$40,MATCH(A19,'Date actuale'!$A$6:$A$40,0)),""))</f>
        <v/>
      </c>
      <c r="M19" s="32" t="str">
        <f aca="false">IF(Sezoane!$A$20="","",IFERROR(INDEX('Date actuale'!$D$6:$D$40,MATCH(A19,'Date actuale'!$A$6:$A$40,0)),""))</f>
        <v/>
      </c>
      <c r="N19" s="32" t="str">
        <f aca="false">IF(Sezoane!$A$20="","",IFERROR(INDEX('Date actuale'!$E$6:$E$40,MATCH(A19,'Date actuale'!$A$6:$A$40,0)),""))</f>
        <v/>
      </c>
      <c r="O19" s="25" t="str">
        <f aca="false">IF(Sezoane!$A$20="","",Sezoane!M20)</f>
        <v/>
      </c>
      <c r="P19" s="28" t="str">
        <f aca="false">IF(OR(Sezoane!$A$20="",N(Sezoane!O20)=0),"",Sezoane!O20)</f>
        <v/>
      </c>
      <c r="Q19" s="30" t="str">
        <f aca="false">IF(Sezoane!$A$20="","",IF(Platforme!$D$13=1,(G19*(1-Platforme!$D$14)-Platforme!$B$8)*(1-(Platforme!$D$11+Platforme!$D$12-Platforme!$D$11*Platforme!$D$12)),G19*(1-Platforme!$D$14)*(1-(Platforme!$D$11+Platforme!$D$12-Platforme!$D$11*Platforme!$D$12))-Platforme!$B$8))</f>
        <v/>
      </c>
      <c r="R19" s="31" t="str">
        <f aca="false">IF(Sezoane!$A$20="","",Q19/U19-1)</f>
        <v/>
      </c>
      <c r="S19" s="30" t="str">
        <f aca="false">IF(Sezoane!$A$20="","",G19*(1-Platforme!$B$28))</f>
        <v/>
      </c>
      <c r="T19" s="30" t="str">
        <f aca="false">IF(Sezoane!$A$20="","",IF(Platforme!$D$13=1,(S19*(1-Platforme!$D$14)-Platforme!$B$8)*(1-(Platforme!$D$11+Platforme!$D$12-Platforme!$D$11*Platforme!$D$12)),S19*(1-Platforme!$D$14)*(1-(Platforme!$D$11+Platforme!$D$12-Platforme!$D$11*Platforme!$D$12))-Platforme!$B$8))</f>
        <v/>
      </c>
      <c r="U19" s="33" t="str">
        <f aca="false">IF(Sezoane!$A$20="","",I19/(1+Platforme!$B$31))</f>
        <v/>
      </c>
    </row>
    <row r="20" customFormat="false" ht="15" hidden="false" customHeight="false" outlineLevel="0" collapsed="false">
      <c r="A20" s="25" t="str">
        <f aca="false">IF(Sezoane!$A$21="","",Sezoane!A21)</f>
        <v/>
      </c>
      <c r="B20" s="26" t="str">
        <f aca="false">IF(Sezoane!$A$21="","",Sezoane!C21)</f>
        <v/>
      </c>
      <c r="C20" s="26" t="str">
        <f aca="false">IF(Sezoane!$A$21="","",Sezoane!D21)</f>
        <v/>
      </c>
      <c r="D20" s="25" t="str">
        <f aca="false">IF(Sezoane!$A$21="","",Sezoane!F21)</f>
        <v/>
      </c>
      <c r="E20" s="28" t="str">
        <f aca="false">IF(Sezoane!$A$21="","",Sezoane!E21)</f>
        <v/>
      </c>
      <c r="F20" s="29" t="str">
        <f aca="false">IF(Sezoane!$A$21="","",CEILING(IF(Platforme!$C$13=1,(((Sezoane!E21-Platforme!$B$8)*(1-(Platforme!$B$11+Platforme!$B$12-Platforme!$B$11*Platforme!$B$12))*1/(1+Platforme!$B$31))/(1-(Platforme!$C$11+Platforme!$C$12-Platforme!$C$11*Platforme!$C$12))+Platforme!$B$8)/(1-(Platforme!$C$14*Platforme!$C$15)),(((Sezoane!E21-Platforme!$B$8)*(1-(Platforme!$B$11+Platforme!$B$12-Platforme!$B$11*Platforme!$B$12))*1/(1+Platforme!$B$31))+Platforme!$B$8)/((1-(Platforme!$C$11+Platforme!$C$12-Platforme!$C$11*Platforme!$C$12))*(1-(Platforme!$C$14*Platforme!$C$15)))),Platforme!$C$16))</f>
        <v/>
      </c>
      <c r="G20" s="29" t="str">
        <f aca="false">IF(Sezoane!$A$21="","",IF(N(Sezoane!O21)=0,CEILING(IF(Platforme!$D$13=1,(((Sezoane!E21-Platforme!$B$8)*(1-(Platforme!$B$11+Platforme!$B$12-Platforme!$B$11*Platforme!$B$12))*1/(1+Platforme!$B$31))/(1-(Platforme!$D$11+Platforme!$D$12-Platforme!$D$11*Platforme!$D$12))+Platforme!$B$8)/(1-(Platforme!$D$14*Platforme!$D$15)),(((Sezoane!E21-Platforme!$B$8)*(1-(Platforme!$B$11+Platforme!$B$12-Platforme!$B$11*Platforme!$B$12))*1/(1+Platforme!$B$31))+Platforme!$B$8)/((1-(Platforme!$D$11+Platforme!$D$12-Platforme!$D$11*Platforme!$D$12))*(1-(Platforme!$D$14*Platforme!$D$15)))),Platforme!$D$16),MAX(CEILING(IF(Platforme!$D$13=1,(((Sezoane!E21-Platforme!$B$8)*(1-(Platforme!$B$11+Platforme!$B$12-Platforme!$B$11*Platforme!$B$12))*Platforme!$B$27*(1+Platforme!$B$31)/(1+Platforme!$B$31))/(1-(Platforme!$D$11+Platforme!$D$12-Platforme!$D$11*Platforme!$D$12))+Platforme!$B$8)/(1-(Platforme!$D$14*Platforme!$D$15)),(((Sezoane!E21-Platforme!$B$8)*(1-(Platforme!$B$11+Platforme!$B$12-Platforme!$B$11*Platforme!$B$12))*Platforme!$B$27*(1+Platforme!$B$31)/(1+Platforme!$B$31))+Platforme!$B$8)/((1-(Platforme!$D$11+Platforme!$D$12-Platforme!$D$11*Platforme!$D$12))*(1-(Platforme!$D$14*Platforme!$D$15)))),Platforme!$D$16),CEILING(CEILING(IF(Platforme!$D$13=1,(((Sezoane!E21-Platforme!$B$8)*(1-(Platforme!$B$11+Platforme!$B$12-Platforme!$B$11*Platforme!$B$12))*1/(1+Platforme!$B$31))/(1-(Platforme!$D$11+Platforme!$D$12-Platforme!$D$11*Platforme!$D$12))+Platforme!$B$8)/(1-(Platforme!$D$14*Platforme!$D$15)),(((Sezoane!E21-Platforme!$B$8)*(1-(Platforme!$B$11+Platforme!$B$12-Platforme!$B$11*Platforme!$B$12))*1/(1+Platforme!$B$31))+Platforme!$B$8)/((1-(Platforme!$D$11+Platforme!$D$12-Platforme!$D$11*Platforme!$D$12))*(1-(Platforme!$D$14*Platforme!$D$15)))),Platforme!$D$16)*(1-Platforme!$B$26)+Sezoane!O21*Platforme!$B$26,Platforme!$D$16))))</f>
        <v/>
      </c>
      <c r="H20" s="29" t="str">
        <f aca="false">IF(Sezoane!$A$21="","",CEILING(IF(Platforme!$E$13=1,(((Sezoane!E21-Platforme!$B$8)*(1-(Platforme!$B$11+Platforme!$B$12-Platforme!$B$11*Platforme!$B$12))*1/(1+Platforme!$B$31))/(1-(Platforme!$E$11+Platforme!$E$12-Platforme!$E$11*Platforme!$E$12))+Platforme!$B$8)/(1-(Platforme!$E$14*Platforme!$E$15)),(((Sezoane!E21-Platforme!$B$8)*(1-(Platforme!$B$11+Platforme!$B$12-Platforme!$B$11*Platforme!$B$12))*1/(1+Platforme!$B$31))+Platforme!$B$8)/((1-(Platforme!$E$11+Platforme!$E$12-Platforme!$E$11*Platforme!$E$12))*(1-(Platforme!$E$14*Platforme!$E$15)))),Platforme!$E$16))</f>
        <v/>
      </c>
      <c r="I20" s="30" t="str">
        <f aca="false">IF(Sezoane!$A$21="","",(Sezoane!E21-Platforme!$B$8)*(1-(Platforme!$B$11+Platforme!$B$12-Platforme!$B$11*Platforme!$B$12)))</f>
        <v/>
      </c>
      <c r="J20" s="30" t="str">
        <f aca="false">IF(Sezoane!$A$21="","",F20*(1-Platforme!$C$14))</f>
        <v/>
      </c>
      <c r="K20" s="31" t="str">
        <f aca="false">IF(Sezoane!$A$21="","",1-E20/MIN(J20,G20,H20))</f>
        <v/>
      </c>
      <c r="L20" s="32" t="str">
        <f aca="false">IF(Sezoane!$A$21="","",IFERROR(INDEX('Date actuale'!$C$6:$C$40,MATCH(A20,'Date actuale'!$A$6:$A$40,0)),""))</f>
        <v/>
      </c>
      <c r="M20" s="32" t="str">
        <f aca="false">IF(Sezoane!$A$21="","",IFERROR(INDEX('Date actuale'!$D$6:$D$40,MATCH(A20,'Date actuale'!$A$6:$A$40,0)),""))</f>
        <v/>
      </c>
      <c r="N20" s="32" t="str">
        <f aca="false">IF(Sezoane!$A$21="","",IFERROR(INDEX('Date actuale'!$E$6:$E$40,MATCH(A20,'Date actuale'!$A$6:$A$40,0)),""))</f>
        <v/>
      </c>
      <c r="O20" s="25" t="str">
        <f aca="false">IF(Sezoane!$A$21="","",Sezoane!M21)</f>
        <v/>
      </c>
      <c r="P20" s="28" t="str">
        <f aca="false">IF(OR(Sezoane!$A$21="",N(Sezoane!O21)=0),"",Sezoane!O21)</f>
        <v/>
      </c>
      <c r="Q20" s="30" t="str">
        <f aca="false">IF(Sezoane!$A$21="","",IF(Platforme!$D$13=1,(G20*(1-Platforme!$D$14)-Platforme!$B$8)*(1-(Platforme!$D$11+Platforme!$D$12-Platforme!$D$11*Platforme!$D$12)),G20*(1-Platforme!$D$14)*(1-(Platforme!$D$11+Platforme!$D$12-Platforme!$D$11*Platforme!$D$12))-Platforme!$B$8))</f>
        <v/>
      </c>
      <c r="R20" s="31" t="str">
        <f aca="false">IF(Sezoane!$A$21="","",Q20/U20-1)</f>
        <v/>
      </c>
      <c r="S20" s="30" t="str">
        <f aca="false">IF(Sezoane!$A$21="","",G20*(1-Platforme!$B$28))</f>
        <v/>
      </c>
      <c r="T20" s="30" t="str">
        <f aca="false">IF(Sezoane!$A$21="","",IF(Platforme!$D$13=1,(S20*(1-Platforme!$D$14)-Platforme!$B$8)*(1-(Platforme!$D$11+Platforme!$D$12-Platforme!$D$11*Platforme!$D$12)),S20*(1-Platforme!$D$14)*(1-(Platforme!$D$11+Platforme!$D$12-Platforme!$D$11*Platforme!$D$12))-Platforme!$B$8))</f>
        <v/>
      </c>
      <c r="U20" s="33" t="str">
        <f aca="false">IF(Sezoane!$A$21="","",I20/(1+Platforme!$B$31))</f>
        <v/>
      </c>
    </row>
    <row r="21" customFormat="false" ht="15" hidden="false" customHeight="false" outlineLevel="0" collapsed="false">
      <c r="A21" s="25" t="str">
        <f aca="false">IF(Sezoane!$A$22="","",Sezoane!A22)</f>
        <v/>
      </c>
      <c r="B21" s="26" t="str">
        <f aca="false">IF(Sezoane!$A$22="","",Sezoane!C22)</f>
        <v/>
      </c>
      <c r="C21" s="26" t="str">
        <f aca="false">IF(Sezoane!$A$22="","",Sezoane!D22)</f>
        <v/>
      </c>
      <c r="D21" s="25" t="str">
        <f aca="false">IF(Sezoane!$A$22="","",Sezoane!F22)</f>
        <v/>
      </c>
      <c r="E21" s="28" t="str">
        <f aca="false">IF(Sezoane!$A$22="","",Sezoane!E22)</f>
        <v/>
      </c>
      <c r="F21" s="29" t="str">
        <f aca="false">IF(Sezoane!$A$22="","",CEILING(IF(Platforme!$C$13=1,(((Sezoane!E22-Platforme!$B$8)*(1-(Platforme!$B$11+Platforme!$B$12-Platforme!$B$11*Platforme!$B$12))*1/(1+Platforme!$B$31))/(1-(Platforme!$C$11+Platforme!$C$12-Platforme!$C$11*Platforme!$C$12))+Platforme!$B$8)/(1-(Platforme!$C$14*Platforme!$C$15)),(((Sezoane!E22-Platforme!$B$8)*(1-(Platforme!$B$11+Platforme!$B$12-Platforme!$B$11*Platforme!$B$12))*1/(1+Platforme!$B$31))+Platforme!$B$8)/((1-(Platforme!$C$11+Platforme!$C$12-Platforme!$C$11*Platforme!$C$12))*(1-(Platforme!$C$14*Platforme!$C$15)))),Platforme!$C$16))</f>
        <v/>
      </c>
      <c r="G21" s="29" t="str">
        <f aca="false">IF(Sezoane!$A$22="","",IF(N(Sezoane!O22)=0,CEILING(IF(Platforme!$D$13=1,(((Sezoane!E22-Platforme!$B$8)*(1-(Platforme!$B$11+Platforme!$B$12-Platforme!$B$11*Platforme!$B$12))*1/(1+Platforme!$B$31))/(1-(Platforme!$D$11+Platforme!$D$12-Platforme!$D$11*Platforme!$D$12))+Platforme!$B$8)/(1-(Platforme!$D$14*Platforme!$D$15)),(((Sezoane!E22-Platforme!$B$8)*(1-(Platforme!$B$11+Platforme!$B$12-Platforme!$B$11*Platforme!$B$12))*1/(1+Platforme!$B$31))+Platforme!$B$8)/((1-(Platforme!$D$11+Platforme!$D$12-Platforme!$D$11*Platforme!$D$12))*(1-(Platforme!$D$14*Platforme!$D$15)))),Platforme!$D$16),MAX(CEILING(IF(Platforme!$D$13=1,(((Sezoane!E22-Platforme!$B$8)*(1-(Platforme!$B$11+Platforme!$B$12-Platforme!$B$11*Platforme!$B$12))*Platforme!$B$27*(1+Platforme!$B$31)/(1+Platforme!$B$31))/(1-(Platforme!$D$11+Platforme!$D$12-Platforme!$D$11*Platforme!$D$12))+Platforme!$B$8)/(1-(Platforme!$D$14*Platforme!$D$15)),(((Sezoane!E22-Platforme!$B$8)*(1-(Platforme!$B$11+Platforme!$B$12-Platforme!$B$11*Platforme!$B$12))*Platforme!$B$27*(1+Platforme!$B$31)/(1+Platforme!$B$31))+Platforme!$B$8)/((1-(Platforme!$D$11+Platforme!$D$12-Platforme!$D$11*Platforme!$D$12))*(1-(Platforme!$D$14*Platforme!$D$15)))),Platforme!$D$16),CEILING(CEILING(IF(Platforme!$D$13=1,(((Sezoane!E22-Platforme!$B$8)*(1-(Platforme!$B$11+Platforme!$B$12-Platforme!$B$11*Platforme!$B$12))*1/(1+Platforme!$B$31))/(1-(Platforme!$D$11+Platforme!$D$12-Platforme!$D$11*Platforme!$D$12))+Platforme!$B$8)/(1-(Platforme!$D$14*Platforme!$D$15)),(((Sezoane!E22-Platforme!$B$8)*(1-(Platforme!$B$11+Platforme!$B$12-Platforme!$B$11*Platforme!$B$12))*1/(1+Platforme!$B$31))+Platforme!$B$8)/((1-(Platforme!$D$11+Platforme!$D$12-Platforme!$D$11*Platforme!$D$12))*(1-(Platforme!$D$14*Platforme!$D$15)))),Platforme!$D$16)*(1-Platforme!$B$26)+Sezoane!O22*Platforme!$B$26,Platforme!$D$16))))</f>
        <v/>
      </c>
      <c r="H21" s="29" t="str">
        <f aca="false">IF(Sezoane!$A$22="","",CEILING(IF(Platforme!$E$13=1,(((Sezoane!E22-Platforme!$B$8)*(1-(Platforme!$B$11+Platforme!$B$12-Platforme!$B$11*Platforme!$B$12))*1/(1+Platforme!$B$31))/(1-(Platforme!$E$11+Platforme!$E$12-Platforme!$E$11*Platforme!$E$12))+Platforme!$B$8)/(1-(Platforme!$E$14*Platforme!$E$15)),(((Sezoane!E22-Platforme!$B$8)*(1-(Platforme!$B$11+Platforme!$B$12-Platforme!$B$11*Platforme!$B$12))*1/(1+Platforme!$B$31))+Platforme!$B$8)/((1-(Platforme!$E$11+Platforme!$E$12-Platforme!$E$11*Platforme!$E$12))*(1-(Platforme!$E$14*Platforme!$E$15)))),Platforme!$E$16))</f>
        <v/>
      </c>
      <c r="I21" s="30" t="str">
        <f aca="false">IF(Sezoane!$A$22="","",(Sezoane!E22-Platforme!$B$8)*(1-(Platforme!$B$11+Platforme!$B$12-Platforme!$B$11*Platforme!$B$12)))</f>
        <v/>
      </c>
      <c r="J21" s="30" t="str">
        <f aca="false">IF(Sezoane!$A$22="","",F21*(1-Platforme!$C$14))</f>
        <v/>
      </c>
      <c r="K21" s="31" t="str">
        <f aca="false">IF(Sezoane!$A$22="","",1-E21/MIN(J21,G21,H21))</f>
        <v/>
      </c>
      <c r="L21" s="32" t="str">
        <f aca="false">IF(Sezoane!$A$22="","",IFERROR(INDEX('Date actuale'!$C$6:$C$40,MATCH(A21,'Date actuale'!$A$6:$A$40,0)),""))</f>
        <v/>
      </c>
      <c r="M21" s="32" t="str">
        <f aca="false">IF(Sezoane!$A$22="","",IFERROR(INDEX('Date actuale'!$D$6:$D$40,MATCH(A21,'Date actuale'!$A$6:$A$40,0)),""))</f>
        <v/>
      </c>
      <c r="N21" s="32" t="str">
        <f aca="false">IF(Sezoane!$A$22="","",IFERROR(INDEX('Date actuale'!$E$6:$E$40,MATCH(A21,'Date actuale'!$A$6:$A$40,0)),""))</f>
        <v/>
      </c>
      <c r="O21" s="25" t="str">
        <f aca="false">IF(Sezoane!$A$22="","",Sezoane!M22)</f>
        <v/>
      </c>
      <c r="P21" s="28" t="str">
        <f aca="false">IF(OR(Sezoane!$A$22="",N(Sezoane!O22)=0),"",Sezoane!O22)</f>
        <v/>
      </c>
      <c r="Q21" s="30" t="str">
        <f aca="false">IF(Sezoane!$A$22="","",IF(Platforme!$D$13=1,(G21*(1-Platforme!$D$14)-Platforme!$B$8)*(1-(Platforme!$D$11+Platforme!$D$12-Platforme!$D$11*Platforme!$D$12)),G21*(1-Platforme!$D$14)*(1-(Platforme!$D$11+Platforme!$D$12-Platforme!$D$11*Platforme!$D$12))-Platforme!$B$8))</f>
        <v/>
      </c>
      <c r="R21" s="31" t="str">
        <f aca="false">IF(Sezoane!$A$22="","",Q21/U21-1)</f>
        <v/>
      </c>
      <c r="S21" s="30" t="str">
        <f aca="false">IF(Sezoane!$A$22="","",G21*(1-Platforme!$B$28))</f>
        <v/>
      </c>
      <c r="T21" s="30" t="str">
        <f aca="false">IF(Sezoane!$A$22="","",IF(Platforme!$D$13=1,(S21*(1-Platforme!$D$14)-Platforme!$B$8)*(1-(Platforme!$D$11+Platforme!$D$12-Platforme!$D$11*Platforme!$D$12)),S21*(1-Platforme!$D$14)*(1-(Platforme!$D$11+Platforme!$D$12-Platforme!$D$11*Platforme!$D$12))-Platforme!$B$8))</f>
        <v/>
      </c>
      <c r="U21" s="33" t="str">
        <f aca="false">IF(Sezoane!$A$22="","",I21/(1+Platforme!$B$31))</f>
        <v/>
      </c>
    </row>
    <row r="22" customFormat="false" ht="15" hidden="false" customHeight="false" outlineLevel="0" collapsed="false">
      <c r="A22" s="25" t="str">
        <f aca="false">IF(Sezoane!$A$23="","",Sezoane!A23)</f>
        <v/>
      </c>
      <c r="B22" s="26" t="str">
        <f aca="false">IF(Sezoane!$A$23="","",Sezoane!C23)</f>
        <v/>
      </c>
      <c r="C22" s="26" t="str">
        <f aca="false">IF(Sezoane!$A$23="","",Sezoane!D23)</f>
        <v/>
      </c>
      <c r="D22" s="25" t="str">
        <f aca="false">IF(Sezoane!$A$23="","",Sezoane!F23)</f>
        <v/>
      </c>
      <c r="E22" s="28" t="str">
        <f aca="false">IF(Sezoane!$A$23="","",Sezoane!E23)</f>
        <v/>
      </c>
      <c r="F22" s="29" t="str">
        <f aca="false">IF(Sezoane!$A$23="","",CEILING(IF(Platforme!$C$13=1,(((Sezoane!E23-Platforme!$B$8)*(1-(Platforme!$B$11+Platforme!$B$12-Platforme!$B$11*Platforme!$B$12))*1/(1+Platforme!$B$31))/(1-(Platforme!$C$11+Platforme!$C$12-Platforme!$C$11*Platforme!$C$12))+Platforme!$B$8)/(1-(Platforme!$C$14*Platforme!$C$15)),(((Sezoane!E23-Platforme!$B$8)*(1-(Platforme!$B$11+Platforme!$B$12-Platforme!$B$11*Platforme!$B$12))*1/(1+Platforme!$B$31))+Platforme!$B$8)/((1-(Platforme!$C$11+Platforme!$C$12-Platforme!$C$11*Platforme!$C$12))*(1-(Platforme!$C$14*Platforme!$C$15)))),Platforme!$C$16))</f>
        <v/>
      </c>
      <c r="G22" s="29" t="str">
        <f aca="false">IF(Sezoane!$A$23="","",IF(N(Sezoane!O23)=0,CEILING(IF(Platforme!$D$13=1,(((Sezoane!E23-Platforme!$B$8)*(1-(Platforme!$B$11+Platforme!$B$12-Platforme!$B$11*Platforme!$B$12))*1/(1+Platforme!$B$31))/(1-(Platforme!$D$11+Platforme!$D$12-Platforme!$D$11*Platforme!$D$12))+Platforme!$B$8)/(1-(Platforme!$D$14*Platforme!$D$15)),(((Sezoane!E23-Platforme!$B$8)*(1-(Platforme!$B$11+Platforme!$B$12-Platforme!$B$11*Platforme!$B$12))*1/(1+Platforme!$B$31))+Platforme!$B$8)/((1-(Platforme!$D$11+Platforme!$D$12-Platforme!$D$11*Platforme!$D$12))*(1-(Platforme!$D$14*Platforme!$D$15)))),Platforme!$D$16),MAX(CEILING(IF(Platforme!$D$13=1,(((Sezoane!E23-Platforme!$B$8)*(1-(Platforme!$B$11+Platforme!$B$12-Platforme!$B$11*Platforme!$B$12))*Platforme!$B$27*(1+Platforme!$B$31)/(1+Platforme!$B$31))/(1-(Platforme!$D$11+Platforme!$D$12-Platforme!$D$11*Platforme!$D$12))+Platforme!$B$8)/(1-(Platforme!$D$14*Platforme!$D$15)),(((Sezoane!E23-Platforme!$B$8)*(1-(Platforme!$B$11+Platforme!$B$12-Platforme!$B$11*Platforme!$B$12))*Platforme!$B$27*(1+Platforme!$B$31)/(1+Platforme!$B$31))+Platforme!$B$8)/((1-(Platforme!$D$11+Platforme!$D$12-Platforme!$D$11*Platforme!$D$12))*(1-(Platforme!$D$14*Platforme!$D$15)))),Platforme!$D$16),CEILING(CEILING(IF(Platforme!$D$13=1,(((Sezoane!E23-Platforme!$B$8)*(1-(Platforme!$B$11+Platforme!$B$12-Platforme!$B$11*Platforme!$B$12))*1/(1+Platforme!$B$31))/(1-(Platforme!$D$11+Platforme!$D$12-Platforme!$D$11*Platforme!$D$12))+Platforme!$B$8)/(1-(Platforme!$D$14*Platforme!$D$15)),(((Sezoane!E23-Platforme!$B$8)*(1-(Platforme!$B$11+Platforme!$B$12-Platforme!$B$11*Platforme!$B$12))*1/(1+Platforme!$B$31))+Platforme!$B$8)/((1-(Platforme!$D$11+Platforme!$D$12-Platforme!$D$11*Platforme!$D$12))*(1-(Platforme!$D$14*Platforme!$D$15)))),Platforme!$D$16)*(1-Platforme!$B$26)+Sezoane!O23*Platforme!$B$26,Platforme!$D$16))))</f>
        <v/>
      </c>
      <c r="H22" s="29" t="str">
        <f aca="false">IF(Sezoane!$A$23="","",CEILING(IF(Platforme!$E$13=1,(((Sezoane!E23-Platforme!$B$8)*(1-(Platforme!$B$11+Platforme!$B$12-Platforme!$B$11*Platforme!$B$12))*1/(1+Platforme!$B$31))/(1-(Platforme!$E$11+Platforme!$E$12-Platforme!$E$11*Platforme!$E$12))+Platforme!$B$8)/(1-(Platforme!$E$14*Platforme!$E$15)),(((Sezoane!E23-Platforme!$B$8)*(1-(Platforme!$B$11+Platforme!$B$12-Platforme!$B$11*Platforme!$B$12))*1/(1+Platforme!$B$31))+Platforme!$B$8)/((1-(Platforme!$E$11+Platforme!$E$12-Platforme!$E$11*Platforme!$E$12))*(1-(Platforme!$E$14*Platforme!$E$15)))),Platforme!$E$16))</f>
        <v/>
      </c>
      <c r="I22" s="30" t="str">
        <f aca="false">IF(Sezoane!$A$23="","",(Sezoane!E23-Platforme!$B$8)*(1-(Platforme!$B$11+Platforme!$B$12-Platforme!$B$11*Platforme!$B$12)))</f>
        <v/>
      </c>
      <c r="J22" s="30" t="str">
        <f aca="false">IF(Sezoane!$A$23="","",F22*(1-Platforme!$C$14))</f>
        <v/>
      </c>
      <c r="K22" s="31" t="str">
        <f aca="false">IF(Sezoane!$A$23="","",1-E22/MIN(J22,G22,H22))</f>
        <v/>
      </c>
      <c r="L22" s="32" t="str">
        <f aca="false">IF(Sezoane!$A$23="","",IFERROR(INDEX('Date actuale'!$C$6:$C$40,MATCH(A22,'Date actuale'!$A$6:$A$40,0)),""))</f>
        <v/>
      </c>
      <c r="M22" s="32" t="str">
        <f aca="false">IF(Sezoane!$A$23="","",IFERROR(INDEX('Date actuale'!$D$6:$D$40,MATCH(A22,'Date actuale'!$A$6:$A$40,0)),""))</f>
        <v/>
      </c>
      <c r="N22" s="32" t="str">
        <f aca="false">IF(Sezoane!$A$23="","",IFERROR(INDEX('Date actuale'!$E$6:$E$40,MATCH(A22,'Date actuale'!$A$6:$A$40,0)),""))</f>
        <v/>
      </c>
      <c r="O22" s="25" t="str">
        <f aca="false">IF(Sezoane!$A$23="","",Sezoane!M23)</f>
        <v/>
      </c>
      <c r="P22" s="28" t="str">
        <f aca="false">IF(OR(Sezoane!$A$23="",N(Sezoane!O23)=0),"",Sezoane!O23)</f>
        <v/>
      </c>
      <c r="Q22" s="30" t="str">
        <f aca="false">IF(Sezoane!$A$23="","",IF(Platforme!$D$13=1,(G22*(1-Platforme!$D$14)-Platforme!$B$8)*(1-(Platforme!$D$11+Platforme!$D$12-Platforme!$D$11*Platforme!$D$12)),G22*(1-Platforme!$D$14)*(1-(Platforme!$D$11+Platforme!$D$12-Platforme!$D$11*Platforme!$D$12))-Platforme!$B$8))</f>
        <v/>
      </c>
      <c r="R22" s="31" t="str">
        <f aca="false">IF(Sezoane!$A$23="","",Q22/U22-1)</f>
        <v/>
      </c>
      <c r="S22" s="30" t="str">
        <f aca="false">IF(Sezoane!$A$23="","",G22*(1-Platforme!$B$28))</f>
        <v/>
      </c>
      <c r="T22" s="30" t="str">
        <f aca="false">IF(Sezoane!$A$23="","",IF(Platforme!$D$13=1,(S22*(1-Platforme!$D$14)-Platforme!$B$8)*(1-(Platforme!$D$11+Platforme!$D$12-Platforme!$D$11*Platforme!$D$12)),S22*(1-Platforme!$D$14)*(1-(Platforme!$D$11+Platforme!$D$12-Platforme!$D$11*Platforme!$D$12))-Platforme!$B$8))</f>
        <v/>
      </c>
      <c r="U22" s="33" t="str">
        <f aca="false">IF(Sezoane!$A$23="","",I22/(1+Platforme!$B$31))</f>
        <v/>
      </c>
    </row>
    <row r="23" customFormat="false" ht="15" hidden="false" customHeight="false" outlineLevel="0" collapsed="false">
      <c r="A23" s="25" t="str">
        <f aca="false">IF(Sezoane!$A$24="","",Sezoane!A24)</f>
        <v/>
      </c>
      <c r="B23" s="26" t="str">
        <f aca="false">IF(Sezoane!$A$24="","",Sezoane!C24)</f>
        <v/>
      </c>
      <c r="C23" s="26" t="str">
        <f aca="false">IF(Sezoane!$A$24="","",Sezoane!D24)</f>
        <v/>
      </c>
      <c r="D23" s="25" t="str">
        <f aca="false">IF(Sezoane!$A$24="","",Sezoane!F24)</f>
        <v/>
      </c>
      <c r="E23" s="28" t="str">
        <f aca="false">IF(Sezoane!$A$24="","",Sezoane!E24)</f>
        <v/>
      </c>
      <c r="F23" s="29" t="str">
        <f aca="false">IF(Sezoane!$A$24="","",CEILING(IF(Platforme!$C$13=1,(((Sezoane!E24-Platforme!$B$8)*(1-(Platforme!$B$11+Platforme!$B$12-Platforme!$B$11*Platforme!$B$12))*1/(1+Platforme!$B$31))/(1-(Platforme!$C$11+Platforme!$C$12-Platforme!$C$11*Platforme!$C$12))+Platforme!$B$8)/(1-(Platforme!$C$14*Platforme!$C$15)),(((Sezoane!E24-Platforme!$B$8)*(1-(Platforme!$B$11+Platforme!$B$12-Platforme!$B$11*Platforme!$B$12))*1/(1+Platforme!$B$31))+Platforme!$B$8)/((1-(Platforme!$C$11+Platforme!$C$12-Platforme!$C$11*Platforme!$C$12))*(1-(Platforme!$C$14*Platforme!$C$15)))),Platforme!$C$16))</f>
        <v/>
      </c>
      <c r="G23" s="29" t="str">
        <f aca="false">IF(Sezoane!$A$24="","",IF(N(Sezoane!O24)=0,CEILING(IF(Platforme!$D$13=1,(((Sezoane!E24-Platforme!$B$8)*(1-(Platforme!$B$11+Platforme!$B$12-Platforme!$B$11*Platforme!$B$12))*1/(1+Platforme!$B$31))/(1-(Platforme!$D$11+Platforme!$D$12-Platforme!$D$11*Platforme!$D$12))+Platforme!$B$8)/(1-(Platforme!$D$14*Platforme!$D$15)),(((Sezoane!E24-Platforme!$B$8)*(1-(Platforme!$B$11+Platforme!$B$12-Platforme!$B$11*Platforme!$B$12))*1/(1+Platforme!$B$31))+Platforme!$B$8)/((1-(Platforme!$D$11+Platforme!$D$12-Platforme!$D$11*Platforme!$D$12))*(1-(Platforme!$D$14*Platforme!$D$15)))),Platforme!$D$16),MAX(CEILING(IF(Platforme!$D$13=1,(((Sezoane!E24-Platforme!$B$8)*(1-(Platforme!$B$11+Platforme!$B$12-Platforme!$B$11*Platforme!$B$12))*Platforme!$B$27*(1+Platforme!$B$31)/(1+Platforme!$B$31))/(1-(Platforme!$D$11+Platforme!$D$12-Platforme!$D$11*Platforme!$D$12))+Platforme!$B$8)/(1-(Platforme!$D$14*Platforme!$D$15)),(((Sezoane!E24-Platforme!$B$8)*(1-(Platforme!$B$11+Platforme!$B$12-Platforme!$B$11*Platforme!$B$12))*Platforme!$B$27*(1+Platforme!$B$31)/(1+Platforme!$B$31))+Platforme!$B$8)/((1-(Platforme!$D$11+Platforme!$D$12-Platforme!$D$11*Platforme!$D$12))*(1-(Platforme!$D$14*Platforme!$D$15)))),Platforme!$D$16),CEILING(CEILING(IF(Platforme!$D$13=1,(((Sezoane!E24-Platforme!$B$8)*(1-(Platforme!$B$11+Platforme!$B$12-Platforme!$B$11*Platforme!$B$12))*1/(1+Platforme!$B$31))/(1-(Platforme!$D$11+Platforme!$D$12-Platforme!$D$11*Platforme!$D$12))+Platforme!$B$8)/(1-(Platforme!$D$14*Platforme!$D$15)),(((Sezoane!E24-Platforme!$B$8)*(1-(Platforme!$B$11+Platforme!$B$12-Platforme!$B$11*Platforme!$B$12))*1/(1+Platforme!$B$31))+Platforme!$B$8)/((1-(Platforme!$D$11+Platforme!$D$12-Platforme!$D$11*Platforme!$D$12))*(1-(Platforme!$D$14*Platforme!$D$15)))),Platforme!$D$16)*(1-Platforme!$B$26)+Sezoane!O24*Platforme!$B$26,Platforme!$D$16))))</f>
        <v/>
      </c>
      <c r="H23" s="29" t="str">
        <f aca="false">IF(Sezoane!$A$24="","",CEILING(IF(Platforme!$E$13=1,(((Sezoane!E24-Platforme!$B$8)*(1-(Platforme!$B$11+Platforme!$B$12-Platforme!$B$11*Platforme!$B$12))*1/(1+Platforme!$B$31))/(1-(Platforme!$E$11+Platforme!$E$12-Platforme!$E$11*Platforme!$E$12))+Platforme!$B$8)/(1-(Platforme!$E$14*Platforme!$E$15)),(((Sezoane!E24-Platforme!$B$8)*(1-(Platforme!$B$11+Platforme!$B$12-Platforme!$B$11*Platforme!$B$12))*1/(1+Platforme!$B$31))+Platforme!$B$8)/((1-(Platforme!$E$11+Platforme!$E$12-Platforme!$E$11*Platforme!$E$12))*(1-(Platforme!$E$14*Platforme!$E$15)))),Platforme!$E$16))</f>
        <v/>
      </c>
      <c r="I23" s="30" t="str">
        <f aca="false">IF(Sezoane!$A$24="","",(Sezoane!E24-Platforme!$B$8)*(1-(Platforme!$B$11+Platforme!$B$12-Platforme!$B$11*Platforme!$B$12)))</f>
        <v/>
      </c>
      <c r="J23" s="30" t="str">
        <f aca="false">IF(Sezoane!$A$24="","",F23*(1-Platforme!$C$14))</f>
        <v/>
      </c>
      <c r="K23" s="31" t="str">
        <f aca="false">IF(Sezoane!$A$24="","",1-E23/MIN(J23,G23,H23))</f>
        <v/>
      </c>
      <c r="L23" s="32" t="str">
        <f aca="false">IF(Sezoane!$A$24="","",IFERROR(INDEX('Date actuale'!$C$6:$C$40,MATCH(A23,'Date actuale'!$A$6:$A$40,0)),""))</f>
        <v/>
      </c>
      <c r="M23" s="32" t="str">
        <f aca="false">IF(Sezoane!$A$24="","",IFERROR(INDEX('Date actuale'!$D$6:$D$40,MATCH(A23,'Date actuale'!$A$6:$A$40,0)),""))</f>
        <v/>
      </c>
      <c r="N23" s="32" t="str">
        <f aca="false">IF(Sezoane!$A$24="","",IFERROR(INDEX('Date actuale'!$E$6:$E$40,MATCH(A23,'Date actuale'!$A$6:$A$40,0)),""))</f>
        <v/>
      </c>
      <c r="O23" s="25" t="str">
        <f aca="false">IF(Sezoane!$A$24="","",Sezoane!M24)</f>
        <v/>
      </c>
      <c r="P23" s="28" t="str">
        <f aca="false">IF(OR(Sezoane!$A$24="",N(Sezoane!O24)=0),"",Sezoane!O24)</f>
        <v/>
      </c>
      <c r="Q23" s="30" t="str">
        <f aca="false">IF(Sezoane!$A$24="","",IF(Platforme!$D$13=1,(G23*(1-Platforme!$D$14)-Platforme!$B$8)*(1-(Platforme!$D$11+Platforme!$D$12-Platforme!$D$11*Platforme!$D$12)),G23*(1-Platforme!$D$14)*(1-(Platforme!$D$11+Platforme!$D$12-Platforme!$D$11*Platforme!$D$12))-Platforme!$B$8))</f>
        <v/>
      </c>
      <c r="R23" s="31" t="str">
        <f aca="false">IF(Sezoane!$A$24="","",Q23/U23-1)</f>
        <v/>
      </c>
      <c r="S23" s="30" t="str">
        <f aca="false">IF(Sezoane!$A$24="","",G23*(1-Platforme!$B$28))</f>
        <v/>
      </c>
      <c r="T23" s="30" t="str">
        <f aca="false">IF(Sezoane!$A$24="","",IF(Platforme!$D$13=1,(S23*(1-Platforme!$D$14)-Platforme!$B$8)*(1-(Platforme!$D$11+Platforme!$D$12-Platforme!$D$11*Platforme!$D$12)),S23*(1-Platforme!$D$14)*(1-(Platforme!$D$11+Platforme!$D$12-Platforme!$D$11*Platforme!$D$12))-Platforme!$B$8))</f>
        <v/>
      </c>
      <c r="U23" s="33" t="str">
        <f aca="false">IF(Sezoane!$A$24="","",I23/(1+Platforme!$B$31))</f>
        <v/>
      </c>
    </row>
    <row r="24" customFormat="false" ht="15" hidden="false" customHeight="false" outlineLevel="0" collapsed="false">
      <c r="A24" s="25" t="str">
        <f aca="false">IF(Sezoane!$A$25="","",Sezoane!A25)</f>
        <v/>
      </c>
      <c r="B24" s="26" t="str">
        <f aca="false">IF(Sezoane!$A$25="","",Sezoane!C25)</f>
        <v/>
      </c>
      <c r="C24" s="26" t="str">
        <f aca="false">IF(Sezoane!$A$25="","",Sezoane!D25)</f>
        <v/>
      </c>
      <c r="D24" s="25" t="str">
        <f aca="false">IF(Sezoane!$A$25="","",Sezoane!F25)</f>
        <v/>
      </c>
      <c r="E24" s="28" t="str">
        <f aca="false">IF(Sezoane!$A$25="","",Sezoane!E25)</f>
        <v/>
      </c>
      <c r="F24" s="29" t="str">
        <f aca="false">IF(Sezoane!$A$25="","",CEILING(IF(Platforme!$C$13=1,(((Sezoane!E25-Platforme!$B$8)*(1-(Platforme!$B$11+Platforme!$B$12-Platforme!$B$11*Platforme!$B$12))*1/(1+Platforme!$B$31))/(1-(Platforme!$C$11+Platforme!$C$12-Platforme!$C$11*Platforme!$C$12))+Platforme!$B$8)/(1-(Platforme!$C$14*Platforme!$C$15)),(((Sezoane!E25-Platforme!$B$8)*(1-(Platforme!$B$11+Platforme!$B$12-Platforme!$B$11*Platforme!$B$12))*1/(1+Platforme!$B$31))+Platforme!$B$8)/((1-(Platforme!$C$11+Platforme!$C$12-Platforme!$C$11*Platforme!$C$12))*(1-(Platforme!$C$14*Platforme!$C$15)))),Platforme!$C$16))</f>
        <v/>
      </c>
      <c r="G24" s="29" t="str">
        <f aca="false">IF(Sezoane!$A$25="","",IF(N(Sezoane!O25)=0,CEILING(IF(Platforme!$D$13=1,(((Sezoane!E25-Platforme!$B$8)*(1-(Platforme!$B$11+Platforme!$B$12-Platforme!$B$11*Platforme!$B$12))*1/(1+Platforme!$B$31))/(1-(Platforme!$D$11+Platforme!$D$12-Platforme!$D$11*Platforme!$D$12))+Platforme!$B$8)/(1-(Platforme!$D$14*Platforme!$D$15)),(((Sezoane!E25-Platforme!$B$8)*(1-(Platforme!$B$11+Platforme!$B$12-Platforme!$B$11*Platforme!$B$12))*1/(1+Platforme!$B$31))+Platforme!$B$8)/((1-(Platforme!$D$11+Platforme!$D$12-Platforme!$D$11*Platforme!$D$12))*(1-(Platforme!$D$14*Platforme!$D$15)))),Platforme!$D$16),MAX(CEILING(IF(Platforme!$D$13=1,(((Sezoane!E25-Platforme!$B$8)*(1-(Platforme!$B$11+Platforme!$B$12-Platforme!$B$11*Platforme!$B$12))*Platforme!$B$27*(1+Platforme!$B$31)/(1+Platforme!$B$31))/(1-(Platforme!$D$11+Platforme!$D$12-Platforme!$D$11*Platforme!$D$12))+Platforme!$B$8)/(1-(Platforme!$D$14*Platforme!$D$15)),(((Sezoane!E25-Platforme!$B$8)*(1-(Platforme!$B$11+Platforme!$B$12-Platforme!$B$11*Platforme!$B$12))*Platforme!$B$27*(1+Platforme!$B$31)/(1+Platforme!$B$31))+Platforme!$B$8)/((1-(Platforme!$D$11+Platforme!$D$12-Platforme!$D$11*Platforme!$D$12))*(1-(Platforme!$D$14*Platforme!$D$15)))),Platforme!$D$16),CEILING(CEILING(IF(Platforme!$D$13=1,(((Sezoane!E25-Platforme!$B$8)*(1-(Platforme!$B$11+Platforme!$B$12-Platforme!$B$11*Platforme!$B$12))*1/(1+Platforme!$B$31))/(1-(Platforme!$D$11+Platforme!$D$12-Platforme!$D$11*Platforme!$D$12))+Platforme!$B$8)/(1-(Platforme!$D$14*Platforme!$D$15)),(((Sezoane!E25-Platforme!$B$8)*(1-(Platforme!$B$11+Platforme!$B$12-Platforme!$B$11*Platforme!$B$12))*1/(1+Platforme!$B$31))+Platforme!$B$8)/((1-(Platforme!$D$11+Platforme!$D$12-Platforme!$D$11*Platforme!$D$12))*(1-(Platforme!$D$14*Platforme!$D$15)))),Platforme!$D$16)*(1-Platforme!$B$26)+Sezoane!O25*Platforme!$B$26,Platforme!$D$16))))</f>
        <v/>
      </c>
      <c r="H24" s="29" t="str">
        <f aca="false">IF(Sezoane!$A$25="","",CEILING(IF(Platforme!$E$13=1,(((Sezoane!E25-Platforme!$B$8)*(1-(Platforme!$B$11+Platforme!$B$12-Platforme!$B$11*Platforme!$B$12))*1/(1+Platforme!$B$31))/(1-(Platforme!$E$11+Platforme!$E$12-Platforme!$E$11*Platforme!$E$12))+Platforme!$B$8)/(1-(Platforme!$E$14*Platforme!$E$15)),(((Sezoane!E25-Platforme!$B$8)*(1-(Platforme!$B$11+Platforme!$B$12-Platforme!$B$11*Platforme!$B$12))*1/(1+Platforme!$B$31))+Platforme!$B$8)/((1-(Platforme!$E$11+Platforme!$E$12-Platforme!$E$11*Platforme!$E$12))*(1-(Platforme!$E$14*Platforme!$E$15)))),Platforme!$E$16))</f>
        <v/>
      </c>
      <c r="I24" s="30" t="str">
        <f aca="false">IF(Sezoane!$A$25="","",(Sezoane!E25-Platforme!$B$8)*(1-(Platforme!$B$11+Platforme!$B$12-Platforme!$B$11*Platforme!$B$12)))</f>
        <v/>
      </c>
      <c r="J24" s="30" t="str">
        <f aca="false">IF(Sezoane!$A$25="","",F24*(1-Platforme!$C$14))</f>
        <v/>
      </c>
      <c r="K24" s="31" t="str">
        <f aca="false">IF(Sezoane!$A$25="","",1-E24/MIN(J24,G24,H24))</f>
        <v/>
      </c>
      <c r="L24" s="32" t="str">
        <f aca="false">IF(Sezoane!$A$25="","",IFERROR(INDEX('Date actuale'!$C$6:$C$40,MATCH(A24,'Date actuale'!$A$6:$A$40,0)),""))</f>
        <v/>
      </c>
      <c r="M24" s="32" t="str">
        <f aca="false">IF(Sezoane!$A$25="","",IFERROR(INDEX('Date actuale'!$D$6:$D$40,MATCH(A24,'Date actuale'!$A$6:$A$40,0)),""))</f>
        <v/>
      </c>
      <c r="N24" s="32" t="str">
        <f aca="false">IF(Sezoane!$A$25="","",IFERROR(INDEX('Date actuale'!$E$6:$E$40,MATCH(A24,'Date actuale'!$A$6:$A$40,0)),""))</f>
        <v/>
      </c>
      <c r="O24" s="25" t="str">
        <f aca="false">IF(Sezoane!$A$25="","",Sezoane!M25)</f>
        <v/>
      </c>
      <c r="P24" s="28" t="str">
        <f aca="false">IF(OR(Sezoane!$A$25="",N(Sezoane!O25)=0),"",Sezoane!O25)</f>
        <v/>
      </c>
      <c r="Q24" s="30" t="str">
        <f aca="false">IF(Sezoane!$A$25="","",IF(Platforme!$D$13=1,(G24*(1-Platforme!$D$14)-Platforme!$B$8)*(1-(Platforme!$D$11+Platforme!$D$12-Platforme!$D$11*Platforme!$D$12)),G24*(1-Platforme!$D$14)*(1-(Platforme!$D$11+Platforme!$D$12-Platforme!$D$11*Platforme!$D$12))-Platforme!$B$8))</f>
        <v/>
      </c>
      <c r="R24" s="31" t="str">
        <f aca="false">IF(Sezoane!$A$25="","",Q24/U24-1)</f>
        <v/>
      </c>
      <c r="S24" s="30" t="str">
        <f aca="false">IF(Sezoane!$A$25="","",G24*(1-Platforme!$B$28))</f>
        <v/>
      </c>
      <c r="T24" s="30" t="str">
        <f aca="false">IF(Sezoane!$A$25="","",IF(Platforme!$D$13=1,(S24*(1-Platforme!$D$14)-Platforme!$B$8)*(1-(Platforme!$D$11+Platforme!$D$12-Platforme!$D$11*Platforme!$D$12)),S24*(1-Platforme!$D$14)*(1-(Platforme!$D$11+Platforme!$D$12-Platforme!$D$11*Platforme!$D$12))-Platforme!$B$8))</f>
        <v/>
      </c>
      <c r="U24" s="33" t="str">
        <f aca="false">IF(Sezoane!$A$25="","",I24/(1+Platforme!$B$31))</f>
        <v/>
      </c>
    </row>
    <row r="25" customFormat="false" ht="15" hidden="false" customHeight="false" outlineLevel="0" collapsed="false">
      <c r="A25" s="25" t="str">
        <f aca="false">IF(Sezoane!$A$26="","",Sezoane!A26)</f>
        <v/>
      </c>
      <c r="B25" s="26" t="str">
        <f aca="false">IF(Sezoane!$A$26="","",Sezoane!C26)</f>
        <v/>
      </c>
      <c r="C25" s="26" t="str">
        <f aca="false">IF(Sezoane!$A$26="","",Sezoane!D26)</f>
        <v/>
      </c>
      <c r="D25" s="25" t="str">
        <f aca="false">IF(Sezoane!$A$26="","",Sezoane!F26)</f>
        <v/>
      </c>
      <c r="E25" s="28" t="str">
        <f aca="false">IF(Sezoane!$A$26="","",Sezoane!E26)</f>
        <v/>
      </c>
      <c r="F25" s="29" t="str">
        <f aca="false">IF(Sezoane!$A$26="","",CEILING(IF(Platforme!$C$13=1,(((Sezoane!E26-Platforme!$B$8)*(1-(Platforme!$B$11+Platforme!$B$12-Platforme!$B$11*Platforme!$B$12))*1/(1+Platforme!$B$31))/(1-(Platforme!$C$11+Platforme!$C$12-Platforme!$C$11*Platforme!$C$12))+Platforme!$B$8)/(1-(Platforme!$C$14*Platforme!$C$15)),(((Sezoane!E26-Platforme!$B$8)*(1-(Platforme!$B$11+Platforme!$B$12-Platforme!$B$11*Platforme!$B$12))*1/(1+Platforme!$B$31))+Platforme!$B$8)/((1-(Platforme!$C$11+Platforme!$C$12-Platforme!$C$11*Platforme!$C$12))*(1-(Platforme!$C$14*Platforme!$C$15)))),Platforme!$C$16))</f>
        <v/>
      </c>
      <c r="G25" s="29" t="str">
        <f aca="false">IF(Sezoane!$A$26="","",IF(N(Sezoane!O26)=0,CEILING(IF(Platforme!$D$13=1,(((Sezoane!E26-Platforme!$B$8)*(1-(Platforme!$B$11+Platforme!$B$12-Platforme!$B$11*Platforme!$B$12))*1/(1+Platforme!$B$31))/(1-(Platforme!$D$11+Platforme!$D$12-Platforme!$D$11*Platforme!$D$12))+Platforme!$B$8)/(1-(Platforme!$D$14*Platforme!$D$15)),(((Sezoane!E26-Platforme!$B$8)*(1-(Platforme!$B$11+Platforme!$B$12-Platforme!$B$11*Platforme!$B$12))*1/(1+Platforme!$B$31))+Platforme!$B$8)/((1-(Platforme!$D$11+Platforme!$D$12-Platforme!$D$11*Platforme!$D$12))*(1-(Platforme!$D$14*Platforme!$D$15)))),Platforme!$D$16),MAX(CEILING(IF(Platforme!$D$13=1,(((Sezoane!E26-Platforme!$B$8)*(1-(Platforme!$B$11+Platforme!$B$12-Platforme!$B$11*Platforme!$B$12))*Platforme!$B$27*(1+Platforme!$B$31)/(1+Platforme!$B$31))/(1-(Platforme!$D$11+Platforme!$D$12-Platforme!$D$11*Platforme!$D$12))+Platforme!$B$8)/(1-(Platforme!$D$14*Platforme!$D$15)),(((Sezoane!E26-Platforme!$B$8)*(1-(Platforme!$B$11+Platforme!$B$12-Platforme!$B$11*Platforme!$B$12))*Platforme!$B$27*(1+Platforme!$B$31)/(1+Platforme!$B$31))+Platforme!$B$8)/((1-(Platforme!$D$11+Platforme!$D$12-Platforme!$D$11*Platforme!$D$12))*(1-(Platforme!$D$14*Platforme!$D$15)))),Platforme!$D$16),CEILING(CEILING(IF(Platforme!$D$13=1,(((Sezoane!E26-Platforme!$B$8)*(1-(Platforme!$B$11+Platforme!$B$12-Platforme!$B$11*Platforme!$B$12))*1/(1+Platforme!$B$31))/(1-(Platforme!$D$11+Platforme!$D$12-Platforme!$D$11*Platforme!$D$12))+Platforme!$B$8)/(1-(Platforme!$D$14*Platforme!$D$15)),(((Sezoane!E26-Platforme!$B$8)*(1-(Platforme!$B$11+Platforme!$B$12-Platforme!$B$11*Platforme!$B$12))*1/(1+Platforme!$B$31))+Platforme!$B$8)/((1-(Platforme!$D$11+Platforme!$D$12-Platforme!$D$11*Platforme!$D$12))*(1-(Platforme!$D$14*Platforme!$D$15)))),Platforme!$D$16)*(1-Platforme!$B$26)+Sezoane!O26*Platforme!$B$26,Platforme!$D$16))))</f>
        <v/>
      </c>
      <c r="H25" s="29" t="str">
        <f aca="false">IF(Sezoane!$A$26="","",CEILING(IF(Platforme!$E$13=1,(((Sezoane!E26-Platforme!$B$8)*(1-(Platforme!$B$11+Platforme!$B$12-Platforme!$B$11*Platforme!$B$12))*1/(1+Platforme!$B$31))/(1-(Platforme!$E$11+Platforme!$E$12-Platforme!$E$11*Platforme!$E$12))+Platforme!$B$8)/(1-(Platforme!$E$14*Platforme!$E$15)),(((Sezoane!E26-Platforme!$B$8)*(1-(Platforme!$B$11+Platforme!$B$12-Platforme!$B$11*Platforme!$B$12))*1/(1+Platforme!$B$31))+Platforme!$B$8)/((1-(Platforme!$E$11+Platforme!$E$12-Platforme!$E$11*Platforme!$E$12))*(1-(Platforme!$E$14*Platforme!$E$15)))),Platforme!$E$16))</f>
        <v/>
      </c>
      <c r="I25" s="30" t="str">
        <f aca="false">IF(Sezoane!$A$26="","",(Sezoane!E26-Platforme!$B$8)*(1-(Platforme!$B$11+Platforme!$B$12-Platforme!$B$11*Platforme!$B$12)))</f>
        <v/>
      </c>
      <c r="J25" s="30" t="str">
        <f aca="false">IF(Sezoane!$A$26="","",F25*(1-Platforme!$C$14))</f>
        <v/>
      </c>
      <c r="K25" s="31" t="str">
        <f aca="false">IF(Sezoane!$A$26="","",1-E25/MIN(J25,G25,H25))</f>
        <v/>
      </c>
      <c r="L25" s="32" t="str">
        <f aca="false">IF(Sezoane!$A$26="","",IFERROR(INDEX('Date actuale'!$C$6:$C$40,MATCH(A25,'Date actuale'!$A$6:$A$40,0)),""))</f>
        <v/>
      </c>
      <c r="M25" s="32" t="str">
        <f aca="false">IF(Sezoane!$A$26="","",IFERROR(INDEX('Date actuale'!$D$6:$D$40,MATCH(A25,'Date actuale'!$A$6:$A$40,0)),""))</f>
        <v/>
      </c>
      <c r="N25" s="32" t="str">
        <f aca="false">IF(Sezoane!$A$26="","",IFERROR(INDEX('Date actuale'!$E$6:$E$40,MATCH(A25,'Date actuale'!$A$6:$A$40,0)),""))</f>
        <v/>
      </c>
      <c r="O25" s="25" t="str">
        <f aca="false">IF(Sezoane!$A$26="","",Sezoane!M26)</f>
        <v/>
      </c>
      <c r="P25" s="28" t="str">
        <f aca="false">IF(OR(Sezoane!$A$26="",N(Sezoane!O26)=0),"",Sezoane!O26)</f>
        <v/>
      </c>
      <c r="Q25" s="30" t="str">
        <f aca="false">IF(Sezoane!$A$26="","",IF(Platforme!$D$13=1,(G25*(1-Platforme!$D$14)-Platforme!$B$8)*(1-(Platforme!$D$11+Platforme!$D$12-Platforme!$D$11*Platforme!$D$12)),G25*(1-Platforme!$D$14)*(1-(Platforme!$D$11+Platforme!$D$12-Platforme!$D$11*Platforme!$D$12))-Platforme!$B$8))</f>
        <v/>
      </c>
      <c r="R25" s="31" t="str">
        <f aca="false">IF(Sezoane!$A$26="","",Q25/U25-1)</f>
        <v/>
      </c>
      <c r="S25" s="30" t="str">
        <f aca="false">IF(Sezoane!$A$26="","",G25*(1-Platforme!$B$28))</f>
        <v/>
      </c>
      <c r="T25" s="30" t="str">
        <f aca="false">IF(Sezoane!$A$26="","",IF(Platforme!$D$13=1,(S25*(1-Platforme!$D$14)-Platforme!$B$8)*(1-(Platforme!$D$11+Platforme!$D$12-Platforme!$D$11*Platforme!$D$12)),S25*(1-Platforme!$D$14)*(1-(Platforme!$D$11+Platforme!$D$12-Platforme!$D$11*Platforme!$D$12))-Platforme!$B$8))</f>
        <v/>
      </c>
      <c r="U25" s="33" t="str">
        <f aca="false">IF(Sezoane!$A$26="","",I25/(1+Platforme!$B$31))</f>
        <v/>
      </c>
    </row>
    <row r="26" customFormat="false" ht="15" hidden="false" customHeight="false" outlineLevel="0" collapsed="false">
      <c r="A26" s="25" t="str">
        <f aca="false">IF(Sezoane!$A$27="","",Sezoane!A27)</f>
        <v/>
      </c>
      <c r="B26" s="26" t="str">
        <f aca="false">IF(Sezoane!$A$27="","",Sezoane!C27)</f>
        <v/>
      </c>
      <c r="C26" s="26" t="str">
        <f aca="false">IF(Sezoane!$A$27="","",Sezoane!D27)</f>
        <v/>
      </c>
      <c r="D26" s="25" t="str">
        <f aca="false">IF(Sezoane!$A$27="","",Sezoane!F27)</f>
        <v/>
      </c>
      <c r="E26" s="28" t="str">
        <f aca="false">IF(Sezoane!$A$27="","",Sezoane!E27)</f>
        <v/>
      </c>
      <c r="F26" s="29" t="str">
        <f aca="false">IF(Sezoane!$A$27="","",CEILING(IF(Platforme!$C$13=1,(((Sezoane!E27-Platforme!$B$8)*(1-(Platforme!$B$11+Platforme!$B$12-Platforme!$B$11*Platforme!$B$12))*1/(1+Platforme!$B$31))/(1-(Platforme!$C$11+Platforme!$C$12-Platforme!$C$11*Platforme!$C$12))+Platforme!$B$8)/(1-(Platforme!$C$14*Platforme!$C$15)),(((Sezoane!E27-Platforme!$B$8)*(1-(Platforme!$B$11+Platforme!$B$12-Platforme!$B$11*Platforme!$B$12))*1/(1+Platforme!$B$31))+Platforme!$B$8)/((1-(Platforme!$C$11+Platforme!$C$12-Platforme!$C$11*Platforme!$C$12))*(1-(Platforme!$C$14*Platforme!$C$15)))),Platforme!$C$16))</f>
        <v/>
      </c>
      <c r="G26" s="29" t="str">
        <f aca="false">IF(Sezoane!$A$27="","",IF(N(Sezoane!O27)=0,CEILING(IF(Platforme!$D$13=1,(((Sezoane!E27-Platforme!$B$8)*(1-(Platforme!$B$11+Platforme!$B$12-Platforme!$B$11*Platforme!$B$12))*1/(1+Platforme!$B$31))/(1-(Platforme!$D$11+Platforme!$D$12-Platforme!$D$11*Platforme!$D$12))+Platforme!$B$8)/(1-(Platforme!$D$14*Platforme!$D$15)),(((Sezoane!E27-Platforme!$B$8)*(1-(Platforme!$B$11+Platforme!$B$12-Platforme!$B$11*Platforme!$B$12))*1/(1+Platforme!$B$31))+Platforme!$B$8)/((1-(Platforme!$D$11+Platforme!$D$12-Platforme!$D$11*Platforme!$D$12))*(1-(Platforme!$D$14*Platforme!$D$15)))),Platforme!$D$16),MAX(CEILING(IF(Platforme!$D$13=1,(((Sezoane!E27-Platforme!$B$8)*(1-(Platforme!$B$11+Platforme!$B$12-Platforme!$B$11*Platforme!$B$12))*Platforme!$B$27*(1+Platforme!$B$31)/(1+Platforme!$B$31))/(1-(Platforme!$D$11+Platforme!$D$12-Platforme!$D$11*Platforme!$D$12))+Platforme!$B$8)/(1-(Platforme!$D$14*Platforme!$D$15)),(((Sezoane!E27-Platforme!$B$8)*(1-(Platforme!$B$11+Platforme!$B$12-Platforme!$B$11*Platforme!$B$12))*Platforme!$B$27*(1+Platforme!$B$31)/(1+Platforme!$B$31))+Platforme!$B$8)/((1-(Platforme!$D$11+Platforme!$D$12-Platforme!$D$11*Platforme!$D$12))*(1-(Platforme!$D$14*Platforme!$D$15)))),Platforme!$D$16),CEILING(CEILING(IF(Platforme!$D$13=1,(((Sezoane!E27-Platforme!$B$8)*(1-(Platforme!$B$11+Platforme!$B$12-Platforme!$B$11*Platforme!$B$12))*1/(1+Platforme!$B$31))/(1-(Platforme!$D$11+Platforme!$D$12-Platforme!$D$11*Platforme!$D$12))+Platforme!$B$8)/(1-(Platforme!$D$14*Platforme!$D$15)),(((Sezoane!E27-Platforme!$B$8)*(1-(Platforme!$B$11+Platforme!$B$12-Platforme!$B$11*Platforme!$B$12))*1/(1+Platforme!$B$31))+Platforme!$B$8)/((1-(Platforme!$D$11+Platforme!$D$12-Platforme!$D$11*Platforme!$D$12))*(1-(Platforme!$D$14*Platforme!$D$15)))),Platforme!$D$16)*(1-Platforme!$B$26)+Sezoane!O27*Platforme!$B$26,Platforme!$D$16))))</f>
        <v/>
      </c>
      <c r="H26" s="29" t="str">
        <f aca="false">IF(Sezoane!$A$27="","",CEILING(IF(Platforme!$E$13=1,(((Sezoane!E27-Platforme!$B$8)*(1-(Platforme!$B$11+Platforme!$B$12-Platforme!$B$11*Platforme!$B$12))*1/(1+Platforme!$B$31))/(1-(Platforme!$E$11+Platforme!$E$12-Platforme!$E$11*Platforme!$E$12))+Platforme!$B$8)/(1-(Platforme!$E$14*Platforme!$E$15)),(((Sezoane!E27-Platforme!$B$8)*(1-(Platforme!$B$11+Platforme!$B$12-Platforme!$B$11*Platforme!$B$12))*1/(1+Platforme!$B$31))+Platforme!$B$8)/((1-(Platforme!$E$11+Platforme!$E$12-Platforme!$E$11*Platforme!$E$12))*(1-(Platforme!$E$14*Platforme!$E$15)))),Platforme!$E$16))</f>
        <v/>
      </c>
      <c r="I26" s="30" t="str">
        <f aca="false">IF(Sezoane!$A$27="","",(Sezoane!E27-Platforme!$B$8)*(1-(Platforme!$B$11+Platforme!$B$12-Platforme!$B$11*Platforme!$B$12)))</f>
        <v/>
      </c>
      <c r="J26" s="30" t="str">
        <f aca="false">IF(Sezoane!$A$27="","",F26*(1-Platforme!$C$14))</f>
        <v/>
      </c>
      <c r="K26" s="31" t="str">
        <f aca="false">IF(Sezoane!$A$27="","",1-E26/MIN(J26,G26,H26))</f>
        <v/>
      </c>
      <c r="L26" s="32" t="str">
        <f aca="false">IF(Sezoane!$A$27="","",IFERROR(INDEX('Date actuale'!$C$6:$C$40,MATCH(A26,'Date actuale'!$A$6:$A$40,0)),""))</f>
        <v/>
      </c>
      <c r="M26" s="32" t="str">
        <f aca="false">IF(Sezoane!$A$27="","",IFERROR(INDEX('Date actuale'!$D$6:$D$40,MATCH(A26,'Date actuale'!$A$6:$A$40,0)),""))</f>
        <v/>
      </c>
      <c r="N26" s="32" t="str">
        <f aca="false">IF(Sezoane!$A$27="","",IFERROR(INDEX('Date actuale'!$E$6:$E$40,MATCH(A26,'Date actuale'!$A$6:$A$40,0)),""))</f>
        <v/>
      </c>
      <c r="O26" s="25" t="str">
        <f aca="false">IF(Sezoane!$A$27="","",Sezoane!M27)</f>
        <v/>
      </c>
      <c r="P26" s="28" t="str">
        <f aca="false">IF(OR(Sezoane!$A$27="",N(Sezoane!O27)=0),"",Sezoane!O27)</f>
        <v/>
      </c>
      <c r="Q26" s="30" t="str">
        <f aca="false">IF(Sezoane!$A$27="","",IF(Platforme!$D$13=1,(G26*(1-Platforme!$D$14)-Platforme!$B$8)*(1-(Platforme!$D$11+Platforme!$D$12-Platforme!$D$11*Platforme!$D$12)),G26*(1-Platforme!$D$14)*(1-(Platforme!$D$11+Platforme!$D$12-Platforme!$D$11*Platforme!$D$12))-Platforme!$B$8))</f>
        <v/>
      </c>
      <c r="R26" s="31" t="str">
        <f aca="false">IF(Sezoane!$A$27="","",Q26/U26-1)</f>
        <v/>
      </c>
      <c r="S26" s="30" t="str">
        <f aca="false">IF(Sezoane!$A$27="","",G26*(1-Platforme!$B$28))</f>
        <v/>
      </c>
      <c r="T26" s="30" t="str">
        <f aca="false">IF(Sezoane!$A$27="","",IF(Platforme!$D$13=1,(S26*(1-Platforme!$D$14)-Platforme!$B$8)*(1-(Platforme!$D$11+Platforme!$D$12-Platforme!$D$11*Platforme!$D$12)),S26*(1-Platforme!$D$14)*(1-(Platforme!$D$11+Platforme!$D$12-Platforme!$D$11*Platforme!$D$12))-Platforme!$B$8))</f>
        <v/>
      </c>
      <c r="U26" s="33" t="str">
        <f aca="false">IF(Sezoane!$A$27="","",I26/(1+Platforme!$B$31))</f>
        <v/>
      </c>
    </row>
    <row r="27" customFormat="false" ht="15" hidden="false" customHeight="false" outlineLevel="0" collapsed="false">
      <c r="A27" s="25" t="str">
        <f aca="false">IF(Sezoane!$A$28="","",Sezoane!A28)</f>
        <v/>
      </c>
      <c r="B27" s="26" t="str">
        <f aca="false">IF(Sezoane!$A$28="","",Sezoane!C28)</f>
        <v/>
      </c>
      <c r="C27" s="26" t="str">
        <f aca="false">IF(Sezoane!$A$28="","",Sezoane!D28)</f>
        <v/>
      </c>
      <c r="D27" s="25" t="str">
        <f aca="false">IF(Sezoane!$A$28="","",Sezoane!F28)</f>
        <v/>
      </c>
      <c r="E27" s="28" t="str">
        <f aca="false">IF(Sezoane!$A$28="","",Sezoane!E28)</f>
        <v/>
      </c>
      <c r="F27" s="29" t="str">
        <f aca="false">IF(Sezoane!$A$28="","",CEILING(IF(Platforme!$C$13=1,(((Sezoane!E28-Platforme!$B$8)*(1-(Platforme!$B$11+Platforme!$B$12-Platforme!$B$11*Platforme!$B$12))*1/(1+Platforme!$B$31))/(1-(Platforme!$C$11+Platforme!$C$12-Platforme!$C$11*Platforme!$C$12))+Platforme!$B$8)/(1-(Platforme!$C$14*Platforme!$C$15)),(((Sezoane!E28-Platforme!$B$8)*(1-(Platforme!$B$11+Platforme!$B$12-Platforme!$B$11*Platforme!$B$12))*1/(1+Platforme!$B$31))+Platforme!$B$8)/((1-(Platforme!$C$11+Platforme!$C$12-Platforme!$C$11*Platforme!$C$12))*(1-(Platforme!$C$14*Platforme!$C$15)))),Platforme!$C$16))</f>
        <v/>
      </c>
      <c r="G27" s="29" t="str">
        <f aca="false">IF(Sezoane!$A$28="","",IF(N(Sezoane!O28)=0,CEILING(IF(Platforme!$D$13=1,(((Sezoane!E28-Platforme!$B$8)*(1-(Platforme!$B$11+Platforme!$B$12-Platforme!$B$11*Platforme!$B$12))*1/(1+Platforme!$B$31))/(1-(Platforme!$D$11+Platforme!$D$12-Platforme!$D$11*Platforme!$D$12))+Platforme!$B$8)/(1-(Platforme!$D$14*Platforme!$D$15)),(((Sezoane!E28-Platforme!$B$8)*(1-(Platforme!$B$11+Platforme!$B$12-Platforme!$B$11*Platforme!$B$12))*1/(1+Platforme!$B$31))+Platforme!$B$8)/((1-(Platforme!$D$11+Platforme!$D$12-Platforme!$D$11*Platforme!$D$12))*(1-(Platforme!$D$14*Platforme!$D$15)))),Platforme!$D$16),MAX(CEILING(IF(Platforme!$D$13=1,(((Sezoane!E28-Platforme!$B$8)*(1-(Platforme!$B$11+Platforme!$B$12-Platforme!$B$11*Platforme!$B$12))*Platforme!$B$27*(1+Platforme!$B$31)/(1+Platforme!$B$31))/(1-(Platforme!$D$11+Platforme!$D$12-Platforme!$D$11*Platforme!$D$12))+Platforme!$B$8)/(1-(Platforme!$D$14*Platforme!$D$15)),(((Sezoane!E28-Platforme!$B$8)*(1-(Platforme!$B$11+Platforme!$B$12-Platforme!$B$11*Platforme!$B$12))*Platforme!$B$27*(1+Platforme!$B$31)/(1+Platforme!$B$31))+Platforme!$B$8)/((1-(Platforme!$D$11+Platforme!$D$12-Platforme!$D$11*Platforme!$D$12))*(1-(Platforme!$D$14*Platforme!$D$15)))),Platforme!$D$16),CEILING(CEILING(IF(Platforme!$D$13=1,(((Sezoane!E28-Platforme!$B$8)*(1-(Platforme!$B$11+Platforme!$B$12-Platforme!$B$11*Platforme!$B$12))*1/(1+Platforme!$B$31))/(1-(Platforme!$D$11+Platforme!$D$12-Platforme!$D$11*Platforme!$D$12))+Platforme!$B$8)/(1-(Platforme!$D$14*Platforme!$D$15)),(((Sezoane!E28-Platforme!$B$8)*(1-(Platforme!$B$11+Platforme!$B$12-Platforme!$B$11*Platforme!$B$12))*1/(1+Platforme!$B$31))+Platforme!$B$8)/((1-(Platforme!$D$11+Platforme!$D$12-Platforme!$D$11*Platforme!$D$12))*(1-(Platforme!$D$14*Platforme!$D$15)))),Platforme!$D$16)*(1-Platforme!$B$26)+Sezoane!O28*Platforme!$B$26,Platforme!$D$16))))</f>
        <v/>
      </c>
      <c r="H27" s="29" t="str">
        <f aca="false">IF(Sezoane!$A$28="","",CEILING(IF(Platforme!$E$13=1,(((Sezoane!E28-Platforme!$B$8)*(1-(Platforme!$B$11+Platforme!$B$12-Platforme!$B$11*Platforme!$B$12))*1/(1+Platforme!$B$31))/(1-(Platforme!$E$11+Platforme!$E$12-Platforme!$E$11*Platforme!$E$12))+Platforme!$B$8)/(1-(Platforme!$E$14*Platforme!$E$15)),(((Sezoane!E28-Platforme!$B$8)*(1-(Platforme!$B$11+Platforme!$B$12-Platforme!$B$11*Platforme!$B$12))*1/(1+Platforme!$B$31))+Platforme!$B$8)/((1-(Platforme!$E$11+Platforme!$E$12-Platforme!$E$11*Platforme!$E$12))*(1-(Platforme!$E$14*Platforme!$E$15)))),Platforme!$E$16))</f>
        <v/>
      </c>
      <c r="I27" s="30" t="str">
        <f aca="false">IF(Sezoane!$A$28="","",(Sezoane!E28-Platforme!$B$8)*(1-(Platforme!$B$11+Platforme!$B$12-Platforme!$B$11*Platforme!$B$12)))</f>
        <v/>
      </c>
      <c r="J27" s="30" t="str">
        <f aca="false">IF(Sezoane!$A$28="","",F27*(1-Platforme!$C$14))</f>
        <v/>
      </c>
      <c r="K27" s="31" t="str">
        <f aca="false">IF(Sezoane!$A$28="","",1-E27/MIN(J27,G27,H27))</f>
        <v/>
      </c>
      <c r="L27" s="32" t="str">
        <f aca="false">IF(Sezoane!$A$28="","",IFERROR(INDEX('Date actuale'!$C$6:$C$40,MATCH(A27,'Date actuale'!$A$6:$A$40,0)),""))</f>
        <v/>
      </c>
      <c r="M27" s="32" t="str">
        <f aca="false">IF(Sezoane!$A$28="","",IFERROR(INDEX('Date actuale'!$D$6:$D$40,MATCH(A27,'Date actuale'!$A$6:$A$40,0)),""))</f>
        <v/>
      </c>
      <c r="N27" s="32" t="str">
        <f aca="false">IF(Sezoane!$A$28="","",IFERROR(INDEX('Date actuale'!$E$6:$E$40,MATCH(A27,'Date actuale'!$A$6:$A$40,0)),""))</f>
        <v/>
      </c>
      <c r="O27" s="25" t="str">
        <f aca="false">IF(Sezoane!$A$28="","",Sezoane!M28)</f>
        <v/>
      </c>
      <c r="P27" s="28" t="str">
        <f aca="false">IF(OR(Sezoane!$A$28="",N(Sezoane!O28)=0),"",Sezoane!O28)</f>
        <v/>
      </c>
      <c r="Q27" s="30" t="str">
        <f aca="false">IF(Sezoane!$A$28="","",IF(Platforme!$D$13=1,(G27*(1-Platforme!$D$14)-Platforme!$B$8)*(1-(Platforme!$D$11+Platforme!$D$12-Platforme!$D$11*Platforme!$D$12)),G27*(1-Platforme!$D$14)*(1-(Platforme!$D$11+Platforme!$D$12-Platforme!$D$11*Platforme!$D$12))-Platforme!$B$8))</f>
        <v/>
      </c>
      <c r="R27" s="31" t="str">
        <f aca="false">IF(Sezoane!$A$28="","",Q27/U27-1)</f>
        <v/>
      </c>
      <c r="S27" s="30" t="str">
        <f aca="false">IF(Sezoane!$A$28="","",G27*(1-Platforme!$B$28))</f>
        <v/>
      </c>
      <c r="T27" s="30" t="str">
        <f aca="false">IF(Sezoane!$A$28="","",IF(Platforme!$D$13=1,(S27*(1-Platforme!$D$14)-Platforme!$B$8)*(1-(Platforme!$D$11+Platforme!$D$12-Platforme!$D$11*Platforme!$D$12)),S27*(1-Platforme!$D$14)*(1-(Platforme!$D$11+Platforme!$D$12-Platforme!$D$11*Platforme!$D$12))-Platforme!$B$8))</f>
        <v/>
      </c>
      <c r="U27" s="33" t="str">
        <f aca="false">IF(Sezoane!$A$28="","",I27/(1+Platforme!$B$31))</f>
        <v/>
      </c>
    </row>
    <row r="28" customFormat="false" ht="15" hidden="false" customHeight="false" outlineLevel="0" collapsed="false">
      <c r="A28" s="25" t="str">
        <f aca="false">IF(Sezoane!$A$29="","",Sezoane!A29)</f>
        <v/>
      </c>
      <c r="B28" s="26" t="str">
        <f aca="false">IF(Sezoane!$A$29="","",Sezoane!C29)</f>
        <v/>
      </c>
      <c r="C28" s="26" t="str">
        <f aca="false">IF(Sezoane!$A$29="","",Sezoane!D29)</f>
        <v/>
      </c>
      <c r="D28" s="25" t="str">
        <f aca="false">IF(Sezoane!$A$29="","",Sezoane!F29)</f>
        <v/>
      </c>
      <c r="E28" s="28" t="str">
        <f aca="false">IF(Sezoane!$A$29="","",Sezoane!E29)</f>
        <v/>
      </c>
      <c r="F28" s="29" t="str">
        <f aca="false">IF(Sezoane!$A$29="","",CEILING(IF(Platforme!$C$13=1,(((Sezoane!E29-Platforme!$B$8)*(1-(Platforme!$B$11+Platforme!$B$12-Platforme!$B$11*Platforme!$B$12))*1/(1+Platforme!$B$31))/(1-(Platforme!$C$11+Platforme!$C$12-Platforme!$C$11*Platforme!$C$12))+Platforme!$B$8)/(1-(Platforme!$C$14*Platforme!$C$15)),(((Sezoane!E29-Platforme!$B$8)*(1-(Platforme!$B$11+Platforme!$B$12-Platforme!$B$11*Platforme!$B$12))*1/(1+Platforme!$B$31))+Platforme!$B$8)/((1-(Platforme!$C$11+Platforme!$C$12-Platforme!$C$11*Platforme!$C$12))*(1-(Platforme!$C$14*Platforme!$C$15)))),Platforme!$C$16))</f>
        <v/>
      </c>
      <c r="G28" s="29" t="str">
        <f aca="false">IF(Sezoane!$A$29="","",IF(N(Sezoane!O29)=0,CEILING(IF(Platforme!$D$13=1,(((Sezoane!E29-Platforme!$B$8)*(1-(Platforme!$B$11+Platforme!$B$12-Platforme!$B$11*Platforme!$B$12))*1/(1+Platforme!$B$31))/(1-(Platforme!$D$11+Platforme!$D$12-Platforme!$D$11*Platforme!$D$12))+Platforme!$B$8)/(1-(Platforme!$D$14*Platforme!$D$15)),(((Sezoane!E29-Platforme!$B$8)*(1-(Platforme!$B$11+Platforme!$B$12-Platforme!$B$11*Platforme!$B$12))*1/(1+Platforme!$B$31))+Platforme!$B$8)/((1-(Platforme!$D$11+Platforme!$D$12-Platforme!$D$11*Platforme!$D$12))*(1-(Platforme!$D$14*Platforme!$D$15)))),Platforme!$D$16),MAX(CEILING(IF(Platforme!$D$13=1,(((Sezoane!E29-Platforme!$B$8)*(1-(Platforme!$B$11+Platforme!$B$12-Platforme!$B$11*Platforme!$B$12))*Platforme!$B$27*(1+Platforme!$B$31)/(1+Platforme!$B$31))/(1-(Platforme!$D$11+Platforme!$D$12-Platforme!$D$11*Platforme!$D$12))+Platforme!$B$8)/(1-(Platforme!$D$14*Platforme!$D$15)),(((Sezoane!E29-Platforme!$B$8)*(1-(Platforme!$B$11+Platforme!$B$12-Platforme!$B$11*Platforme!$B$12))*Platforme!$B$27*(1+Platforme!$B$31)/(1+Platforme!$B$31))+Platforme!$B$8)/((1-(Platforme!$D$11+Platforme!$D$12-Platforme!$D$11*Platforme!$D$12))*(1-(Platforme!$D$14*Platforme!$D$15)))),Platforme!$D$16),CEILING(CEILING(IF(Platforme!$D$13=1,(((Sezoane!E29-Platforme!$B$8)*(1-(Platforme!$B$11+Platforme!$B$12-Platforme!$B$11*Platforme!$B$12))*1/(1+Platforme!$B$31))/(1-(Platforme!$D$11+Platforme!$D$12-Platforme!$D$11*Platforme!$D$12))+Platforme!$B$8)/(1-(Platforme!$D$14*Platforme!$D$15)),(((Sezoane!E29-Platforme!$B$8)*(1-(Platforme!$B$11+Platforme!$B$12-Platforme!$B$11*Platforme!$B$12))*1/(1+Platforme!$B$31))+Platforme!$B$8)/((1-(Platforme!$D$11+Platforme!$D$12-Platforme!$D$11*Platforme!$D$12))*(1-(Platforme!$D$14*Platforme!$D$15)))),Platforme!$D$16)*(1-Platforme!$B$26)+Sezoane!O29*Platforme!$B$26,Platforme!$D$16))))</f>
        <v/>
      </c>
      <c r="H28" s="29" t="str">
        <f aca="false">IF(Sezoane!$A$29="","",CEILING(IF(Platforme!$E$13=1,(((Sezoane!E29-Platforme!$B$8)*(1-(Platforme!$B$11+Platforme!$B$12-Platforme!$B$11*Platforme!$B$12))*1/(1+Platforme!$B$31))/(1-(Platforme!$E$11+Platforme!$E$12-Platforme!$E$11*Platforme!$E$12))+Platforme!$B$8)/(1-(Platforme!$E$14*Platforme!$E$15)),(((Sezoane!E29-Platforme!$B$8)*(1-(Platforme!$B$11+Platforme!$B$12-Platforme!$B$11*Platforme!$B$12))*1/(1+Platforme!$B$31))+Platforme!$B$8)/((1-(Platforme!$E$11+Platforme!$E$12-Platforme!$E$11*Platforme!$E$12))*(1-(Platforme!$E$14*Platforme!$E$15)))),Platforme!$E$16))</f>
        <v/>
      </c>
      <c r="I28" s="30" t="str">
        <f aca="false">IF(Sezoane!$A$29="","",(Sezoane!E29-Platforme!$B$8)*(1-(Platforme!$B$11+Platforme!$B$12-Platforme!$B$11*Platforme!$B$12)))</f>
        <v/>
      </c>
      <c r="J28" s="30" t="str">
        <f aca="false">IF(Sezoane!$A$29="","",F28*(1-Platforme!$C$14))</f>
        <v/>
      </c>
      <c r="K28" s="31" t="str">
        <f aca="false">IF(Sezoane!$A$29="","",1-E28/MIN(J28,G28,H28))</f>
        <v/>
      </c>
      <c r="L28" s="32" t="str">
        <f aca="false">IF(Sezoane!$A$29="","",IFERROR(INDEX('Date actuale'!$C$6:$C$40,MATCH(A28,'Date actuale'!$A$6:$A$40,0)),""))</f>
        <v/>
      </c>
      <c r="M28" s="32" t="str">
        <f aca="false">IF(Sezoane!$A$29="","",IFERROR(INDEX('Date actuale'!$D$6:$D$40,MATCH(A28,'Date actuale'!$A$6:$A$40,0)),""))</f>
        <v/>
      </c>
      <c r="N28" s="32" t="str">
        <f aca="false">IF(Sezoane!$A$29="","",IFERROR(INDEX('Date actuale'!$E$6:$E$40,MATCH(A28,'Date actuale'!$A$6:$A$40,0)),""))</f>
        <v/>
      </c>
      <c r="O28" s="25" t="str">
        <f aca="false">IF(Sezoane!$A$29="","",Sezoane!M29)</f>
        <v/>
      </c>
      <c r="P28" s="28" t="str">
        <f aca="false">IF(OR(Sezoane!$A$29="",N(Sezoane!O29)=0),"",Sezoane!O29)</f>
        <v/>
      </c>
      <c r="Q28" s="30" t="str">
        <f aca="false">IF(Sezoane!$A$29="","",IF(Platforme!$D$13=1,(G28*(1-Platforme!$D$14)-Platforme!$B$8)*(1-(Platforme!$D$11+Platforme!$D$12-Platforme!$D$11*Platforme!$D$12)),G28*(1-Platforme!$D$14)*(1-(Platforme!$D$11+Platforme!$D$12-Platforme!$D$11*Platforme!$D$12))-Platforme!$B$8))</f>
        <v/>
      </c>
      <c r="R28" s="31" t="str">
        <f aca="false">IF(Sezoane!$A$29="","",Q28/U28-1)</f>
        <v/>
      </c>
      <c r="S28" s="30" t="str">
        <f aca="false">IF(Sezoane!$A$29="","",G28*(1-Platforme!$B$28))</f>
        <v/>
      </c>
      <c r="T28" s="30" t="str">
        <f aca="false">IF(Sezoane!$A$29="","",IF(Platforme!$D$13=1,(S28*(1-Platforme!$D$14)-Platforme!$B$8)*(1-(Platforme!$D$11+Platforme!$D$12-Platforme!$D$11*Platforme!$D$12)),S28*(1-Platforme!$D$14)*(1-(Platforme!$D$11+Platforme!$D$12-Platforme!$D$11*Platforme!$D$12))-Platforme!$B$8))</f>
        <v/>
      </c>
      <c r="U28" s="33" t="str">
        <f aca="false">IF(Sezoane!$A$29="","",I28/(1+Platforme!$B$31))</f>
        <v/>
      </c>
    </row>
    <row r="29" customFormat="false" ht="15" hidden="false" customHeight="false" outlineLevel="0" collapsed="false">
      <c r="A29" s="25" t="str">
        <f aca="false">IF(Sezoane!$A$30="","",Sezoane!A30)</f>
        <v/>
      </c>
      <c r="B29" s="26" t="str">
        <f aca="false">IF(Sezoane!$A$30="","",Sezoane!C30)</f>
        <v/>
      </c>
      <c r="C29" s="26" t="str">
        <f aca="false">IF(Sezoane!$A$30="","",Sezoane!D30)</f>
        <v/>
      </c>
      <c r="D29" s="25" t="str">
        <f aca="false">IF(Sezoane!$A$30="","",Sezoane!F30)</f>
        <v/>
      </c>
      <c r="E29" s="28" t="str">
        <f aca="false">IF(Sezoane!$A$30="","",Sezoane!E30)</f>
        <v/>
      </c>
      <c r="F29" s="29" t="str">
        <f aca="false">IF(Sezoane!$A$30="","",CEILING(IF(Platforme!$C$13=1,(((Sezoane!E30-Platforme!$B$8)*(1-(Platforme!$B$11+Platforme!$B$12-Platforme!$B$11*Platforme!$B$12))*1/(1+Platforme!$B$31))/(1-(Platforme!$C$11+Platforme!$C$12-Platforme!$C$11*Platforme!$C$12))+Platforme!$B$8)/(1-(Platforme!$C$14*Platforme!$C$15)),(((Sezoane!E30-Platforme!$B$8)*(1-(Platforme!$B$11+Platforme!$B$12-Platforme!$B$11*Platforme!$B$12))*1/(1+Platforme!$B$31))+Platforme!$B$8)/((1-(Platforme!$C$11+Platforme!$C$12-Platforme!$C$11*Platforme!$C$12))*(1-(Platforme!$C$14*Platforme!$C$15)))),Platforme!$C$16))</f>
        <v/>
      </c>
      <c r="G29" s="29" t="str">
        <f aca="false">IF(Sezoane!$A$30="","",IF(N(Sezoane!O30)=0,CEILING(IF(Platforme!$D$13=1,(((Sezoane!E30-Platforme!$B$8)*(1-(Platforme!$B$11+Platforme!$B$12-Platforme!$B$11*Platforme!$B$12))*1/(1+Platforme!$B$31))/(1-(Platforme!$D$11+Platforme!$D$12-Platforme!$D$11*Platforme!$D$12))+Platforme!$B$8)/(1-(Platforme!$D$14*Platforme!$D$15)),(((Sezoane!E30-Platforme!$B$8)*(1-(Platforme!$B$11+Platforme!$B$12-Platforme!$B$11*Platforme!$B$12))*1/(1+Platforme!$B$31))+Platforme!$B$8)/((1-(Platforme!$D$11+Platforme!$D$12-Platforme!$D$11*Platforme!$D$12))*(1-(Platforme!$D$14*Platforme!$D$15)))),Platforme!$D$16),MAX(CEILING(IF(Platforme!$D$13=1,(((Sezoane!E30-Platforme!$B$8)*(1-(Platforme!$B$11+Platforme!$B$12-Platforme!$B$11*Platforme!$B$12))*Platforme!$B$27*(1+Platforme!$B$31)/(1+Platforme!$B$31))/(1-(Platforme!$D$11+Platforme!$D$12-Platforme!$D$11*Platforme!$D$12))+Platforme!$B$8)/(1-(Platforme!$D$14*Platforme!$D$15)),(((Sezoane!E30-Platforme!$B$8)*(1-(Platforme!$B$11+Platforme!$B$12-Platforme!$B$11*Platforme!$B$12))*Platforme!$B$27*(1+Platforme!$B$31)/(1+Platforme!$B$31))+Platforme!$B$8)/((1-(Platforme!$D$11+Platforme!$D$12-Platforme!$D$11*Platforme!$D$12))*(1-(Platforme!$D$14*Platforme!$D$15)))),Platforme!$D$16),CEILING(CEILING(IF(Platforme!$D$13=1,(((Sezoane!E30-Platforme!$B$8)*(1-(Platforme!$B$11+Platforme!$B$12-Platforme!$B$11*Platforme!$B$12))*1/(1+Platforme!$B$31))/(1-(Platforme!$D$11+Platforme!$D$12-Platforme!$D$11*Platforme!$D$12))+Platforme!$B$8)/(1-(Platforme!$D$14*Platforme!$D$15)),(((Sezoane!E30-Platforme!$B$8)*(1-(Platforme!$B$11+Platforme!$B$12-Platforme!$B$11*Platforme!$B$12))*1/(1+Platforme!$B$31))+Platforme!$B$8)/((1-(Platforme!$D$11+Platforme!$D$12-Platforme!$D$11*Platforme!$D$12))*(1-(Platforme!$D$14*Platforme!$D$15)))),Platforme!$D$16)*(1-Platforme!$B$26)+Sezoane!O30*Platforme!$B$26,Platforme!$D$16))))</f>
        <v/>
      </c>
      <c r="H29" s="29" t="str">
        <f aca="false">IF(Sezoane!$A$30="","",CEILING(IF(Platforme!$E$13=1,(((Sezoane!E30-Platforme!$B$8)*(1-(Platforme!$B$11+Platforme!$B$12-Platforme!$B$11*Platforme!$B$12))*1/(1+Platforme!$B$31))/(1-(Platforme!$E$11+Platforme!$E$12-Platforme!$E$11*Platforme!$E$12))+Platforme!$B$8)/(1-(Platforme!$E$14*Platforme!$E$15)),(((Sezoane!E30-Platforme!$B$8)*(1-(Platforme!$B$11+Platforme!$B$12-Platforme!$B$11*Platforme!$B$12))*1/(1+Platforme!$B$31))+Platforme!$B$8)/((1-(Platforme!$E$11+Platforme!$E$12-Platforme!$E$11*Platforme!$E$12))*(1-(Platforme!$E$14*Platforme!$E$15)))),Platforme!$E$16))</f>
        <v/>
      </c>
      <c r="I29" s="30" t="str">
        <f aca="false">IF(Sezoane!$A$30="","",(Sezoane!E30-Platforme!$B$8)*(1-(Platforme!$B$11+Platforme!$B$12-Platforme!$B$11*Platforme!$B$12)))</f>
        <v/>
      </c>
      <c r="J29" s="30" t="str">
        <f aca="false">IF(Sezoane!$A$30="","",F29*(1-Platforme!$C$14))</f>
        <v/>
      </c>
      <c r="K29" s="31" t="str">
        <f aca="false">IF(Sezoane!$A$30="","",1-E29/MIN(J29,G29,H29))</f>
        <v/>
      </c>
      <c r="L29" s="32" t="str">
        <f aca="false">IF(Sezoane!$A$30="","",IFERROR(INDEX('Date actuale'!$C$6:$C$40,MATCH(A29,'Date actuale'!$A$6:$A$40,0)),""))</f>
        <v/>
      </c>
      <c r="M29" s="32" t="str">
        <f aca="false">IF(Sezoane!$A$30="","",IFERROR(INDEX('Date actuale'!$D$6:$D$40,MATCH(A29,'Date actuale'!$A$6:$A$40,0)),""))</f>
        <v/>
      </c>
      <c r="N29" s="32" t="str">
        <f aca="false">IF(Sezoane!$A$30="","",IFERROR(INDEX('Date actuale'!$E$6:$E$40,MATCH(A29,'Date actuale'!$A$6:$A$40,0)),""))</f>
        <v/>
      </c>
      <c r="O29" s="25" t="str">
        <f aca="false">IF(Sezoane!$A$30="","",Sezoane!M30)</f>
        <v/>
      </c>
      <c r="P29" s="28" t="str">
        <f aca="false">IF(OR(Sezoane!$A$30="",N(Sezoane!O30)=0),"",Sezoane!O30)</f>
        <v/>
      </c>
      <c r="Q29" s="30" t="str">
        <f aca="false">IF(Sezoane!$A$30="","",IF(Platforme!$D$13=1,(G29*(1-Platforme!$D$14)-Platforme!$B$8)*(1-(Platforme!$D$11+Platforme!$D$12-Platforme!$D$11*Platforme!$D$12)),G29*(1-Platforme!$D$14)*(1-(Platforme!$D$11+Platforme!$D$12-Platforme!$D$11*Platforme!$D$12))-Platforme!$B$8))</f>
        <v/>
      </c>
      <c r="R29" s="31" t="str">
        <f aca="false">IF(Sezoane!$A$30="","",Q29/U29-1)</f>
        <v/>
      </c>
      <c r="S29" s="30" t="str">
        <f aca="false">IF(Sezoane!$A$30="","",G29*(1-Platforme!$B$28))</f>
        <v/>
      </c>
      <c r="T29" s="30" t="str">
        <f aca="false">IF(Sezoane!$A$30="","",IF(Platforme!$D$13=1,(S29*(1-Platforme!$D$14)-Platforme!$B$8)*(1-(Platforme!$D$11+Platforme!$D$12-Platforme!$D$11*Platforme!$D$12)),S29*(1-Platforme!$D$14)*(1-(Platforme!$D$11+Platforme!$D$12-Platforme!$D$11*Platforme!$D$12))-Platforme!$B$8))</f>
        <v/>
      </c>
      <c r="U29" s="33" t="str">
        <f aca="false">IF(Sezoane!$A$30="","",I29/(1+Platforme!$B$31))</f>
        <v/>
      </c>
    </row>
    <row r="30" customFormat="false" ht="15" hidden="false" customHeight="false" outlineLevel="0" collapsed="false">
      <c r="A30" s="25" t="str">
        <f aca="false">IF(Sezoane!$A$31="","",Sezoane!A31)</f>
        <v/>
      </c>
      <c r="B30" s="26" t="str">
        <f aca="false">IF(Sezoane!$A$31="","",Sezoane!C31)</f>
        <v/>
      </c>
      <c r="C30" s="26" t="str">
        <f aca="false">IF(Sezoane!$A$31="","",Sezoane!D31)</f>
        <v/>
      </c>
      <c r="D30" s="25" t="str">
        <f aca="false">IF(Sezoane!$A$31="","",Sezoane!F31)</f>
        <v/>
      </c>
      <c r="E30" s="28" t="str">
        <f aca="false">IF(Sezoane!$A$31="","",Sezoane!E31)</f>
        <v/>
      </c>
      <c r="F30" s="29" t="str">
        <f aca="false">IF(Sezoane!$A$31="","",CEILING(IF(Platforme!$C$13=1,(((Sezoane!E31-Platforme!$B$8)*(1-(Platforme!$B$11+Platforme!$B$12-Platforme!$B$11*Platforme!$B$12))*1/(1+Platforme!$B$31))/(1-(Platforme!$C$11+Platforme!$C$12-Platforme!$C$11*Platforme!$C$12))+Platforme!$B$8)/(1-(Platforme!$C$14*Platforme!$C$15)),(((Sezoane!E31-Platforme!$B$8)*(1-(Platforme!$B$11+Platforme!$B$12-Platforme!$B$11*Platforme!$B$12))*1/(1+Platforme!$B$31))+Platforme!$B$8)/((1-(Platforme!$C$11+Platforme!$C$12-Platforme!$C$11*Platforme!$C$12))*(1-(Platforme!$C$14*Platforme!$C$15)))),Platforme!$C$16))</f>
        <v/>
      </c>
      <c r="G30" s="29" t="str">
        <f aca="false">IF(Sezoane!$A$31="","",IF(N(Sezoane!O31)=0,CEILING(IF(Platforme!$D$13=1,(((Sezoane!E31-Platforme!$B$8)*(1-(Platforme!$B$11+Platforme!$B$12-Platforme!$B$11*Platforme!$B$12))*1/(1+Platforme!$B$31))/(1-(Platforme!$D$11+Platforme!$D$12-Platforme!$D$11*Platforme!$D$12))+Platforme!$B$8)/(1-(Platforme!$D$14*Platforme!$D$15)),(((Sezoane!E31-Platforme!$B$8)*(1-(Platforme!$B$11+Platforme!$B$12-Platforme!$B$11*Platforme!$B$12))*1/(1+Platforme!$B$31))+Platforme!$B$8)/((1-(Platforme!$D$11+Platforme!$D$12-Platforme!$D$11*Platforme!$D$12))*(1-(Platforme!$D$14*Platforme!$D$15)))),Platforme!$D$16),MAX(CEILING(IF(Platforme!$D$13=1,(((Sezoane!E31-Platforme!$B$8)*(1-(Platforme!$B$11+Platforme!$B$12-Platforme!$B$11*Platforme!$B$12))*Platforme!$B$27*(1+Platforme!$B$31)/(1+Platforme!$B$31))/(1-(Platforme!$D$11+Platforme!$D$12-Platforme!$D$11*Platforme!$D$12))+Platforme!$B$8)/(1-(Platforme!$D$14*Platforme!$D$15)),(((Sezoane!E31-Platforme!$B$8)*(1-(Platforme!$B$11+Platforme!$B$12-Platforme!$B$11*Platforme!$B$12))*Platforme!$B$27*(1+Platforme!$B$31)/(1+Platforme!$B$31))+Platforme!$B$8)/((1-(Platforme!$D$11+Platforme!$D$12-Platforme!$D$11*Platforme!$D$12))*(1-(Platforme!$D$14*Platforme!$D$15)))),Platforme!$D$16),CEILING(CEILING(IF(Platforme!$D$13=1,(((Sezoane!E31-Platforme!$B$8)*(1-(Platforme!$B$11+Platforme!$B$12-Platforme!$B$11*Platforme!$B$12))*1/(1+Platforme!$B$31))/(1-(Platforme!$D$11+Platforme!$D$12-Platforme!$D$11*Platforme!$D$12))+Platforme!$B$8)/(1-(Platforme!$D$14*Platforme!$D$15)),(((Sezoane!E31-Platforme!$B$8)*(1-(Platforme!$B$11+Platforme!$B$12-Platforme!$B$11*Platforme!$B$12))*1/(1+Platforme!$B$31))+Platforme!$B$8)/((1-(Platforme!$D$11+Platforme!$D$12-Platforme!$D$11*Platforme!$D$12))*(1-(Platforme!$D$14*Platforme!$D$15)))),Platforme!$D$16)*(1-Platforme!$B$26)+Sezoane!O31*Platforme!$B$26,Platforme!$D$16))))</f>
        <v/>
      </c>
      <c r="H30" s="29" t="str">
        <f aca="false">IF(Sezoane!$A$31="","",CEILING(IF(Platforme!$E$13=1,(((Sezoane!E31-Platforme!$B$8)*(1-(Platforme!$B$11+Platforme!$B$12-Platforme!$B$11*Platforme!$B$12))*1/(1+Platforme!$B$31))/(1-(Platforme!$E$11+Platforme!$E$12-Platforme!$E$11*Platforme!$E$12))+Platforme!$B$8)/(1-(Platforme!$E$14*Platforme!$E$15)),(((Sezoane!E31-Platforme!$B$8)*(1-(Platforme!$B$11+Platforme!$B$12-Platforme!$B$11*Platforme!$B$12))*1/(1+Platforme!$B$31))+Platforme!$B$8)/((1-(Platforme!$E$11+Platforme!$E$12-Platforme!$E$11*Platforme!$E$12))*(1-(Platforme!$E$14*Platforme!$E$15)))),Platforme!$E$16))</f>
        <v/>
      </c>
      <c r="I30" s="30" t="str">
        <f aca="false">IF(Sezoane!$A$31="","",(Sezoane!E31-Platforme!$B$8)*(1-(Platforme!$B$11+Platforme!$B$12-Platforme!$B$11*Platforme!$B$12)))</f>
        <v/>
      </c>
      <c r="J30" s="30" t="str">
        <f aca="false">IF(Sezoane!$A$31="","",F30*(1-Platforme!$C$14))</f>
        <v/>
      </c>
      <c r="K30" s="31" t="str">
        <f aca="false">IF(Sezoane!$A$31="","",1-E30/MIN(J30,G30,H30))</f>
        <v/>
      </c>
      <c r="L30" s="32" t="str">
        <f aca="false">IF(Sezoane!$A$31="","",IFERROR(INDEX('Date actuale'!$C$6:$C$40,MATCH(A30,'Date actuale'!$A$6:$A$40,0)),""))</f>
        <v/>
      </c>
      <c r="M30" s="32" t="str">
        <f aca="false">IF(Sezoane!$A$31="","",IFERROR(INDEX('Date actuale'!$D$6:$D$40,MATCH(A30,'Date actuale'!$A$6:$A$40,0)),""))</f>
        <v/>
      </c>
      <c r="N30" s="32" t="str">
        <f aca="false">IF(Sezoane!$A$31="","",IFERROR(INDEX('Date actuale'!$E$6:$E$40,MATCH(A30,'Date actuale'!$A$6:$A$40,0)),""))</f>
        <v/>
      </c>
      <c r="O30" s="25" t="str">
        <f aca="false">IF(Sezoane!$A$31="","",Sezoane!M31)</f>
        <v/>
      </c>
      <c r="P30" s="28" t="str">
        <f aca="false">IF(OR(Sezoane!$A$31="",N(Sezoane!O31)=0),"",Sezoane!O31)</f>
        <v/>
      </c>
      <c r="Q30" s="30" t="str">
        <f aca="false">IF(Sezoane!$A$31="","",IF(Platforme!$D$13=1,(G30*(1-Platforme!$D$14)-Platforme!$B$8)*(1-(Platforme!$D$11+Platforme!$D$12-Platforme!$D$11*Platforme!$D$12)),G30*(1-Platforme!$D$14)*(1-(Platforme!$D$11+Platforme!$D$12-Platforme!$D$11*Platforme!$D$12))-Platforme!$B$8))</f>
        <v/>
      </c>
      <c r="R30" s="31" t="str">
        <f aca="false">IF(Sezoane!$A$31="","",Q30/U30-1)</f>
        <v/>
      </c>
      <c r="S30" s="30" t="str">
        <f aca="false">IF(Sezoane!$A$31="","",G30*(1-Platforme!$B$28))</f>
        <v/>
      </c>
      <c r="T30" s="30" t="str">
        <f aca="false">IF(Sezoane!$A$31="","",IF(Platforme!$D$13=1,(S30*(1-Platforme!$D$14)-Platforme!$B$8)*(1-(Platforme!$D$11+Platforme!$D$12-Platforme!$D$11*Platforme!$D$12)),S30*(1-Platforme!$D$14)*(1-(Platforme!$D$11+Platforme!$D$12-Platforme!$D$11*Platforme!$D$12))-Platforme!$B$8))</f>
        <v/>
      </c>
      <c r="U30" s="33" t="str">
        <f aca="false">IF(Sezoane!$A$31="","",I30/(1+Platforme!$B$31))</f>
        <v/>
      </c>
    </row>
    <row r="31" customFormat="false" ht="15" hidden="false" customHeight="false" outlineLevel="0" collapsed="false">
      <c r="A31" s="25" t="str">
        <f aca="false">IF(Sezoane!$A$32="","",Sezoane!A32)</f>
        <v/>
      </c>
      <c r="B31" s="26" t="str">
        <f aca="false">IF(Sezoane!$A$32="","",Sezoane!C32)</f>
        <v/>
      </c>
      <c r="C31" s="26" t="str">
        <f aca="false">IF(Sezoane!$A$32="","",Sezoane!D32)</f>
        <v/>
      </c>
      <c r="D31" s="25" t="str">
        <f aca="false">IF(Sezoane!$A$32="","",Sezoane!F32)</f>
        <v/>
      </c>
      <c r="E31" s="28" t="str">
        <f aca="false">IF(Sezoane!$A$32="","",Sezoane!E32)</f>
        <v/>
      </c>
      <c r="F31" s="29" t="str">
        <f aca="false">IF(Sezoane!$A$32="","",CEILING(IF(Platforme!$C$13=1,(((Sezoane!E32-Platforme!$B$8)*(1-(Platforme!$B$11+Platforme!$B$12-Platforme!$B$11*Platforme!$B$12))*1/(1+Platforme!$B$31))/(1-(Platforme!$C$11+Platforme!$C$12-Platforme!$C$11*Platforme!$C$12))+Platforme!$B$8)/(1-(Platforme!$C$14*Platforme!$C$15)),(((Sezoane!E32-Platforme!$B$8)*(1-(Platforme!$B$11+Platforme!$B$12-Platforme!$B$11*Platforme!$B$12))*1/(1+Platforme!$B$31))+Platforme!$B$8)/((1-(Platforme!$C$11+Platforme!$C$12-Platforme!$C$11*Platforme!$C$12))*(1-(Platforme!$C$14*Platforme!$C$15)))),Platforme!$C$16))</f>
        <v/>
      </c>
      <c r="G31" s="29" t="str">
        <f aca="false">IF(Sezoane!$A$32="","",IF(N(Sezoane!O32)=0,CEILING(IF(Platforme!$D$13=1,(((Sezoane!E32-Platforme!$B$8)*(1-(Platforme!$B$11+Platforme!$B$12-Platforme!$B$11*Platforme!$B$12))*1/(1+Platforme!$B$31))/(1-(Platforme!$D$11+Platforme!$D$12-Platforme!$D$11*Platforme!$D$12))+Platforme!$B$8)/(1-(Platforme!$D$14*Platforme!$D$15)),(((Sezoane!E32-Platforme!$B$8)*(1-(Platforme!$B$11+Platforme!$B$12-Platforme!$B$11*Platforme!$B$12))*1/(1+Platforme!$B$31))+Platforme!$B$8)/((1-(Platforme!$D$11+Platforme!$D$12-Platforme!$D$11*Platforme!$D$12))*(1-(Platforme!$D$14*Platforme!$D$15)))),Platforme!$D$16),MAX(CEILING(IF(Platforme!$D$13=1,(((Sezoane!E32-Platforme!$B$8)*(1-(Platforme!$B$11+Platforme!$B$12-Platforme!$B$11*Platforme!$B$12))*Platforme!$B$27*(1+Platforme!$B$31)/(1+Platforme!$B$31))/(1-(Platforme!$D$11+Platforme!$D$12-Platforme!$D$11*Platforme!$D$12))+Platforme!$B$8)/(1-(Platforme!$D$14*Platforme!$D$15)),(((Sezoane!E32-Platforme!$B$8)*(1-(Platforme!$B$11+Platforme!$B$12-Platforme!$B$11*Platforme!$B$12))*Platforme!$B$27*(1+Platforme!$B$31)/(1+Platforme!$B$31))+Platforme!$B$8)/((1-(Platforme!$D$11+Platforme!$D$12-Platforme!$D$11*Platforme!$D$12))*(1-(Platforme!$D$14*Platforme!$D$15)))),Platforme!$D$16),CEILING(CEILING(IF(Platforme!$D$13=1,(((Sezoane!E32-Platforme!$B$8)*(1-(Platforme!$B$11+Platforme!$B$12-Platforme!$B$11*Platforme!$B$12))*1/(1+Platforme!$B$31))/(1-(Platforme!$D$11+Platforme!$D$12-Platforme!$D$11*Platforme!$D$12))+Platforme!$B$8)/(1-(Platforme!$D$14*Platforme!$D$15)),(((Sezoane!E32-Platforme!$B$8)*(1-(Platforme!$B$11+Platforme!$B$12-Platforme!$B$11*Platforme!$B$12))*1/(1+Platforme!$B$31))+Platforme!$B$8)/((1-(Platforme!$D$11+Platforme!$D$12-Platforme!$D$11*Platforme!$D$12))*(1-(Platforme!$D$14*Platforme!$D$15)))),Platforme!$D$16)*(1-Platforme!$B$26)+Sezoane!O32*Platforme!$B$26,Platforme!$D$16))))</f>
        <v/>
      </c>
      <c r="H31" s="29" t="str">
        <f aca="false">IF(Sezoane!$A$32="","",CEILING(IF(Platforme!$E$13=1,(((Sezoane!E32-Platforme!$B$8)*(1-(Platforme!$B$11+Platforme!$B$12-Platforme!$B$11*Platforme!$B$12))*1/(1+Platforme!$B$31))/(1-(Platforme!$E$11+Platforme!$E$12-Platforme!$E$11*Platforme!$E$12))+Platforme!$B$8)/(1-(Platforme!$E$14*Platforme!$E$15)),(((Sezoane!E32-Platforme!$B$8)*(1-(Platforme!$B$11+Platforme!$B$12-Platforme!$B$11*Platforme!$B$12))*1/(1+Platforme!$B$31))+Platforme!$B$8)/((1-(Platforme!$E$11+Platforme!$E$12-Platforme!$E$11*Platforme!$E$12))*(1-(Platforme!$E$14*Platforme!$E$15)))),Platforme!$E$16))</f>
        <v/>
      </c>
      <c r="I31" s="30" t="str">
        <f aca="false">IF(Sezoane!$A$32="","",(Sezoane!E32-Platforme!$B$8)*(1-(Platforme!$B$11+Platforme!$B$12-Platforme!$B$11*Platforme!$B$12)))</f>
        <v/>
      </c>
      <c r="J31" s="30" t="str">
        <f aca="false">IF(Sezoane!$A$32="","",F31*(1-Platforme!$C$14))</f>
        <v/>
      </c>
      <c r="K31" s="31" t="str">
        <f aca="false">IF(Sezoane!$A$32="","",1-E31/MIN(J31,G31,H31))</f>
        <v/>
      </c>
      <c r="L31" s="32" t="str">
        <f aca="false">IF(Sezoane!$A$32="","",IFERROR(INDEX('Date actuale'!$C$6:$C$40,MATCH(A31,'Date actuale'!$A$6:$A$40,0)),""))</f>
        <v/>
      </c>
      <c r="M31" s="32" t="str">
        <f aca="false">IF(Sezoane!$A$32="","",IFERROR(INDEX('Date actuale'!$D$6:$D$40,MATCH(A31,'Date actuale'!$A$6:$A$40,0)),""))</f>
        <v/>
      </c>
      <c r="N31" s="32" t="str">
        <f aca="false">IF(Sezoane!$A$32="","",IFERROR(INDEX('Date actuale'!$E$6:$E$40,MATCH(A31,'Date actuale'!$A$6:$A$40,0)),""))</f>
        <v/>
      </c>
      <c r="O31" s="25" t="str">
        <f aca="false">IF(Sezoane!$A$32="","",Sezoane!M32)</f>
        <v/>
      </c>
      <c r="P31" s="28" t="str">
        <f aca="false">IF(OR(Sezoane!$A$32="",N(Sezoane!O32)=0),"",Sezoane!O32)</f>
        <v/>
      </c>
      <c r="Q31" s="30" t="str">
        <f aca="false">IF(Sezoane!$A$32="","",IF(Platforme!$D$13=1,(G31*(1-Platforme!$D$14)-Platforme!$B$8)*(1-(Platforme!$D$11+Platforme!$D$12-Platforme!$D$11*Platforme!$D$12)),G31*(1-Platforme!$D$14)*(1-(Platforme!$D$11+Platforme!$D$12-Platforme!$D$11*Platforme!$D$12))-Platforme!$B$8))</f>
        <v/>
      </c>
      <c r="R31" s="31" t="str">
        <f aca="false">IF(Sezoane!$A$32="","",Q31/U31-1)</f>
        <v/>
      </c>
      <c r="S31" s="30" t="str">
        <f aca="false">IF(Sezoane!$A$32="","",G31*(1-Platforme!$B$28))</f>
        <v/>
      </c>
      <c r="T31" s="30" t="str">
        <f aca="false">IF(Sezoane!$A$32="","",IF(Platforme!$D$13=1,(S31*(1-Platforme!$D$14)-Platforme!$B$8)*(1-(Platforme!$D$11+Platforme!$D$12-Platforme!$D$11*Platforme!$D$12)),S31*(1-Platforme!$D$14)*(1-(Platforme!$D$11+Platforme!$D$12-Platforme!$D$11*Platforme!$D$12))-Platforme!$B$8))</f>
        <v/>
      </c>
      <c r="U31" s="33" t="str">
        <f aca="false">IF(Sezoane!$A$32="","",I31/(1+Platforme!$B$31))</f>
        <v/>
      </c>
    </row>
    <row r="32" customFormat="false" ht="15" hidden="false" customHeight="false" outlineLevel="0" collapsed="false">
      <c r="A32" s="25" t="str">
        <f aca="false">IF(Sezoane!$A$33="","",Sezoane!A33)</f>
        <v/>
      </c>
      <c r="B32" s="26" t="str">
        <f aca="false">IF(Sezoane!$A$33="","",Sezoane!C33)</f>
        <v/>
      </c>
      <c r="C32" s="26" t="str">
        <f aca="false">IF(Sezoane!$A$33="","",Sezoane!D33)</f>
        <v/>
      </c>
      <c r="D32" s="25" t="str">
        <f aca="false">IF(Sezoane!$A$33="","",Sezoane!F33)</f>
        <v/>
      </c>
      <c r="E32" s="28" t="str">
        <f aca="false">IF(Sezoane!$A$33="","",Sezoane!E33)</f>
        <v/>
      </c>
      <c r="F32" s="29" t="str">
        <f aca="false">IF(Sezoane!$A$33="","",CEILING(IF(Platforme!$C$13=1,(((Sezoane!E33-Platforme!$B$8)*(1-(Platforme!$B$11+Platforme!$B$12-Platforme!$B$11*Platforme!$B$12))*1/(1+Platforme!$B$31))/(1-(Platforme!$C$11+Platforme!$C$12-Platforme!$C$11*Platforme!$C$12))+Platforme!$B$8)/(1-(Platforme!$C$14*Platforme!$C$15)),(((Sezoane!E33-Platforme!$B$8)*(1-(Platforme!$B$11+Platforme!$B$12-Platforme!$B$11*Platforme!$B$12))*1/(1+Platforme!$B$31))+Platforme!$B$8)/((1-(Platforme!$C$11+Platforme!$C$12-Platforme!$C$11*Platforme!$C$12))*(1-(Platforme!$C$14*Platforme!$C$15)))),Platforme!$C$16))</f>
        <v/>
      </c>
      <c r="G32" s="29" t="str">
        <f aca="false">IF(Sezoane!$A$33="","",IF(N(Sezoane!O33)=0,CEILING(IF(Platforme!$D$13=1,(((Sezoane!E33-Platforme!$B$8)*(1-(Platforme!$B$11+Platforme!$B$12-Platforme!$B$11*Platforme!$B$12))*1/(1+Platforme!$B$31))/(1-(Platforme!$D$11+Platforme!$D$12-Platforme!$D$11*Platforme!$D$12))+Platforme!$B$8)/(1-(Platforme!$D$14*Platforme!$D$15)),(((Sezoane!E33-Platforme!$B$8)*(1-(Platforme!$B$11+Platforme!$B$12-Platforme!$B$11*Platforme!$B$12))*1/(1+Platforme!$B$31))+Platforme!$B$8)/((1-(Platforme!$D$11+Platforme!$D$12-Platforme!$D$11*Platforme!$D$12))*(1-(Platforme!$D$14*Platforme!$D$15)))),Platforme!$D$16),MAX(CEILING(IF(Platforme!$D$13=1,(((Sezoane!E33-Platforme!$B$8)*(1-(Platforme!$B$11+Platforme!$B$12-Platforme!$B$11*Platforme!$B$12))*Platforme!$B$27*(1+Platforme!$B$31)/(1+Platforme!$B$31))/(1-(Platforme!$D$11+Platforme!$D$12-Platforme!$D$11*Platforme!$D$12))+Platforme!$B$8)/(1-(Platforme!$D$14*Platforme!$D$15)),(((Sezoane!E33-Platforme!$B$8)*(1-(Platforme!$B$11+Platforme!$B$12-Platforme!$B$11*Platforme!$B$12))*Platforme!$B$27*(1+Platforme!$B$31)/(1+Platforme!$B$31))+Platforme!$B$8)/((1-(Platforme!$D$11+Platforme!$D$12-Platforme!$D$11*Platforme!$D$12))*(1-(Platforme!$D$14*Platforme!$D$15)))),Platforme!$D$16),CEILING(CEILING(IF(Platforme!$D$13=1,(((Sezoane!E33-Platforme!$B$8)*(1-(Platforme!$B$11+Platforme!$B$12-Platforme!$B$11*Platforme!$B$12))*1/(1+Platforme!$B$31))/(1-(Platforme!$D$11+Platforme!$D$12-Platforme!$D$11*Platforme!$D$12))+Platforme!$B$8)/(1-(Platforme!$D$14*Platforme!$D$15)),(((Sezoane!E33-Platforme!$B$8)*(1-(Platforme!$B$11+Platforme!$B$12-Platforme!$B$11*Platforme!$B$12))*1/(1+Platforme!$B$31))+Platforme!$B$8)/((1-(Platforme!$D$11+Platforme!$D$12-Platforme!$D$11*Platforme!$D$12))*(1-(Platforme!$D$14*Platforme!$D$15)))),Platforme!$D$16)*(1-Platforme!$B$26)+Sezoane!O33*Platforme!$B$26,Platforme!$D$16))))</f>
        <v/>
      </c>
      <c r="H32" s="29" t="str">
        <f aca="false">IF(Sezoane!$A$33="","",CEILING(IF(Platforme!$E$13=1,(((Sezoane!E33-Platforme!$B$8)*(1-(Platforme!$B$11+Platforme!$B$12-Platforme!$B$11*Platforme!$B$12))*1/(1+Platforme!$B$31))/(1-(Platforme!$E$11+Platforme!$E$12-Platforme!$E$11*Platforme!$E$12))+Platforme!$B$8)/(1-(Platforme!$E$14*Platforme!$E$15)),(((Sezoane!E33-Platforme!$B$8)*(1-(Platforme!$B$11+Platforme!$B$12-Platforme!$B$11*Platforme!$B$12))*1/(1+Platforme!$B$31))+Platforme!$B$8)/((1-(Platforme!$E$11+Platforme!$E$12-Platforme!$E$11*Platforme!$E$12))*(1-(Platforme!$E$14*Platforme!$E$15)))),Platforme!$E$16))</f>
        <v/>
      </c>
      <c r="I32" s="30" t="str">
        <f aca="false">IF(Sezoane!$A$33="","",(Sezoane!E33-Platforme!$B$8)*(1-(Platforme!$B$11+Platforme!$B$12-Platforme!$B$11*Platforme!$B$12)))</f>
        <v/>
      </c>
      <c r="J32" s="30" t="str">
        <f aca="false">IF(Sezoane!$A$33="","",F32*(1-Platforme!$C$14))</f>
        <v/>
      </c>
      <c r="K32" s="31" t="str">
        <f aca="false">IF(Sezoane!$A$33="","",1-E32/MIN(J32,G32,H32))</f>
        <v/>
      </c>
      <c r="L32" s="32" t="str">
        <f aca="false">IF(Sezoane!$A$33="","",IFERROR(INDEX('Date actuale'!$C$6:$C$40,MATCH(A32,'Date actuale'!$A$6:$A$40,0)),""))</f>
        <v/>
      </c>
      <c r="M32" s="32" t="str">
        <f aca="false">IF(Sezoane!$A$33="","",IFERROR(INDEX('Date actuale'!$D$6:$D$40,MATCH(A32,'Date actuale'!$A$6:$A$40,0)),""))</f>
        <v/>
      </c>
      <c r="N32" s="32" t="str">
        <f aca="false">IF(Sezoane!$A$33="","",IFERROR(INDEX('Date actuale'!$E$6:$E$40,MATCH(A32,'Date actuale'!$A$6:$A$40,0)),""))</f>
        <v/>
      </c>
      <c r="O32" s="25" t="str">
        <f aca="false">IF(Sezoane!$A$33="","",Sezoane!M33)</f>
        <v/>
      </c>
      <c r="P32" s="28" t="str">
        <f aca="false">IF(OR(Sezoane!$A$33="",N(Sezoane!O33)=0),"",Sezoane!O33)</f>
        <v/>
      </c>
      <c r="Q32" s="30" t="str">
        <f aca="false">IF(Sezoane!$A$33="","",IF(Platforme!$D$13=1,(G32*(1-Platforme!$D$14)-Platforme!$B$8)*(1-(Platforme!$D$11+Platforme!$D$12-Platforme!$D$11*Platforme!$D$12)),G32*(1-Platforme!$D$14)*(1-(Platforme!$D$11+Platforme!$D$12-Platforme!$D$11*Platforme!$D$12))-Platforme!$B$8))</f>
        <v/>
      </c>
      <c r="R32" s="31" t="str">
        <f aca="false">IF(Sezoane!$A$33="","",Q32/U32-1)</f>
        <v/>
      </c>
      <c r="S32" s="30" t="str">
        <f aca="false">IF(Sezoane!$A$33="","",G32*(1-Platforme!$B$28))</f>
        <v/>
      </c>
      <c r="T32" s="30" t="str">
        <f aca="false">IF(Sezoane!$A$33="","",IF(Platforme!$D$13=1,(S32*(1-Platforme!$D$14)-Platforme!$B$8)*(1-(Platforme!$D$11+Platforme!$D$12-Platforme!$D$11*Platforme!$D$12)),S32*(1-Platforme!$D$14)*(1-(Platforme!$D$11+Platforme!$D$12-Platforme!$D$11*Platforme!$D$12))-Platforme!$B$8))</f>
        <v/>
      </c>
      <c r="U32" s="33" t="str">
        <f aca="false">IF(Sezoane!$A$33="","",I32/(1+Platforme!$B$31))</f>
        <v/>
      </c>
    </row>
    <row r="33" customFormat="false" ht="15" hidden="false" customHeight="false" outlineLevel="0" collapsed="false">
      <c r="A33" s="25" t="str">
        <f aca="false">IF(Sezoane!$A$34="","",Sezoane!A34)</f>
        <v/>
      </c>
      <c r="B33" s="26" t="str">
        <f aca="false">IF(Sezoane!$A$34="","",Sezoane!C34)</f>
        <v/>
      </c>
      <c r="C33" s="26" t="str">
        <f aca="false">IF(Sezoane!$A$34="","",Sezoane!D34)</f>
        <v/>
      </c>
      <c r="D33" s="25" t="str">
        <f aca="false">IF(Sezoane!$A$34="","",Sezoane!F34)</f>
        <v/>
      </c>
      <c r="E33" s="28" t="str">
        <f aca="false">IF(Sezoane!$A$34="","",Sezoane!E34)</f>
        <v/>
      </c>
      <c r="F33" s="29" t="str">
        <f aca="false">IF(Sezoane!$A$34="","",CEILING(IF(Platforme!$C$13=1,(((Sezoane!E34-Platforme!$B$8)*(1-(Platforme!$B$11+Platforme!$B$12-Platforme!$B$11*Platforme!$B$12))*1/(1+Platforme!$B$31))/(1-(Platforme!$C$11+Platforme!$C$12-Platforme!$C$11*Platforme!$C$12))+Platforme!$B$8)/(1-(Platforme!$C$14*Platforme!$C$15)),(((Sezoane!E34-Platforme!$B$8)*(1-(Platforme!$B$11+Platforme!$B$12-Platforme!$B$11*Platforme!$B$12))*1/(1+Platforme!$B$31))+Platforme!$B$8)/((1-(Platforme!$C$11+Platforme!$C$12-Platforme!$C$11*Platforme!$C$12))*(1-(Platforme!$C$14*Platforme!$C$15)))),Platforme!$C$16))</f>
        <v/>
      </c>
      <c r="G33" s="29" t="str">
        <f aca="false">IF(Sezoane!$A$34="","",IF(N(Sezoane!O34)=0,CEILING(IF(Platforme!$D$13=1,(((Sezoane!E34-Platforme!$B$8)*(1-(Platforme!$B$11+Platforme!$B$12-Platforme!$B$11*Platforme!$B$12))*1/(1+Platforme!$B$31))/(1-(Platforme!$D$11+Platforme!$D$12-Platforme!$D$11*Platforme!$D$12))+Platforme!$B$8)/(1-(Platforme!$D$14*Platforme!$D$15)),(((Sezoane!E34-Platforme!$B$8)*(1-(Platforme!$B$11+Platforme!$B$12-Platforme!$B$11*Platforme!$B$12))*1/(1+Platforme!$B$31))+Platforme!$B$8)/((1-(Platforme!$D$11+Platforme!$D$12-Platforme!$D$11*Platforme!$D$12))*(1-(Platforme!$D$14*Platforme!$D$15)))),Platforme!$D$16),MAX(CEILING(IF(Platforme!$D$13=1,(((Sezoane!E34-Platforme!$B$8)*(1-(Platforme!$B$11+Platforme!$B$12-Platforme!$B$11*Platforme!$B$12))*Platforme!$B$27*(1+Platforme!$B$31)/(1+Platforme!$B$31))/(1-(Platforme!$D$11+Platforme!$D$12-Platforme!$D$11*Platforme!$D$12))+Platforme!$B$8)/(1-(Platforme!$D$14*Platforme!$D$15)),(((Sezoane!E34-Platforme!$B$8)*(1-(Platforme!$B$11+Platforme!$B$12-Platforme!$B$11*Platforme!$B$12))*Platforme!$B$27*(1+Platforme!$B$31)/(1+Platforme!$B$31))+Platforme!$B$8)/((1-(Platforme!$D$11+Platforme!$D$12-Platforme!$D$11*Platforme!$D$12))*(1-(Platforme!$D$14*Platforme!$D$15)))),Platforme!$D$16),CEILING(CEILING(IF(Platforme!$D$13=1,(((Sezoane!E34-Platforme!$B$8)*(1-(Platforme!$B$11+Platforme!$B$12-Platforme!$B$11*Platforme!$B$12))*1/(1+Platforme!$B$31))/(1-(Platforme!$D$11+Platforme!$D$12-Platforme!$D$11*Platforme!$D$12))+Platforme!$B$8)/(1-(Platforme!$D$14*Platforme!$D$15)),(((Sezoane!E34-Platforme!$B$8)*(1-(Platforme!$B$11+Platforme!$B$12-Platforme!$B$11*Platforme!$B$12))*1/(1+Platforme!$B$31))+Platforme!$B$8)/((1-(Platforme!$D$11+Platforme!$D$12-Platforme!$D$11*Platforme!$D$12))*(1-(Platforme!$D$14*Platforme!$D$15)))),Platforme!$D$16)*(1-Platforme!$B$26)+Sezoane!O34*Platforme!$B$26,Platforme!$D$16))))</f>
        <v/>
      </c>
      <c r="H33" s="29" t="str">
        <f aca="false">IF(Sezoane!$A$34="","",CEILING(IF(Platforme!$E$13=1,(((Sezoane!E34-Platforme!$B$8)*(1-(Platforme!$B$11+Platforme!$B$12-Platforme!$B$11*Platforme!$B$12))*1/(1+Platforme!$B$31))/(1-(Platforme!$E$11+Platforme!$E$12-Platforme!$E$11*Platforme!$E$12))+Platforme!$B$8)/(1-(Platforme!$E$14*Platforme!$E$15)),(((Sezoane!E34-Platforme!$B$8)*(1-(Platforme!$B$11+Platforme!$B$12-Platforme!$B$11*Platforme!$B$12))*1/(1+Platforme!$B$31))+Platforme!$B$8)/((1-(Platforme!$E$11+Platforme!$E$12-Platforme!$E$11*Platforme!$E$12))*(1-(Platforme!$E$14*Platforme!$E$15)))),Platforme!$E$16))</f>
        <v/>
      </c>
      <c r="I33" s="30" t="str">
        <f aca="false">IF(Sezoane!$A$34="","",(Sezoane!E34-Platforme!$B$8)*(1-(Platforme!$B$11+Platforme!$B$12-Platforme!$B$11*Platforme!$B$12)))</f>
        <v/>
      </c>
      <c r="J33" s="30" t="str">
        <f aca="false">IF(Sezoane!$A$34="","",F33*(1-Platforme!$C$14))</f>
        <v/>
      </c>
      <c r="K33" s="31" t="str">
        <f aca="false">IF(Sezoane!$A$34="","",1-E33/MIN(J33,G33,H33))</f>
        <v/>
      </c>
      <c r="L33" s="32" t="str">
        <f aca="false">IF(Sezoane!$A$34="","",IFERROR(INDEX('Date actuale'!$C$6:$C$40,MATCH(A33,'Date actuale'!$A$6:$A$40,0)),""))</f>
        <v/>
      </c>
      <c r="M33" s="32" t="str">
        <f aca="false">IF(Sezoane!$A$34="","",IFERROR(INDEX('Date actuale'!$D$6:$D$40,MATCH(A33,'Date actuale'!$A$6:$A$40,0)),""))</f>
        <v/>
      </c>
      <c r="N33" s="32" t="str">
        <f aca="false">IF(Sezoane!$A$34="","",IFERROR(INDEX('Date actuale'!$E$6:$E$40,MATCH(A33,'Date actuale'!$A$6:$A$40,0)),""))</f>
        <v/>
      </c>
      <c r="O33" s="25" t="str">
        <f aca="false">IF(Sezoane!$A$34="","",Sezoane!M34)</f>
        <v/>
      </c>
      <c r="P33" s="28" t="str">
        <f aca="false">IF(OR(Sezoane!$A$34="",N(Sezoane!O34)=0),"",Sezoane!O34)</f>
        <v/>
      </c>
      <c r="Q33" s="30" t="str">
        <f aca="false">IF(Sezoane!$A$34="","",IF(Platforme!$D$13=1,(G33*(1-Platforme!$D$14)-Platforme!$B$8)*(1-(Platforme!$D$11+Platforme!$D$12-Platforme!$D$11*Platforme!$D$12)),G33*(1-Platforme!$D$14)*(1-(Platforme!$D$11+Platforme!$D$12-Platforme!$D$11*Platforme!$D$12))-Platforme!$B$8))</f>
        <v/>
      </c>
      <c r="R33" s="31" t="str">
        <f aca="false">IF(Sezoane!$A$34="","",Q33/U33-1)</f>
        <v/>
      </c>
      <c r="S33" s="30" t="str">
        <f aca="false">IF(Sezoane!$A$34="","",G33*(1-Platforme!$B$28))</f>
        <v/>
      </c>
      <c r="T33" s="30" t="str">
        <f aca="false">IF(Sezoane!$A$34="","",IF(Platforme!$D$13=1,(S33*(1-Platforme!$D$14)-Platforme!$B$8)*(1-(Platforme!$D$11+Platforme!$D$12-Platforme!$D$11*Platforme!$D$12)),S33*(1-Platforme!$D$14)*(1-(Platforme!$D$11+Platforme!$D$12-Platforme!$D$11*Platforme!$D$12))-Platforme!$B$8))</f>
        <v/>
      </c>
      <c r="U33" s="33" t="str">
        <f aca="false">IF(Sezoane!$A$34="","",I33/(1+Platforme!$B$31))</f>
        <v/>
      </c>
    </row>
    <row r="34" customFormat="false" ht="15" hidden="false" customHeight="false" outlineLevel="0" collapsed="false">
      <c r="A34" s="25" t="str">
        <f aca="false">IF(Sezoane!$A$35="","",Sezoane!A35)</f>
        <v/>
      </c>
      <c r="B34" s="26" t="str">
        <f aca="false">IF(Sezoane!$A$35="","",Sezoane!C35)</f>
        <v/>
      </c>
      <c r="C34" s="26" t="str">
        <f aca="false">IF(Sezoane!$A$35="","",Sezoane!D35)</f>
        <v/>
      </c>
      <c r="D34" s="25" t="str">
        <f aca="false">IF(Sezoane!$A$35="","",Sezoane!F35)</f>
        <v/>
      </c>
      <c r="E34" s="28" t="str">
        <f aca="false">IF(Sezoane!$A$35="","",Sezoane!E35)</f>
        <v/>
      </c>
      <c r="F34" s="29" t="str">
        <f aca="false">IF(Sezoane!$A$35="","",CEILING(IF(Platforme!$C$13=1,(((Sezoane!E35-Platforme!$B$8)*(1-(Platforme!$B$11+Platforme!$B$12-Platforme!$B$11*Platforme!$B$12))*1/(1+Platforme!$B$31))/(1-(Platforme!$C$11+Platforme!$C$12-Platforme!$C$11*Platforme!$C$12))+Platforme!$B$8)/(1-(Platforme!$C$14*Platforme!$C$15)),(((Sezoane!E35-Platforme!$B$8)*(1-(Platforme!$B$11+Platforme!$B$12-Platforme!$B$11*Platforme!$B$12))*1/(1+Platforme!$B$31))+Platforme!$B$8)/((1-(Platforme!$C$11+Platforme!$C$12-Platforme!$C$11*Platforme!$C$12))*(1-(Platforme!$C$14*Platforme!$C$15)))),Platforme!$C$16))</f>
        <v/>
      </c>
      <c r="G34" s="29" t="str">
        <f aca="false">IF(Sezoane!$A$35="","",IF(N(Sezoane!O35)=0,CEILING(IF(Platforme!$D$13=1,(((Sezoane!E35-Platforme!$B$8)*(1-(Platforme!$B$11+Platforme!$B$12-Platforme!$B$11*Platforme!$B$12))*1/(1+Platforme!$B$31))/(1-(Platforme!$D$11+Platforme!$D$12-Platforme!$D$11*Platforme!$D$12))+Platforme!$B$8)/(1-(Platforme!$D$14*Platforme!$D$15)),(((Sezoane!E35-Platforme!$B$8)*(1-(Platforme!$B$11+Platforme!$B$12-Platforme!$B$11*Platforme!$B$12))*1/(1+Platforme!$B$31))+Platforme!$B$8)/((1-(Platforme!$D$11+Platforme!$D$12-Platforme!$D$11*Platforme!$D$12))*(1-(Platforme!$D$14*Platforme!$D$15)))),Platforme!$D$16),MAX(CEILING(IF(Platforme!$D$13=1,(((Sezoane!E35-Platforme!$B$8)*(1-(Platforme!$B$11+Platforme!$B$12-Platforme!$B$11*Platforme!$B$12))*Platforme!$B$27*(1+Platforme!$B$31)/(1+Platforme!$B$31))/(1-(Platforme!$D$11+Platforme!$D$12-Platforme!$D$11*Platforme!$D$12))+Platforme!$B$8)/(1-(Platforme!$D$14*Platforme!$D$15)),(((Sezoane!E35-Platforme!$B$8)*(1-(Platforme!$B$11+Platforme!$B$12-Platforme!$B$11*Platforme!$B$12))*Platforme!$B$27*(1+Platforme!$B$31)/(1+Platforme!$B$31))+Platforme!$B$8)/((1-(Platforme!$D$11+Platforme!$D$12-Platforme!$D$11*Platforme!$D$12))*(1-(Platforme!$D$14*Platforme!$D$15)))),Platforme!$D$16),CEILING(CEILING(IF(Platforme!$D$13=1,(((Sezoane!E35-Platforme!$B$8)*(1-(Platforme!$B$11+Platforme!$B$12-Platforme!$B$11*Platforme!$B$12))*1/(1+Platforme!$B$31))/(1-(Platforme!$D$11+Platforme!$D$12-Platforme!$D$11*Platforme!$D$12))+Platforme!$B$8)/(1-(Platforme!$D$14*Platforme!$D$15)),(((Sezoane!E35-Platforme!$B$8)*(1-(Platforme!$B$11+Platforme!$B$12-Platforme!$B$11*Platforme!$B$12))*1/(1+Platforme!$B$31))+Platforme!$B$8)/((1-(Platforme!$D$11+Platforme!$D$12-Platforme!$D$11*Platforme!$D$12))*(1-(Platforme!$D$14*Platforme!$D$15)))),Platforme!$D$16)*(1-Platforme!$B$26)+Sezoane!O35*Platforme!$B$26,Platforme!$D$16))))</f>
        <v/>
      </c>
      <c r="H34" s="29" t="str">
        <f aca="false">IF(Sezoane!$A$35="","",CEILING(IF(Platforme!$E$13=1,(((Sezoane!E35-Platforme!$B$8)*(1-(Platforme!$B$11+Platforme!$B$12-Platforme!$B$11*Platforme!$B$12))*1/(1+Platforme!$B$31))/(1-(Platforme!$E$11+Platforme!$E$12-Platforme!$E$11*Platforme!$E$12))+Platforme!$B$8)/(1-(Platforme!$E$14*Platforme!$E$15)),(((Sezoane!E35-Platforme!$B$8)*(1-(Platforme!$B$11+Platforme!$B$12-Platforme!$B$11*Platforme!$B$12))*1/(1+Platforme!$B$31))+Platforme!$B$8)/((1-(Platforme!$E$11+Platforme!$E$12-Platforme!$E$11*Platforme!$E$12))*(1-(Platforme!$E$14*Platforme!$E$15)))),Platforme!$E$16))</f>
        <v/>
      </c>
      <c r="I34" s="30" t="str">
        <f aca="false">IF(Sezoane!$A$35="","",(Sezoane!E35-Platforme!$B$8)*(1-(Platforme!$B$11+Platforme!$B$12-Platforme!$B$11*Platforme!$B$12)))</f>
        <v/>
      </c>
      <c r="J34" s="30" t="str">
        <f aca="false">IF(Sezoane!$A$35="","",F34*(1-Platforme!$C$14))</f>
        <v/>
      </c>
      <c r="K34" s="31" t="str">
        <f aca="false">IF(Sezoane!$A$35="","",1-E34/MIN(J34,G34,H34))</f>
        <v/>
      </c>
      <c r="L34" s="32" t="str">
        <f aca="false">IF(Sezoane!$A$35="","",IFERROR(INDEX('Date actuale'!$C$6:$C$40,MATCH(A34,'Date actuale'!$A$6:$A$40,0)),""))</f>
        <v/>
      </c>
      <c r="M34" s="32" t="str">
        <f aca="false">IF(Sezoane!$A$35="","",IFERROR(INDEX('Date actuale'!$D$6:$D$40,MATCH(A34,'Date actuale'!$A$6:$A$40,0)),""))</f>
        <v/>
      </c>
      <c r="N34" s="32" t="str">
        <f aca="false">IF(Sezoane!$A$35="","",IFERROR(INDEX('Date actuale'!$E$6:$E$40,MATCH(A34,'Date actuale'!$A$6:$A$40,0)),""))</f>
        <v/>
      </c>
      <c r="O34" s="25" t="str">
        <f aca="false">IF(Sezoane!$A$35="","",Sezoane!M35)</f>
        <v/>
      </c>
      <c r="P34" s="28" t="str">
        <f aca="false">IF(OR(Sezoane!$A$35="",N(Sezoane!O35)=0),"",Sezoane!O35)</f>
        <v/>
      </c>
      <c r="Q34" s="30" t="str">
        <f aca="false">IF(Sezoane!$A$35="","",IF(Platforme!$D$13=1,(G34*(1-Platforme!$D$14)-Platforme!$B$8)*(1-(Platforme!$D$11+Platforme!$D$12-Platforme!$D$11*Platforme!$D$12)),G34*(1-Platforme!$D$14)*(1-(Platforme!$D$11+Platforme!$D$12-Platforme!$D$11*Platforme!$D$12))-Platforme!$B$8))</f>
        <v/>
      </c>
      <c r="R34" s="31" t="str">
        <f aca="false">IF(Sezoane!$A$35="","",Q34/U34-1)</f>
        <v/>
      </c>
      <c r="S34" s="30" t="str">
        <f aca="false">IF(Sezoane!$A$35="","",G34*(1-Platforme!$B$28))</f>
        <v/>
      </c>
      <c r="T34" s="30" t="str">
        <f aca="false">IF(Sezoane!$A$35="","",IF(Platforme!$D$13=1,(S34*(1-Platforme!$D$14)-Platforme!$B$8)*(1-(Platforme!$D$11+Platforme!$D$12-Platforme!$D$11*Platforme!$D$12)),S34*(1-Platforme!$D$14)*(1-(Platforme!$D$11+Platforme!$D$12-Platforme!$D$11*Platforme!$D$12))-Platforme!$B$8))</f>
        <v/>
      </c>
      <c r="U34" s="33" t="str">
        <f aca="false">IF(Sezoane!$A$35="","",I34/(1+Platforme!$B$31))</f>
        <v/>
      </c>
    </row>
    <row r="35" customFormat="false" ht="15" hidden="false" customHeight="false" outlineLevel="0" collapsed="false">
      <c r="A35" s="25" t="str">
        <f aca="false">IF(Sezoane!$A$36="","",Sezoane!A36)</f>
        <v/>
      </c>
      <c r="B35" s="26" t="str">
        <f aca="false">IF(Sezoane!$A$36="","",Sezoane!C36)</f>
        <v/>
      </c>
      <c r="C35" s="26" t="str">
        <f aca="false">IF(Sezoane!$A$36="","",Sezoane!D36)</f>
        <v/>
      </c>
      <c r="D35" s="25" t="str">
        <f aca="false">IF(Sezoane!$A$36="","",Sezoane!F36)</f>
        <v/>
      </c>
      <c r="E35" s="28" t="str">
        <f aca="false">IF(Sezoane!$A$36="","",Sezoane!E36)</f>
        <v/>
      </c>
      <c r="F35" s="29" t="str">
        <f aca="false">IF(Sezoane!$A$36="","",CEILING(IF(Platforme!$C$13=1,(((Sezoane!E36-Platforme!$B$8)*(1-(Platforme!$B$11+Platforme!$B$12-Platforme!$B$11*Platforme!$B$12))*1/(1+Platforme!$B$31))/(1-(Platforme!$C$11+Platforme!$C$12-Platforme!$C$11*Platforme!$C$12))+Platforme!$B$8)/(1-(Platforme!$C$14*Platforme!$C$15)),(((Sezoane!E36-Platforme!$B$8)*(1-(Platforme!$B$11+Platforme!$B$12-Platforme!$B$11*Platforme!$B$12))*1/(1+Platforme!$B$31))+Platforme!$B$8)/((1-(Platforme!$C$11+Platforme!$C$12-Platforme!$C$11*Platforme!$C$12))*(1-(Platforme!$C$14*Platforme!$C$15)))),Platforme!$C$16))</f>
        <v/>
      </c>
      <c r="G35" s="29" t="str">
        <f aca="false">IF(Sezoane!$A$36="","",IF(N(Sezoane!O36)=0,CEILING(IF(Platforme!$D$13=1,(((Sezoane!E36-Platforme!$B$8)*(1-(Platforme!$B$11+Platforme!$B$12-Platforme!$B$11*Platforme!$B$12))*1/(1+Platforme!$B$31))/(1-(Platforme!$D$11+Platforme!$D$12-Platforme!$D$11*Platforme!$D$12))+Platforme!$B$8)/(1-(Platforme!$D$14*Platforme!$D$15)),(((Sezoane!E36-Platforme!$B$8)*(1-(Platforme!$B$11+Platforme!$B$12-Platforme!$B$11*Platforme!$B$12))*1/(1+Platforme!$B$31))+Platforme!$B$8)/((1-(Platforme!$D$11+Platforme!$D$12-Platforme!$D$11*Platforme!$D$12))*(1-(Platforme!$D$14*Platforme!$D$15)))),Platforme!$D$16),MAX(CEILING(IF(Platforme!$D$13=1,(((Sezoane!E36-Platforme!$B$8)*(1-(Platforme!$B$11+Platforme!$B$12-Platforme!$B$11*Platforme!$B$12))*Platforme!$B$27*(1+Platforme!$B$31)/(1+Platforme!$B$31))/(1-(Platforme!$D$11+Platforme!$D$12-Platforme!$D$11*Platforme!$D$12))+Platforme!$B$8)/(1-(Platforme!$D$14*Platforme!$D$15)),(((Sezoane!E36-Platforme!$B$8)*(1-(Platforme!$B$11+Platforme!$B$12-Platforme!$B$11*Platforme!$B$12))*Platforme!$B$27*(1+Platforme!$B$31)/(1+Platforme!$B$31))+Platforme!$B$8)/((1-(Platforme!$D$11+Platforme!$D$12-Platforme!$D$11*Platforme!$D$12))*(1-(Platforme!$D$14*Platforme!$D$15)))),Platforme!$D$16),CEILING(CEILING(IF(Platforme!$D$13=1,(((Sezoane!E36-Platforme!$B$8)*(1-(Platforme!$B$11+Platforme!$B$12-Platforme!$B$11*Platforme!$B$12))*1/(1+Platforme!$B$31))/(1-(Platforme!$D$11+Platforme!$D$12-Platforme!$D$11*Platforme!$D$12))+Platforme!$B$8)/(1-(Platforme!$D$14*Platforme!$D$15)),(((Sezoane!E36-Platforme!$B$8)*(1-(Platforme!$B$11+Platforme!$B$12-Platforme!$B$11*Platforme!$B$12))*1/(1+Platforme!$B$31))+Platforme!$B$8)/((1-(Platforme!$D$11+Platforme!$D$12-Platforme!$D$11*Platforme!$D$12))*(1-(Platforme!$D$14*Platforme!$D$15)))),Platforme!$D$16)*(1-Platforme!$B$26)+Sezoane!O36*Platforme!$B$26,Platforme!$D$16))))</f>
        <v/>
      </c>
      <c r="H35" s="29" t="str">
        <f aca="false">IF(Sezoane!$A$36="","",CEILING(IF(Platforme!$E$13=1,(((Sezoane!E36-Platforme!$B$8)*(1-(Platforme!$B$11+Platforme!$B$12-Platforme!$B$11*Platforme!$B$12))*1/(1+Platforme!$B$31))/(1-(Platforme!$E$11+Platforme!$E$12-Platforme!$E$11*Platforme!$E$12))+Platforme!$B$8)/(1-(Platforme!$E$14*Platforme!$E$15)),(((Sezoane!E36-Platforme!$B$8)*(1-(Platforme!$B$11+Platforme!$B$12-Platforme!$B$11*Platforme!$B$12))*1/(1+Platforme!$B$31))+Platforme!$B$8)/((1-(Platforme!$E$11+Platforme!$E$12-Platforme!$E$11*Platforme!$E$12))*(1-(Platforme!$E$14*Platforme!$E$15)))),Platforme!$E$16))</f>
        <v/>
      </c>
      <c r="I35" s="30" t="str">
        <f aca="false">IF(Sezoane!$A$36="","",(Sezoane!E36-Platforme!$B$8)*(1-(Platforme!$B$11+Platforme!$B$12-Platforme!$B$11*Platforme!$B$12)))</f>
        <v/>
      </c>
      <c r="J35" s="30" t="str">
        <f aca="false">IF(Sezoane!$A$36="","",F35*(1-Platforme!$C$14))</f>
        <v/>
      </c>
      <c r="K35" s="31" t="str">
        <f aca="false">IF(Sezoane!$A$36="","",1-E35/MIN(J35,G35,H35))</f>
        <v/>
      </c>
      <c r="L35" s="32" t="str">
        <f aca="false">IF(Sezoane!$A$36="","",IFERROR(INDEX('Date actuale'!$C$6:$C$40,MATCH(A35,'Date actuale'!$A$6:$A$40,0)),""))</f>
        <v/>
      </c>
      <c r="M35" s="32" t="str">
        <f aca="false">IF(Sezoane!$A$36="","",IFERROR(INDEX('Date actuale'!$D$6:$D$40,MATCH(A35,'Date actuale'!$A$6:$A$40,0)),""))</f>
        <v/>
      </c>
      <c r="N35" s="32" t="str">
        <f aca="false">IF(Sezoane!$A$36="","",IFERROR(INDEX('Date actuale'!$E$6:$E$40,MATCH(A35,'Date actuale'!$A$6:$A$40,0)),""))</f>
        <v/>
      </c>
      <c r="O35" s="25" t="str">
        <f aca="false">IF(Sezoane!$A$36="","",Sezoane!M36)</f>
        <v/>
      </c>
      <c r="P35" s="28" t="str">
        <f aca="false">IF(OR(Sezoane!$A$36="",N(Sezoane!O36)=0),"",Sezoane!O36)</f>
        <v/>
      </c>
      <c r="Q35" s="30" t="str">
        <f aca="false">IF(Sezoane!$A$36="","",IF(Platforme!$D$13=1,(G35*(1-Platforme!$D$14)-Platforme!$B$8)*(1-(Platforme!$D$11+Platforme!$D$12-Platforme!$D$11*Platforme!$D$12)),G35*(1-Platforme!$D$14)*(1-(Platforme!$D$11+Platforme!$D$12-Platforme!$D$11*Platforme!$D$12))-Platforme!$B$8))</f>
        <v/>
      </c>
      <c r="R35" s="31" t="str">
        <f aca="false">IF(Sezoane!$A$36="","",Q35/U35-1)</f>
        <v/>
      </c>
      <c r="S35" s="30" t="str">
        <f aca="false">IF(Sezoane!$A$36="","",G35*(1-Platforme!$B$28))</f>
        <v/>
      </c>
      <c r="T35" s="30" t="str">
        <f aca="false">IF(Sezoane!$A$36="","",IF(Platforme!$D$13=1,(S35*(1-Platforme!$D$14)-Platforme!$B$8)*(1-(Platforme!$D$11+Platforme!$D$12-Platforme!$D$11*Platforme!$D$12)),S35*(1-Platforme!$D$14)*(1-(Platforme!$D$11+Platforme!$D$12-Platforme!$D$11*Platforme!$D$12))-Platforme!$B$8))</f>
        <v/>
      </c>
      <c r="U35" s="33" t="str">
        <f aca="false">IF(Sezoane!$A$36="","",I35/(1+Platforme!$B$31))</f>
        <v/>
      </c>
    </row>
    <row r="36" customFormat="false" ht="15" hidden="false" customHeight="false" outlineLevel="0" collapsed="false">
      <c r="A36" s="25" t="str">
        <f aca="false">IF(Sezoane!$A$37="","",Sezoane!A37)</f>
        <v/>
      </c>
      <c r="B36" s="26" t="str">
        <f aca="false">IF(Sezoane!$A$37="","",Sezoane!C37)</f>
        <v/>
      </c>
      <c r="C36" s="26" t="str">
        <f aca="false">IF(Sezoane!$A$37="","",Sezoane!D37)</f>
        <v/>
      </c>
      <c r="D36" s="25" t="str">
        <f aca="false">IF(Sezoane!$A$37="","",Sezoane!F37)</f>
        <v/>
      </c>
      <c r="E36" s="28" t="str">
        <f aca="false">IF(Sezoane!$A$37="","",Sezoane!E37)</f>
        <v/>
      </c>
      <c r="F36" s="29" t="str">
        <f aca="false">IF(Sezoane!$A$37="","",CEILING(IF(Platforme!$C$13=1,(((Sezoane!E37-Platforme!$B$8)*(1-(Platforme!$B$11+Platforme!$B$12-Platforme!$B$11*Platforme!$B$12))*1/(1+Platforme!$B$31))/(1-(Platforme!$C$11+Platforme!$C$12-Platforme!$C$11*Platforme!$C$12))+Platforme!$B$8)/(1-(Platforme!$C$14*Platforme!$C$15)),(((Sezoane!E37-Platforme!$B$8)*(1-(Platforme!$B$11+Platforme!$B$12-Platforme!$B$11*Platforme!$B$12))*1/(1+Platforme!$B$31))+Platforme!$B$8)/((1-(Platforme!$C$11+Platforme!$C$12-Platforme!$C$11*Platforme!$C$12))*(1-(Platforme!$C$14*Platforme!$C$15)))),Platforme!$C$16))</f>
        <v/>
      </c>
      <c r="G36" s="29" t="str">
        <f aca="false">IF(Sezoane!$A$37="","",IF(N(Sezoane!O37)=0,CEILING(IF(Platforme!$D$13=1,(((Sezoane!E37-Platforme!$B$8)*(1-(Platforme!$B$11+Platforme!$B$12-Platforme!$B$11*Platforme!$B$12))*1/(1+Platforme!$B$31))/(1-(Platforme!$D$11+Platforme!$D$12-Platforme!$D$11*Platforme!$D$12))+Platforme!$B$8)/(1-(Platforme!$D$14*Platforme!$D$15)),(((Sezoane!E37-Platforme!$B$8)*(1-(Platforme!$B$11+Platforme!$B$12-Platforme!$B$11*Platforme!$B$12))*1/(1+Platforme!$B$31))+Platforme!$B$8)/((1-(Platforme!$D$11+Platforme!$D$12-Platforme!$D$11*Platforme!$D$12))*(1-(Platforme!$D$14*Platforme!$D$15)))),Platforme!$D$16),MAX(CEILING(IF(Platforme!$D$13=1,(((Sezoane!E37-Platforme!$B$8)*(1-(Platforme!$B$11+Platforme!$B$12-Platforme!$B$11*Platforme!$B$12))*Platforme!$B$27*(1+Platforme!$B$31)/(1+Platforme!$B$31))/(1-(Platforme!$D$11+Platforme!$D$12-Platforme!$D$11*Platforme!$D$12))+Platforme!$B$8)/(1-(Platforme!$D$14*Platforme!$D$15)),(((Sezoane!E37-Platforme!$B$8)*(1-(Platforme!$B$11+Platforme!$B$12-Platforme!$B$11*Platforme!$B$12))*Platforme!$B$27*(1+Platforme!$B$31)/(1+Platforme!$B$31))+Platforme!$B$8)/((1-(Platforme!$D$11+Platforme!$D$12-Platforme!$D$11*Platforme!$D$12))*(1-(Platforme!$D$14*Platforme!$D$15)))),Platforme!$D$16),CEILING(CEILING(IF(Platforme!$D$13=1,(((Sezoane!E37-Platforme!$B$8)*(1-(Platforme!$B$11+Platforme!$B$12-Platforme!$B$11*Platforme!$B$12))*1/(1+Platforme!$B$31))/(1-(Platforme!$D$11+Platforme!$D$12-Platforme!$D$11*Platforme!$D$12))+Platforme!$B$8)/(1-(Platforme!$D$14*Platforme!$D$15)),(((Sezoane!E37-Platforme!$B$8)*(1-(Platforme!$B$11+Platforme!$B$12-Platforme!$B$11*Platforme!$B$12))*1/(1+Platforme!$B$31))+Platforme!$B$8)/((1-(Platforme!$D$11+Platforme!$D$12-Platforme!$D$11*Platforme!$D$12))*(1-(Platforme!$D$14*Platforme!$D$15)))),Platforme!$D$16)*(1-Platforme!$B$26)+Sezoane!O37*Platforme!$B$26,Platforme!$D$16))))</f>
        <v/>
      </c>
      <c r="H36" s="29" t="str">
        <f aca="false">IF(Sezoane!$A$37="","",CEILING(IF(Platforme!$E$13=1,(((Sezoane!E37-Platforme!$B$8)*(1-(Platforme!$B$11+Platforme!$B$12-Platforme!$B$11*Platforme!$B$12))*1/(1+Platforme!$B$31))/(1-(Platforme!$E$11+Platforme!$E$12-Platforme!$E$11*Platforme!$E$12))+Platforme!$B$8)/(1-(Platforme!$E$14*Platforme!$E$15)),(((Sezoane!E37-Platforme!$B$8)*(1-(Platforme!$B$11+Platforme!$B$12-Platforme!$B$11*Platforme!$B$12))*1/(1+Platforme!$B$31))+Platforme!$B$8)/((1-(Platforme!$E$11+Platforme!$E$12-Platforme!$E$11*Platforme!$E$12))*(1-(Platforme!$E$14*Platforme!$E$15)))),Platforme!$E$16))</f>
        <v/>
      </c>
      <c r="I36" s="30" t="str">
        <f aca="false">IF(Sezoane!$A$37="","",(Sezoane!E37-Platforme!$B$8)*(1-(Platforme!$B$11+Platforme!$B$12-Platforme!$B$11*Platforme!$B$12)))</f>
        <v/>
      </c>
      <c r="J36" s="30" t="str">
        <f aca="false">IF(Sezoane!$A$37="","",F36*(1-Platforme!$C$14))</f>
        <v/>
      </c>
      <c r="K36" s="31" t="str">
        <f aca="false">IF(Sezoane!$A$37="","",1-E36/MIN(J36,G36,H36))</f>
        <v/>
      </c>
      <c r="L36" s="32" t="str">
        <f aca="false">IF(Sezoane!$A$37="","",IFERROR(INDEX('Date actuale'!$C$6:$C$40,MATCH(A36,'Date actuale'!$A$6:$A$40,0)),""))</f>
        <v/>
      </c>
      <c r="M36" s="32" t="str">
        <f aca="false">IF(Sezoane!$A$37="","",IFERROR(INDEX('Date actuale'!$D$6:$D$40,MATCH(A36,'Date actuale'!$A$6:$A$40,0)),""))</f>
        <v/>
      </c>
      <c r="N36" s="32" t="str">
        <f aca="false">IF(Sezoane!$A$37="","",IFERROR(INDEX('Date actuale'!$E$6:$E$40,MATCH(A36,'Date actuale'!$A$6:$A$40,0)),""))</f>
        <v/>
      </c>
      <c r="O36" s="25" t="str">
        <f aca="false">IF(Sezoane!$A$37="","",Sezoane!M37)</f>
        <v/>
      </c>
      <c r="P36" s="28" t="str">
        <f aca="false">IF(OR(Sezoane!$A$37="",N(Sezoane!O37)=0),"",Sezoane!O37)</f>
        <v/>
      </c>
      <c r="Q36" s="30" t="str">
        <f aca="false">IF(Sezoane!$A$37="","",IF(Platforme!$D$13=1,(G36*(1-Platforme!$D$14)-Platforme!$B$8)*(1-(Platforme!$D$11+Platforme!$D$12-Platforme!$D$11*Platforme!$D$12)),G36*(1-Platforme!$D$14)*(1-(Platforme!$D$11+Platforme!$D$12-Platforme!$D$11*Platforme!$D$12))-Platforme!$B$8))</f>
        <v/>
      </c>
      <c r="R36" s="31" t="str">
        <f aca="false">IF(Sezoane!$A$37="","",Q36/U36-1)</f>
        <v/>
      </c>
      <c r="S36" s="30" t="str">
        <f aca="false">IF(Sezoane!$A$37="","",G36*(1-Platforme!$B$28))</f>
        <v/>
      </c>
      <c r="T36" s="30" t="str">
        <f aca="false">IF(Sezoane!$A$37="","",IF(Platforme!$D$13=1,(S36*(1-Platforme!$D$14)-Platforme!$B$8)*(1-(Platforme!$D$11+Platforme!$D$12-Platforme!$D$11*Platforme!$D$12)),S36*(1-Platforme!$D$14)*(1-(Platforme!$D$11+Platforme!$D$12-Platforme!$D$11*Platforme!$D$12))-Platforme!$B$8))</f>
        <v/>
      </c>
      <c r="U36" s="33" t="str">
        <f aca="false">IF(Sezoane!$A$37="","",I36/(1+Platforme!$B$31))</f>
        <v/>
      </c>
    </row>
    <row r="37" customFormat="false" ht="15" hidden="false" customHeight="false" outlineLevel="0" collapsed="false">
      <c r="A37" s="25" t="str">
        <f aca="false">IF(Sezoane!$A$38="","",Sezoane!A38)</f>
        <v/>
      </c>
      <c r="B37" s="26" t="str">
        <f aca="false">IF(Sezoane!$A$38="","",Sezoane!C38)</f>
        <v/>
      </c>
      <c r="C37" s="26" t="str">
        <f aca="false">IF(Sezoane!$A$38="","",Sezoane!D38)</f>
        <v/>
      </c>
      <c r="D37" s="25" t="str">
        <f aca="false">IF(Sezoane!$A$38="","",Sezoane!F38)</f>
        <v/>
      </c>
      <c r="E37" s="28" t="str">
        <f aca="false">IF(Sezoane!$A$38="","",Sezoane!E38)</f>
        <v/>
      </c>
      <c r="F37" s="29" t="str">
        <f aca="false">IF(Sezoane!$A$38="","",CEILING(IF(Platforme!$C$13=1,(((Sezoane!E38-Platforme!$B$8)*(1-(Platforme!$B$11+Platforme!$B$12-Platforme!$B$11*Platforme!$B$12))*1/(1+Platforme!$B$31))/(1-(Platforme!$C$11+Platforme!$C$12-Platforme!$C$11*Platforme!$C$12))+Platforme!$B$8)/(1-(Platforme!$C$14*Platforme!$C$15)),(((Sezoane!E38-Platforme!$B$8)*(1-(Platforme!$B$11+Platforme!$B$12-Platforme!$B$11*Platforme!$B$12))*1/(1+Platforme!$B$31))+Platforme!$B$8)/((1-(Platforme!$C$11+Platforme!$C$12-Platforme!$C$11*Platforme!$C$12))*(1-(Platforme!$C$14*Platforme!$C$15)))),Platforme!$C$16))</f>
        <v/>
      </c>
      <c r="G37" s="29" t="str">
        <f aca="false">IF(Sezoane!$A$38="","",IF(N(Sezoane!O38)=0,CEILING(IF(Platforme!$D$13=1,(((Sezoane!E38-Platforme!$B$8)*(1-(Platforme!$B$11+Platforme!$B$12-Platforme!$B$11*Platforme!$B$12))*1/(1+Platforme!$B$31))/(1-(Platforme!$D$11+Platforme!$D$12-Platforme!$D$11*Platforme!$D$12))+Platforme!$B$8)/(1-(Platforme!$D$14*Platforme!$D$15)),(((Sezoane!E38-Platforme!$B$8)*(1-(Platforme!$B$11+Platforme!$B$12-Platforme!$B$11*Platforme!$B$12))*1/(1+Platforme!$B$31))+Platforme!$B$8)/((1-(Platforme!$D$11+Platforme!$D$12-Platforme!$D$11*Platforme!$D$12))*(1-(Platforme!$D$14*Platforme!$D$15)))),Platforme!$D$16),MAX(CEILING(IF(Platforme!$D$13=1,(((Sezoane!E38-Platforme!$B$8)*(1-(Platforme!$B$11+Platforme!$B$12-Platforme!$B$11*Platforme!$B$12))*Platforme!$B$27*(1+Platforme!$B$31)/(1+Platforme!$B$31))/(1-(Platforme!$D$11+Platforme!$D$12-Platforme!$D$11*Platforme!$D$12))+Platforme!$B$8)/(1-(Platforme!$D$14*Platforme!$D$15)),(((Sezoane!E38-Platforme!$B$8)*(1-(Platforme!$B$11+Platforme!$B$12-Platforme!$B$11*Platforme!$B$12))*Platforme!$B$27*(1+Platforme!$B$31)/(1+Platforme!$B$31))+Platforme!$B$8)/((1-(Platforme!$D$11+Platforme!$D$12-Platforme!$D$11*Platforme!$D$12))*(1-(Platforme!$D$14*Platforme!$D$15)))),Platforme!$D$16),CEILING(CEILING(IF(Platforme!$D$13=1,(((Sezoane!E38-Platforme!$B$8)*(1-(Platforme!$B$11+Platforme!$B$12-Platforme!$B$11*Platforme!$B$12))*1/(1+Platforme!$B$31))/(1-(Platforme!$D$11+Platforme!$D$12-Platforme!$D$11*Platforme!$D$12))+Platforme!$B$8)/(1-(Platforme!$D$14*Platforme!$D$15)),(((Sezoane!E38-Platforme!$B$8)*(1-(Platforme!$B$11+Platforme!$B$12-Platforme!$B$11*Platforme!$B$12))*1/(1+Platforme!$B$31))+Platforme!$B$8)/((1-(Platforme!$D$11+Platforme!$D$12-Platforme!$D$11*Platforme!$D$12))*(1-(Platforme!$D$14*Platforme!$D$15)))),Platforme!$D$16)*(1-Platforme!$B$26)+Sezoane!O38*Platforme!$B$26,Platforme!$D$16))))</f>
        <v/>
      </c>
      <c r="H37" s="29" t="str">
        <f aca="false">IF(Sezoane!$A$38="","",CEILING(IF(Platforme!$E$13=1,(((Sezoane!E38-Platforme!$B$8)*(1-(Platforme!$B$11+Platforme!$B$12-Platforme!$B$11*Platforme!$B$12))*1/(1+Platforme!$B$31))/(1-(Platforme!$E$11+Platforme!$E$12-Platforme!$E$11*Platforme!$E$12))+Platforme!$B$8)/(1-(Platforme!$E$14*Platforme!$E$15)),(((Sezoane!E38-Platforme!$B$8)*(1-(Platforme!$B$11+Platforme!$B$12-Platforme!$B$11*Platforme!$B$12))*1/(1+Platforme!$B$31))+Platforme!$B$8)/((1-(Platforme!$E$11+Platforme!$E$12-Platforme!$E$11*Platforme!$E$12))*(1-(Platforme!$E$14*Platforme!$E$15)))),Platforme!$E$16))</f>
        <v/>
      </c>
      <c r="I37" s="30" t="str">
        <f aca="false">IF(Sezoane!$A$38="","",(Sezoane!E38-Platforme!$B$8)*(1-(Platforme!$B$11+Platforme!$B$12-Platforme!$B$11*Platforme!$B$12)))</f>
        <v/>
      </c>
      <c r="J37" s="30" t="str">
        <f aca="false">IF(Sezoane!$A$38="","",F37*(1-Platforme!$C$14))</f>
        <v/>
      </c>
      <c r="K37" s="31" t="str">
        <f aca="false">IF(Sezoane!$A$38="","",1-E37/MIN(J37,G37,H37))</f>
        <v/>
      </c>
      <c r="L37" s="32" t="str">
        <f aca="false">IF(Sezoane!$A$38="","",IFERROR(INDEX('Date actuale'!$C$6:$C$40,MATCH(A37,'Date actuale'!$A$6:$A$40,0)),""))</f>
        <v/>
      </c>
      <c r="M37" s="32" t="str">
        <f aca="false">IF(Sezoane!$A$38="","",IFERROR(INDEX('Date actuale'!$D$6:$D$40,MATCH(A37,'Date actuale'!$A$6:$A$40,0)),""))</f>
        <v/>
      </c>
      <c r="N37" s="32" t="str">
        <f aca="false">IF(Sezoane!$A$38="","",IFERROR(INDEX('Date actuale'!$E$6:$E$40,MATCH(A37,'Date actuale'!$A$6:$A$40,0)),""))</f>
        <v/>
      </c>
      <c r="O37" s="25" t="str">
        <f aca="false">IF(Sezoane!$A$38="","",Sezoane!M38)</f>
        <v/>
      </c>
      <c r="P37" s="28" t="str">
        <f aca="false">IF(OR(Sezoane!$A$38="",N(Sezoane!O38)=0),"",Sezoane!O38)</f>
        <v/>
      </c>
      <c r="Q37" s="30" t="str">
        <f aca="false">IF(Sezoane!$A$38="","",IF(Platforme!$D$13=1,(G37*(1-Platforme!$D$14)-Platforme!$B$8)*(1-(Platforme!$D$11+Platforme!$D$12-Platforme!$D$11*Platforme!$D$12)),G37*(1-Platforme!$D$14)*(1-(Platforme!$D$11+Platforme!$D$12-Platforme!$D$11*Platforme!$D$12))-Platforme!$B$8))</f>
        <v/>
      </c>
      <c r="R37" s="31" t="str">
        <f aca="false">IF(Sezoane!$A$38="","",Q37/U37-1)</f>
        <v/>
      </c>
      <c r="S37" s="30" t="str">
        <f aca="false">IF(Sezoane!$A$38="","",G37*(1-Platforme!$B$28))</f>
        <v/>
      </c>
      <c r="T37" s="30" t="str">
        <f aca="false">IF(Sezoane!$A$38="","",IF(Platforme!$D$13=1,(S37*(1-Platforme!$D$14)-Platforme!$B$8)*(1-(Platforme!$D$11+Platforme!$D$12-Platforme!$D$11*Platforme!$D$12)),S37*(1-Platforme!$D$14)*(1-(Platforme!$D$11+Platforme!$D$12-Platforme!$D$11*Platforme!$D$12))-Platforme!$B$8))</f>
        <v/>
      </c>
      <c r="U37" s="33" t="str">
        <f aca="false">IF(Sezoane!$A$38="","",I37/(1+Platforme!$B$31))</f>
        <v/>
      </c>
    </row>
    <row r="38" customFormat="false" ht="15" hidden="false" customHeight="false" outlineLevel="0" collapsed="false">
      <c r="A38" s="25" t="str">
        <f aca="false">IF(Sezoane!$A$39="","",Sezoane!A39)</f>
        <v/>
      </c>
      <c r="B38" s="26" t="str">
        <f aca="false">IF(Sezoane!$A$39="","",Sezoane!C39)</f>
        <v/>
      </c>
      <c r="C38" s="26" t="str">
        <f aca="false">IF(Sezoane!$A$39="","",Sezoane!D39)</f>
        <v/>
      </c>
      <c r="D38" s="25" t="str">
        <f aca="false">IF(Sezoane!$A$39="","",Sezoane!F39)</f>
        <v/>
      </c>
      <c r="E38" s="28" t="str">
        <f aca="false">IF(Sezoane!$A$39="","",Sezoane!E39)</f>
        <v/>
      </c>
      <c r="F38" s="29" t="str">
        <f aca="false">IF(Sezoane!$A$39="","",CEILING(IF(Platforme!$C$13=1,(((Sezoane!E39-Platforme!$B$8)*(1-(Platforme!$B$11+Platforme!$B$12-Platforme!$B$11*Platforme!$B$12))*1/(1+Platforme!$B$31))/(1-(Platforme!$C$11+Platforme!$C$12-Platforme!$C$11*Platforme!$C$12))+Platforme!$B$8)/(1-(Platforme!$C$14*Platforme!$C$15)),(((Sezoane!E39-Platforme!$B$8)*(1-(Platforme!$B$11+Platforme!$B$12-Platforme!$B$11*Platforme!$B$12))*1/(1+Platforme!$B$31))+Platforme!$B$8)/((1-(Platforme!$C$11+Platforme!$C$12-Platforme!$C$11*Platforme!$C$12))*(1-(Platforme!$C$14*Platforme!$C$15)))),Platforme!$C$16))</f>
        <v/>
      </c>
      <c r="G38" s="29" t="str">
        <f aca="false">IF(Sezoane!$A$39="","",IF(N(Sezoane!O39)=0,CEILING(IF(Platforme!$D$13=1,(((Sezoane!E39-Platforme!$B$8)*(1-(Platforme!$B$11+Platforme!$B$12-Platforme!$B$11*Platforme!$B$12))*1/(1+Platforme!$B$31))/(1-(Platforme!$D$11+Platforme!$D$12-Platforme!$D$11*Platforme!$D$12))+Platforme!$B$8)/(1-(Platforme!$D$14*Platforme!$D$15)),(((Sezoane!E39-Platforme!$B$8)*(1-(Platforme!$B$11+Platforme!$B$12-Platforme!$B$11*Platforme!$B$12))*1/(1+Platforme!$B$31))+Platforme!$B$8)/((1-(Platforme!$D$11+Platforme!$D$12-Platforme!$D$11*Platforme!$D$12))*(1-(Platforme!$D$14*Platforme!$D$15)))),Platforme!$D$16),MAX(CEILING(IF(Platforme!$D$13=1,(((Sezoane!E39-Platforme!$B$8)*(1-(Platforme!$B$11+Platforme!$B$12-Platforme!$B$11*Platforme!$B$12))*Platforme!$B$27*(1+Platforme!$B$31)/(1+Platforme!$B$31))/(1-(Platforme!$D$11+Platforme!$D$12-Platforme!$D$11*Platforme!$D$12))+Platforme!$B$8)/(1-(Platforme!$D$14*Platforme!$D$15)),(((Sezoane!E39-Platforme!$B$8)*(1-(Platforme!$B$11+Platforme!$B$12-Platforme!$B$11*Platforme!$B$12))*Platforme!$B$27*(1+Platforme!$B$31)/(1+Platforme!$B$31))+Platforme!$B$8)/((1-(Platforme!$D$11+Platforme!$D$12-Platforme!$D$11*Platforme!$D$12))*(1-(Platforme!$D$14*Platforme!$D$15)))),Platforme!$D$16),CEILING(CEILING(IF(Platforme!$D$13=1,(((Sezoane!E39-Platforme!$B$8)*(1-(Platforme!$B$11+Platforme!$B$12-Platforme!$B$11*Platforme!$B$12))*1/(1+Platforme!$B$31))/(1-(Platforme!$D$11+Platforme!$D$12-Platforme!$D$11*Platforme!$D$12))+Platforme!$B$8)/(1-(Platforme!$D$14*Platforme!$D$15)),(((Sezoane!E39-Platforme!$B$8)*(1-(Platforme!$B$11+Platforme!$B$12-Platforme!$B$11*Platforme!$B$12))*1/(1+Platforme!$B$31))+Platforme!$B$8)/((1-(Platforme!$D$11+Platforme!$D$12-Platforme!$D$11*Platforme!$D$12))*(1-(Platforme!$D$14*Platforme!$D$15)))),Platforme!$D$16)*(1-Platforme!$B$26)+Sezoane!O39*Platforme!$B$26,Platforme!$D$16))))</f>
        <v/>
      </c>
      <c r="H38" s="29" t="str">
        <f aca="false">IF(Sezoane!$A$39="","",CEILING(IF(Platforme!$E$13=1,(((Sezoane!E39-Platforme!$B$8)*(1-(Platforme!$B$11+Platforme!$B$12-Platforme!$B$11*Platforme!$B$12))*1/(1+Platforme!$B$31))/(1-(Platforme!$E$11+Platforme!$E$12-Platforme!$E$11*Platforme!$E$12))+Platforme!$B$8)/(1-(Platforme!$E$14*Platforme!$E$15)),(((Sezoane!E39-Platforme!$B$8)*(1-(Platforme!$B$11+Platforme!$B$12-Platforme!$B$11*Platforme!$B$12))*1/(1+Platforme!$B$31))+Platforme!$B$8)/((1-(Platforme!$E$11+Platforme!$E$12-Platforme!$E$11*Platforme!$E$12))*(1-(Platforme!$E$14*Platforme!$E$15)))),Platforme!$E$16))</f>
        <v/>
      </c>
      <c r="I38" s="30" t="str">
        <f aca="false">IF(Sezoane!$A$39="","",(Sezoane!E39-Platforme!$B$8)*(1-(Platforme!$B$11+Platforme!$B$12-Platforme!$B$11*Platforme!$B$12)))</f>
        <v/>
      </c>
      <c r="J38" s="30" t="str">
        <f aca="false">IF(Sezoane!$A$39="","",F38*(1-Platforme!$C$14))</f>
        <v/>
      </c>
      <c r="K38" s="31" t="str">
        <f aca="false">IF(Sezoane!$A$39="","",1-E38/MIN(J38,G38,H38))</f>
        <v/>
      </c>
      <c r="L38" s="32" t="str">
        <f aca="false">IF(Sezoane!$A$39="","",IFERROR(INDEX('Date actuale'!$C$6:$C$40,MATCH(A38,'Date actuale'!$A$6:$A$40,0)),""))</f>
        <v/>
      </c>
      <c r="M38" s="32" t="str">
        <f aca="false">IF(Sezoane!$A$39="","",IFERROR(INDEX('Date actuale'!$D$6:$D$40,MATCH(A38,'Date actuale'!$A$6:$A$40,0)),""))</f>
        <v/>
      </c>
      <c r="N38" s="32" t="str">
        <f aca="false">IF(Sezoane!$A$39="","",IFERROR(INDEX('Date actuale'!$E$6:$E$40,MATCH(A38,'Date actuale'!$A$6:$A$40,0)),""))</f>
        <v/>
      </c>
      <c r="O38" s="25" t="str">
        <f aca="false">IF(Sezoane!$A$39="","",Sezoane!M39)</f>
        <v/>
      </c>
      <c r="P38" s="28" t="str">
        <f aca="false">IF(OR(Sezoane!$A$39="",N(Sezoane!O39)=0),"",Sezoane!O39)</f>
        <v/>
      </c>
      <c r="Q38" s="30" t="str">
        <f aca="false">IF(Sezoane!$A$39="","",IF(Platforme!$D$13=1,(G38*(1-Platforme!$D$14)-Platforme!$B$8)*(1-(Platforme!$D$11+Platforme!$D$12-Platforme!$D$11*Platforme!$D$12)),G38*(1-Platforme!$D$14)*(1-(Platforme!$D$11+Platforme!$D$12-Platforme!$D$11*Platforme!$D$12))-Platforme!$B$8))</f>
        <v/>
      </c>
      <c r="R38" s="31" t="str">
        <f aca="false">IF(Sezoane!$A$39="","",Q38/U38-1)</f>
        <v/>
      </c>
      <c r="S38" s="30" t="str">
        <f aca="false">IF(Sezoane!$A$39="","",G38*(1-Platforme!$B$28))</f>
        <v/>
      </c>
      <c r="T38" s="30" t="str">
        <f aca="false">IF(Sezoane!$A$39="","",IF(Platforme!$D$13=1,(S38*(1-Platforme!$D$14)-Platforme!$B$8)*(1-(Platforme!$D$11+Platforme!$D$12-Platforme!$D$11*Platforme!$D$12)),S38*(1-Platforme!$D$14)*(1-(Platforme!$D$11+Platforme!$D$12-Platforme!$D$11*Platforme!$D$12))-Platforme!$B$8))</f>
        <v/>
      </c>
      <c r="U38" s="33" t="str">
        <f aca="false">IF(Sezoane!$A$39="","",I38/(1+Platforme!$B$31))</f>
        <v/>
      </c>
    </row>
    <row r="39" customFormat="false" ht="15" hidden="false" customHeight="false" outlineLevel="0" collapsed="false">
      <c r="A39" s="25" t="str">
        <f aca="false">IF(Sezoane!$A$40="","",Sezoane!A40)</f>
        <v/>
      </c>
      <c r="B39" s="26" t="str">
        <f aca="false">IF(Sezoane!$A$40="","",Sezoane!C40)</f>
        <v/>
      </c>
      <c r="C39" s="26" t="str">
        <f aca="false">IF(Sezoane!$A$40="","",Sezoane!D40)</f>
        <v/>
      </c>
      <c r="D39" s="25" t="str">
        <f aca="false">IF(Sezoane!$A$40="","",Sezoane!F40)</f>
        <v/>
      </c>
      <c r="E39" s="28" t="str">
        <f aca="false">IF(Sezoane!$A$40="","",Sezoane!E40)</f>
        <v/>
      </c>
      <c r="F39" s="29" t="str">
        <f aca="false">IF(Sezoane!$A$40="","",CEILING(IF(Platforme!$C$13=1,(((Sezoane!E40-Platforme!$B$8)*(1-(Platforme!$B$11+Platforme!$B$12-Platforme!$B$11*Platforme!$B$12))*1/(1+Platforme!$B$31))/(1-(Platforme!$C$11+Platforme!$C$12-Platforme!$C$11*Platforme!$C$12))+Platforme!$B$8)/(1-(Platforme!$C$14*Platforme!$C$15)),(((Sezoane!E40-Platforme!$B$8)*(1-(Platforme!$B$11+Platforme!$B$12-Platforme!$B$11*Platforme!$B$12))*1/(1+Platforme!$B$31))+Platforme!$B$8)/((1-(Platforme!$C$11+Platforme!$C$12-Platforme!$C$11*Platforme!$C$12))*(1-(Platforme!$C$14*Platforme!$C$15)))),Platforme!$C$16))</f>
        <v/>
      </c>
      <c r="G39" s="29" t="str">
        <f aca="false">IF(Sezoane!$A$40="","",IF(N(Sezoane!O40)=0,CEILING(IF(Platforme!$D$13=1,(((Sezoane!E40-Platforme!$B$8)*(1-(Platforme!$B$11+Platforme!$B$12-Platforme!$B$11*Platforme!$B$12))*1/(1+Platforme!$B$31))/(1-(Platforme!$D$11+Platforme!$D$12-Platforme!$D$11*Platforme!$D$12))+Platforme!$B$8)/(1-(Platforme!$D$14*Platforme!$D$15)),(((Sezoane!E40-Platforme!$B$8)*(1-(Platforme!$B$11+Platforme!$B$12-Platforme!$B$11*Platforme!$B$12))*1/(1+Platforme!$B$31))+Platforme!$B$8)/((1-(Platforme!$D$11+Platforme!$D$12-Platforme!$D$11*Platforme!$D$12))*(1-(Platforme!$D$14*Platforme!$D$15)))),Platforme!$D$16),MAX(CEILING(IF(Platforme!$D$13=1,(((Sezoane!E40-Platforme!$B$8)*(1-(Platforme!$B$11+Platforme!$B$12-Platforme!$B$11*Platforme!$B$12))*Platforme!$B$27*(1+Platforme!$B$31)/(1+Platforme!$B$31))/(1-(Platforme!$D$11+Platforme!$D$12-Platforme!$D$11*Platforme!$D$12))+Platforme!$B$8)/(1-(Platforme!$D$14*Platforme!$D$15)),(((Sezoane!E40-Platforme!$B$8)*(1-(Platforme!$B$11+Platforme!$B$12-Platforme!$B$11*Platforme!$B$12))*Platforme!$B$27*(1+Platforme!$B$31)/(1+Platforme!$B$31))+Platforme!$B$8)/((1-(Platforme!$D$11+Platforme!$D$12-Platforme!$D$11*Platforme!$D$12))*(1-(Platforme!$D$14*Platforme!$D$15)))),Platforme!$D$16),CEILING(CEILING(IF(Platforme!$D$13=1,(((Sezoane!E40-Platforme!$B$8)*(1-(Platforme!$B$11+Platforme!$B$12-Platforme!$B$11*Platforme!$B$12))*1/(1+Platforme!$B$31))/(1-(Platforme!$D$11+Platforme!$D$12-Platforme!$D$11*Platforme!$D$12))+Platforme!$B$8)/(1-(Platforme!$D$14*Platforme!$D$15)),(((Sezoane!E40-Platforme!$B$8)*(1-(Platforme!$B$11+Platforme!$B$12-Platforme!$B$11*Platforme!$B$12))*1/(1+Platforme!$B$31))+Platforme!$B$8)/((1-(Platforme!$D$11+Platforme!$D$12-Platforme!$D$11*Platforme!$D$12))*(1-(Platforme!$D$14*Platforme!$D$15)))),Platforme!$D$16)*(1-Platforme!$B$26)+Sezoane!O40*Platforme!$B$26,Platforme!$D$16))))</f>
        <v/>
      </c>
      <c r="H39" s="29" t="str">
        <f aca="false">IF(Sezoane!$A$40="","",CEILING(IF(Platforme!$E$13=1,(((Sezoane!E40-Platforme!$B$8)*(1-(Platforme!$B$11+Platforme!$B$12-Platforme!$B$11*Platforme!$B$12))*1/(1+Platforme!$B$31))/(1-(Platforme!$E$11+Platforme!$E$12-Platforme!$E$11*Platforme!$E$12))+Platforme!$B$8)/(1-(Platforme!$E$14*Platforme!$E$15)),(((Sezoane!E40-Platforme!$B$8)*(1-(Platforme!$B$11+Platforme!$B$12-Platforme!$B$11*Platforme!$B$12))*1/(1+Platforme!$B$31))+Platforme!$B$8)/((1-(Platforme!$E$11+Platforme!$E$12-Platforme!$E$11*Platforme!$E$12))*(1-(Platforme!$E$14*Platforme!$E$15)))),Platforme!$E$16))</f>
        <v/>
      </c>
      <c r="I39" s="30" t="str">
        <f aca="false">IF(Sezoane!$A$40="","",(Sezoane!E40-Platforme!$B$8)*(1-(Platforme!$B$11+Platforme!$B$12-Platforme!$B$11*Platforme!$B$12)))</f>
        <v/>
      </c>
      <c r="J39" s="30" t="str">
        <f aca="false">IF(Sezoane!$A$40="","",F39*(1-Platforme!$C$14))</f>
        <v/>
      </c>
      <c r="K39" s="31" t="str">
        <f aca="false">IF(Sezoane!$A$40="","",1-E39/MIN(J39,G39,H39))</f>
        <v/>
      </c>
      <c r="L39" s="32" t="str">
        <f aca="false">IF(Sezoane!$A$40="","",IFERROR(INDEX('Date actuale'!$C$6:$C$40,MATCH(A39,'Date actuale'!$A$6:$A$40,0)),""))</f>
        <v/>
      </c>
      <c r="M39" s="32" t="str">
        <f aca="false">IF(Sezoane!$A$40="","",IFERROR(INDEX('Date actuale'!$D$6:$D$40,MATCH(A39,'Date actuale'!$A$6:$A$40,0)),""))</f>
        <v/>
      </c>
      <c r="N39" s="32" t="str">
        <f aca="false">IF(Sezoane!$A$40="","",IFERROR(INDEX('Date actuale'!$E$6:$E$40,MATCH(A39,'Date actuale'!$A$6:$A$40,0)),""))</f>
        <v/>
      </c>
      <c r="O39" s="25" t="str">
        <f aca="false">IF(Sezoane!$A$40="","",Sezoane!M40)</f>
        <v/>
      </c>
      <c r="P39" s="28" t="str">
        <f aca="false">IF(OR(Sezoane!$A$40="",N(Sezoane!O40)=0),"",Sezoane!O40)</f>
        <v/>
      </c>
      <c r="Q39" s="30" t="str">
        <f aca="false">IF(Sezoane!$A$40="","",IF(Platforme!$D$13=1,(G39*(1-Platforme!$D$14)-Platforme!$B$8)*(1-(Platforme!$D$11+Platforme!$D$12-Platforme!$D$11*Platforme!$D$12)),G39*(1-Platforme!$D$14)*(1-(Platforme!$D$11+Platforme!$D$12-Platforme!$D$11*Platforme!$D$12))-Platforme!$B$8))</f>
        <v/>
      </c>
      <c r="R39" s="31" t="str">
        <f aca="false">IF(Sezoane!$A$40="","",Q39/U39-1)</f>
        <v/>
      </c>
      <c r="S39" s="30" t="str">
        <f aca="false">IF(Sezoane!$A$40="","",G39*(1-Platforme!$B$28))</f>
        <v/>
      </c>
      <c r="T39" s="30" t="str">
        <f aca="false">IF(Sezoane!$A$40="","",IF(Platforme!$D$13=1,(S39*(1-Platforme!$D$14)-Platforme!$B$8)*(1-(Platforme!$D$11+Platforme!$D$12-Platforme!$D$11*Platforme!$D$12)),S39*(1-Platforme!$D$14)*(1-(Platforme!$D$11+Platforme!$D$12-Platforme!$D$11*Platforme!$D$12))-Platforme!$B$8))</f>
        <v/>
      </c>
      <c r="U39" s="33" t="str">
        <f aca="false">IF(Sezoane!$A$40="","",I39/(1+Platforme!$B$31))</f>
        <v/>
      </c>
    </row>
  </sheetData>
  <conditionalFormatting sqref="L5:L39">
    <cfRule type="expression" priority="2" aboveAverage="0" equalAverage="0" bottom="0" percent="0" rank="0" text="" dxfId="0">
      <formula>AND(ISNUMBER(L5),ISNUMBER(F5),L5&lt;&gt;F5)</formula>
    </cfRule>
    <cfRule type="expression" priority="3" aboveAverage="0" equalAverage="0" bottom="0" percent="0" rank="0" text="" dxfId="1">
      <formula>AND(ISNUMBER(L5),ISNUMBER(F5),L5=F5)</formula>
    </cfRule>
  </conditionalFormatting>
  <conditionalFormatting sqref="M5:M39">
    <cfRule type="expression" priority="4" aboveAverage="0" equalAverage="0" bottom="0" percent="0" rank="0" text="" dxfId="0">
      <formula>AND(ISNUMBER(M5),ISNUMBER(G5),M5&lt;&gt;G5)</formula>
    </cfRule>
    <cfRule type="expression" priority="5" aboveAverage="0" equalAverage="0" bottom="0" percent="0" rank="0" text="" dxfId="1">
      <formula>AND(ISNUMBER(M5),ISNUMBER(G5),M5=G5)</formula>
    </cfRule>
  </conditionalFormatting>
  <conditionalFormatting sqref="N5:N39">
    <cfRule type="expression" priority="6" aboveAverage="0" equalAverage="0" bottom="0" percent="0" rank="0" text="" dxfId="0">
      <formula>AND(ISNUMBER(N5),ISNUMBER(H5),N5&lt;&gt;H5)</formula>
    </cfRule>
    <cfRule type="expression" priority="7" aboveAverage="0" equalAverage="0" bottom="0" percent="0" rank="0" text="" dxfId="1">
      <formula>AND(ISNUMBER(N5),ISNUMBER(H5),N5=H5)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44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8" min="5" style="0" width="14"/>
  </cols>
  <sheetData>
    <row r="1" customFormat="false" ht="17.35" hidden="false" customHeight="false" outlineLevel="0" collapsed="false">
      <c r="A1" s="1" t="s">
        <v>136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137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27.75" hidden="false" customHeight="true" outlineLevel="0" collapsed="false">
      <c r="A4" s="19" t="s">
        <v>138</v>
      </c>
      <c r="B4" s="12" t="n">
        <v>46402</v>
      </c>
      <c r="C4" s="2"/>
      <c r="D4" s="10"/>
      <c r="E4" s="10" t="s">
        <v>80</v>
      </c>
      <c r="F4" s="10" t="s">
        <v>81</v>
      </c>
      <c r="G4" s="10" t="s">
        <v>82</v>
      </c>
      <c r="H4" s="10" t="s">
        <v>83</v>
      </c>
    </row>
    <row r="5" customFormat="false" ht="15" hidden="false" customHeight="false" outlineLevel="0" collapsed="false">
      <c r="A5" s="19" t="s">
        <v>139</v>
      </c>
      <c r="B5" s="11" t="n">
        <v>4</v>
      </c>
      <c r="C5" s="2"/>
      <c r="D5" s="5" t="s">
        <v>140</v>
      </c>
      <c r="E5" s="30" t="n">
        <f aca="false">SUM(D20:D49)</f>
        <v>5400</v>
      </c>
      <c r="F5" s="30" t="n">
        <f aca="false">SUM(E20:E49)</f>
        <v>6800</v>
      </c>
      <c r="G5" s="30" t="n">
        <f aca="false">SUM(F20:F49)</f>
        <v>6120</v>
      </c>
      <c r="H5" s="30" t="n">
        <f aca="false">SUM(G20:G49)</f>
        <v>5880</v>
      </c>
    </row>
    <row r="6" customFormat="false" ht="15" hidden="false" customHeight="false" outlineLevel="0" collapsed="false">
      <c r="A6" s="19" t="s">
        <v>141</v>
      </c>
      <c r="B6" s="11" t="n">
        <v>4</v>
      </c>
      <c r="C6" s="2"/>
      <c r="D6" s="5" t="s">
        <v>142</v>
      </c>
      <c r="E6" s="30" t="n">
        <f aca="false">-E5*IF(Platforme!B17=1,$B$11,0)</f>
        <v>-1080</v>
      </c>
      <c r="F6" s="30" t="n">
        <f aca="false">-F5*IF(Platforme!C17=1,$B$11,0)</f>
        <v>-1360</v>
      </c>
      <c r="G6" s="30" t="n">
        <f aca="false">-G5*$B$12</f>
        <v>-0</v>
      </c>
      <c r="H6" s="30" t="n">
        <f aca="false">-H5*IF(Platforme!E17=1,$B$11,0)</f>
        <v>-0</v>
      </c>
    </row>
    <row r="7" customFormat="false" ht="15" hidden="false" customHeight="false" outlineLevel="0" collapsed="false">
      <c r="A7" s="19" t="s">
        <v>143</v>
      </c>
      <c r="B7" s="11" t="n">
        <v>1</v>
      </c>
      <c r="C7" s="2"/>
      <c r="D7" s="5" t="s">
        <v>144</v>
      </c>
      <c r="E7" s="30" t="n">
        <f aca="false">-(E5+E6)*Platforme!B14</f>
        <v>-0</v>
      </c>
      <c r="F7" s="30" t="n">
        <f aca="false">-(F5+F6)*Platforme!C14*$B$7</f>
        <v>-544</v>
      </c>
      <c r="G7" s="30" t="n">
        <f aca="false">-(G5+G6)*Platforme!D14</f>
        <v>-0</v>
      </c>
      <c r="H7" s="30" t="n">
        <f aca="false">-(H5+H6)*Platforme!E14</f>
        <v>-0</v>
      </c>
    </row>
    <row r="8" customFormat="false" ht="15" hidden="false" customHeight="false" outlineLevel="0" collapsed="false">
      <c r="A8" s="19" t="s">
        <v>145</v>
      </c>
      <c r="B8" s="34" t="n">
        <f aca="false">B4+B5</f>
        <v>46406</v>
      </c>
      <c r="C8" s="2"/>
      <c r="D8" s="5" t="s">
        <v>146</v>
      </c>
      <c r="E8" s="29" t="n">
        <f aca="false">E5+E6+E7</f>
        <v>4320</v>
      </c>
      <c r="F8" s="29" t="n">
        <f aca="false">F5+F6+F7</f>
        <v>4896</v>
      </c>
      <c r="G8" s="29" t="n">
        <f aca="false">G5+G6+G7</f>
        <v>6120</v>
      </c>
      <c r="H8" s="29" t="n">
        <f aca="false">H5+H6+H7</f>
        <v>5880</v>
      </c>
    </row>
    <row r="9" customFormat="false" ht="15" hidden="false" customHeight="false" outlineLevel="0" collapsed="false">
      <c r="A9" s="19" t="s">
        <v>147</v>
      </c>
      <c r="B9" s="35" t="str">
        <f aca="false">IFERROR(INDEX(Sezoane!$A$6:$A$40,MATCH(B4,Sezoane!$C$6:$C$40,1)),"")</f>
        <v>iarna-2027</v>
      </c>
      <c r="C9" s="2"/>
      <c r="D9" s="5" t="s">
        <v>148</v>
      </c>
      <c r="E9" s="30" t="n">
        <f aca="false">(Platforme!$B$5+Platforme!$B$6)*$B$6*$B$5</f>
        <v>192</v>
      </c>
      <c r="F9" s="30" t="n">
        <f aca="false">(Platforme!$B$5+Platforme!$B$6)*$B$6*$B$5</f>
        <v>192</v>
      </c>
      <c r="G9" s="30" t="n">
        <f aca="false">(Platforme!$B$5+Platforme!$B$6)*$B$6*$B$5</f>
        <v>192</v>
      </c>
      <c r="H9" s="30" t="n">
        <f aca="false">(Platforme!$B$5+Platforme!$B$6)*$B$6*$B$5</f>
        <v>192</v>
      </c>
    </row>
    <row r="10" customFormat="false" ht="15" hidden="false" customHeight="false" outlineLevel="0" collapsed="false">
      <c r="A10" s="19" t="s">
        <v>149</v>
      </c>
      <c r="B10" s="36" t="n">
        <f aca="false">IFERROR(INDEX(Sezoane!$F$6:$F$40,MATCH(B4,Sezoane!$C$6:$C$40,1)),"")</f>
        <v>2</v>
      </c>
      <c r="C10" s="2"/>
      <c r="D10" s="5" t="s">
        <v>150</v>
      </c>
      <c r="E10" s="30" t="n">
        <f aca="false">-IF(Platforme!B13=1,E8-E9,E8)*(Platforme!B11+Platforme!B12-Platforme!B11*Platforme!B12)</f>
        <v>-0</v>
      </c>
      <c r="F10" s="30" t="n">
        <f aca="false">-IF(Platforme!C13=1,F8-F9,F8)*(Platforme!C11+Platforme!C12-Platforme!C11*Platforme!C12)</f>
        <v>-761.5776</v>
      </c>
      <c r="G10" s="30" t="n">
        <f aca="false">-IF(Platforme!D13=1,G8-G9,G8)*(Platforme!D11+Platforme!D12-Platforme!D11*Platforme!D12)</f>
        <v>-948.6</v>
      </c>
      <c r="H10" s="30" t="n">
        <f aca="false">-IF(Platforme!E13=1,H8-H9,H8)*(Platforme!E11+Platforme!E12-Platforme!E11*Platforme!E12)</f>
        <v>-705.6</v>
      </c>
    </row>
    <row r="11" customFormat="false" ht="23.85" hidden="false" customHeight="false" outlineLevel="0" collapsed="false">
      <c r="A11" s="19" t="s">
        <v>151</v>
      </c>
      <c r="B11" s="23" t="n">
        <f aca="false">IFERROR(IF(B5&lt;B10,0,N(INDEX(Sezoane!$G$6:$L$40,MATCH(B4,Sezoane!$C$6:$C$40,1),MIN(B5,7)-1))),0)</f>
        <v>0.2</v>
      </c>
      <c r="C11" s="2"/>
      <c r="D11" s="5" t="s">
        <v>152</v>
      </c>
      <c r="E11" s="29" t="n">
        <f aca="false">E8-E9+E10</f>
        <v>4128</v>
      </c>
      <c r="F11" s="29" t="n">
        <f aca="false">F8-F9+F10</f>
        <v>3942.4224</v>
      </c>
      <c r="G11" s="29" t="n">
        <f aca="false">G8-G9+G10</f>
        <v>4979.4</v>
      </c>
      <c r="H11" s="29" t="n">
        <f aca="false">H8-H9+H10</f>
        <v>4982.4</v>
      </c>
    </row>
    <row r="12" customFormat="false" ht="23.85" hidden="false" customHeight="false" outlineLevel="0" collapsed="false">
      <c r="A12" s="19" t="s">
        <v>153</v>
      </c>
      <c r="B12" s="23" t="n">
        <f aca="false">IF(B5&gt;=28,Platforme!B21,IF(B5&gt;=7,Platforme!B20,0))</f>
        <v>0</v>
      </c>
      <c r="C12" s="2"/>
      <c r="D12" s="5" t="s">
        <v>154</v>
      </c>
      <c r="E12" s="30"/>
      <c r="F12" s="30" t="n">
        <f aca="false">IF(F8=0,"",F8-$E$8)</f>
        <v>576</v>
      </c>
      <c r="G12" s="30" t="n">
        <f aca="false">IF(G8=0,"",G8-$E$8)</f>
        <v>1800</v>
      </c>
      <c r="H12" s="30" t="n">
        <f aca="false">IF(H8=0,"",H8-$E$8)</f>
        <v>1560</v>
      </c>
    </row>
    <row r="13" customFormat="false" ht="15" hidden="false" customHeight="false" outlineLevel="0" collapsed="false">
      <c r="A13" s="19" t="s">
        <v>155</v>
      </c>
      <c r="B13" s="37" t="str">
        <f aca="false">IF(B9="","⚠ Data nu e în niciun sezon – pe site rezervarea e blocată",IF(B5&lt;B10,"⚠ Sub numărul minim de nopți","OK"))</f>
        <v>OK</v>
      </c>
      <c r="C13" s="2"/>
      <c r="D13" s="2"/>
      <c r="E13" s="2"/>
      <c r="F13" s="2"/>
      <c r="G13" s="2"/>
      <c r="H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</row>
    <row r="18" customFormat="false" ht="15" hidden="false" customHeight="false" outlineLevel="0" collapsed="false">
      <c r="A18" s="4" t="s">
        <v>156</v>
      </c>
      <c r="B18" s="2"/>
      <c r="C18" s="2"/>
      <c r="D18" s="2"/>
      <c r="E18" s="2"/>
      <c r="F18" s="2"/>
      <c r="G18" s="2"/>
      <c r="H18" s="2"/>
    </row>
    <row r="19" customFormat="false" ht="21.75" hidden="false" customHeight="true" outlineLevel="0" collapsed="false">
      <c r="A19" s="10" t="s">
        <v>157</v>
      </c>
      <c r="B19" s="10" t="s">
        <v>158</v>
      </c>
      <c r="C19" s="10" t="s">
        <v>159</v>
      </c>
      <c r="D19" s="10" t="s">
        <v>160</v>
      </c>
      <c r="E19" s="10" t="s">
        <v>161</v>
      </c>
      <c r="F19" s="10" t="s">
        <v>82</v>
      </c>
      <c r="G19" s="10" t="s">
        <v>83</v>
      </c>
      <c r="H19" s="2"/>
    </row>
    <row r="20" customFormat="false" ht="15" hidden="false" customHeight="false" outlineLevel="0" collapsed="false">
      <c r="A20" s="38" t="n">
        <f aca="false">IF(1&lt;=$B$5,1,"")</f>
        <v>1</v>
      </c>
      <c r="B20" s="39" t="n">
        <f aca="false">IF(A20="","",$B$4+A20-1)</f>
        <v>46402</v>
      </c>
      <c r="C20" s="38" t="str">
        <f aca="false">IF(A20="","",IF(AND(ISNUMBER(MATCH(B20,Sezoane!$C$6:$C$40,1)),B20&lt;=INDEX(Sezoane!$D$6:$D$40,MATCH(B20,Sezoane!$C$6:$C$40,1))),INDEX(Sezoane!$A$6:$A$40,MATCH(B20,Sezoane!$C$6:$C$40,1)),"fără sezon"))</f>
        <v>iarna-2027</v>
      </c>
      <c r="D20" s="32" t="n">
        <f aca="false">IF(OR(A20="",C20="fără sezon"),0,INDEX('Prețuri de setat'!$E$5:$E$39,MATCH(B20,Sezoane!$C$6:$C$40,1)))</f>
        <v>1350</v>
      </c>
      <c r="E20" s="32" t="n">
        <f aca="false">IF(OR(A20="",C20="fără sezon"),0,INDEX('Prețuri de setat'!$F$5:$F$39,MATCH(B20,Sezoane!$C$6:$C$40,1)))</f>
        <v>1700</v>
      </c>
      <c r="F20" s="32" t="n">
        <f aca="false">IF(OR(A20="",C20="fără sezon"),0,INDEX('Prețuri de setat'!$G$5:$G$39,MATCH(B20,Sezoane!$C$6:$C$40,1)))</f>
        <v>1530</v>
      </c>
      <c r="G20" s="32" t="n">
        <f aca="false">IF(OR(A20="",C20="fără sezon"),0,INDEX('Prețuri de setat'!$H$5:$H$39,MATCH(B20,Sezoane!$C$6:$C$40,1)))</f>
        <v>1470</v>
      </c>
      <c r="H20" s="2"/>
    </row>
    <row r="21" customFormat="false" ht="15" hidden="false" customHeight="false" outlineLevel="0" collapsed="false">
      <c r="A21" s="38" t="n">
        <f aca="false">IF(2&lt;=$B$5,2,"")</f>
        <v>2</v>
      </c>
      <c r="B21" s="39" t="n">
        <f aca="false">IF(A21="","",$B$4+A21-1)</f>
        <v>46403</v>
      </c>
      <c r="C21" s="38" t="str">
        <f aca="false">IF(A21="","",IF(AND(ISNUMBER(MATCH(B21,Sezoane!$C$6:$C$40,1)),B21&lt;=INDEX(Sezoane!$D$6:$D$40,MATCH(B21,Sezoane!$C$6:$C$40,1))),INDEX(Sezoane!$A$6:$A$40,MATCH(B21,Sezoane!$C$6:$C$40,1)),"fără sezon"))</f>
        <v>iarna-2027</v>
      </c>
      <c r="D21" s="32" t="n">
        <f aca="false">IF(OR(A21="",C21="fără sezon"),0,INDEX('Prețuri de setat'!$E$5:$E$39,MATCH(B21,Sezoane!$C$6:$C$40,1)))</f>
        <v>1350</v>
      </c>
      <c r="E21" s="32" t="n">
        <f aca="false">IF(OR(A21="",C21="fără sezon"),0,INDEX('Prețuri de setat'!$F$5:$F$39,MATCH(B21,Sezoane!$C$6:$C$40,1)))</f>
        <v>1700</v>
      </c>
      <c r="F21" s="32" t="n">
        <f aca="false">IF(OR(A21="",C21="fără sezon"),0,INDEX('Prețuri de setat'!$G$5:$G$39,MATCH(B21,Sezoane!$C$6:$C$40,1)))</f>
        <v>1530</v>
      </c>
      <c r="G21" s="32" t="n">
        <f aca="false">IF(OR(A21="",C21="fără sezon"),0,INDEX('Prețuri de setat'!$H$5:$H$39,MATCH(B21,Sezoane!$C$6:$C$40,1)))</f>
        <v>1470</v>
      </c>
      <c r="H21" s="2"/>
    </row>
    <row r="22" customFormat="false" ht="15" hidden="false" customHeight="false" outlineLevel="0" collapsed="false">
      <c r="A22" s="38" t="n">
        <f aca="false">IF(3&lt;=$B$5,3,"")</f>
        <v>3</v>
      </c>
      <c r="B22" s="39" t="n">
        <f aca="false">IF(A22="","",$B$4+A22-1)</f>
        <v>46404</v>
      </c>
      <c r="C22" s="38" t="str">
        <f aca="false">IF(A22="","",IF(AND(ISNUMBER(MATCH(B22,Sezoane!$C$6:$C$40,1)),B22&lt;=INDEX(Sezoane!$D$6:$D$40,MATCH(B22,Sezoane!$C$6:$C$40,1))),INDEX(Sezoane!$A$6:$A$40,MATCH(B22,Sezoane!$C$6:$C$40,1)),"fără sezon"))</f>
        <v>iarna-2027</v>
      </c>
      <c r="D22" s="32" t="n">
        <f aca="false">IF(OR(A22="",C22="fără sezon"),0,INDEX('Prețuri de setat'!$E$5:$E$39,MATCH(B22,Sezoane!$C$6:$C$40,1)))</f>
        <v>1350</v>
      </c>
      <c r="E22" s="32" t="n">
        <f aca="false">IF(OR(A22="",C22="fără sezon"),0,INDEX('Prețuri de setat'!$F$5:$F$39,MATCH(B22,Sezoane!$C$6:$C$40,1)))</f>
        <v>1700</v>
      </c>
      <c r="F22" s="32" t="n">
        <f aca="false">IF(OR(A22="",C22="fără sezon"),0,INDEX('Prețuri de setat'!$G$5:$G$39,MATCH(B22,Sezoane!$C$6:$C$40,1)))</f>
        <v>1530</v>
      </c>
      <c r="G22" s="32" t="n">
        <f aca="false">IF(OR(A22="",C22="fără sezon"),0,INDEX('Prețuri de setat'!$H$5:$H$39,MATCH(B22,Sezoane!$C$6:$C$40,1)))</f>
        <v>1470</v>
      </c>
      <c r="H22" s="2"/>
    </row>
    <row r="23" customFormat="false" ht="15" hidden="false" customHeight="false" outlineLevel="0" collapsed="false">
      <c r="A23" s="38" t="n">
        <f aca="false">IF(4&lt;=$B$5,4,"")</f>
        <v>4</v>
      </c>
      <c r="B23" s="39" t="n">
        <f aca="false">IF(A23="","",$B$4+A23-1)</f>
        <v>46405</v>
      </c>
      <c r="C23" s="38" t="str">
        <f aca="false">IF(A23="","",IF(AND(ISNUMBER(MATCH(B23,Sezoane!$C$6:$C$40,1)),B23&lt;=INDEX(Sezoane!$D$6:$D$40,MATCH(B23,Sezoane!$C$6:$C$40,1))),INDEX(Sezoane!$A$6:$A$40,MATCH(B23,Sezoane!$C$6:$C$40,1)),"fără sezon"))</f>
        <v>iarna-2027</v>
      </c>
      <c r="D23" s="32" t="n">
        <f aca="false">IF(OR(A23="",C23="fără sezon"),0,INDEX('Prețuri de setat'!$E$5:$E$39,MATCH(B23,Sezoane!$C$6:$C$40,1)))</f>
        <v>1350</v>
      </c>
      <c r="E23" s="32" t="n">
        <f aca="false">IF(OR(A23="",C23="fără sezon"),0,INDEX('Prețuri de setat'!$F$5:$F$39,MATCH(B23,Sezoane!$C$6:$C$40,1)))</f>
        <v>1700</v>
      </c>
      <c r="F23" s="32" t="n">
        <f aca="false">IF(OR(A23="",C23="fără sezon"),0,INDEX('Prețuri de setat'!$G$5:$G$39,MATCH(B23,Sezoane!$C$6:$C$40,1)))</f>
        <v>1530</v>
      </c>
      <c r="G23" s="32" t="n">
        <f aca="false">IF(OR(A23="",C23="fără sezon"),0,INDEX('Prețuri de setat'!$H$5:$H$39,MATCH(B23,Sezoane!$C$6:$C$40,1)))</f>
        <v>1470</v>
      </c>
      <c r="H23" s="2"/>
    </row>
    <row r="24" customFormat="false" ht="15" hidden="false" customHeight="false" outlineLevel="0" collapsed="false">
      <c r="A24" s="38" t="str">
        <f aca="false">IF(5&lt;=$B$5,5,"")</f>
        <v/>
      </c>
      <c r="B24" s="39" t="str">
        <f aca="false">IF(A24="","",$B$4+A24-1)</f>
        <v/>
      </c>
      <c r="C24" s="38" t="str">
        <f aca="false">IF(A24="","",IF(AND(ISNUMBER(MATCH(B24,Sezoane!$C$6:$C$40,1)),B24&lt;=INDEX(Sezoane!$D$6:$D$40,MATCH(B24,Sezoane!$C$6:$C$40,1))),INDEX(Sezoane!$A$6:$A$40,MATCH(B24,Sezoane!$C$6:$C$40,1)),"fără sezon"))</f>
        <v/>
      </c>
      <c r="D24" s="32" t="n">
        <f aca="false">IF(OR(A24="",C24="fără sezon"),0,INDEX('Prețuri de setat'!$E$5:$E$39,MATCH(B24,Sezoane!$C$6:$C$40,1)))</f>
        <v>0</v>
      </c>
      <c r="E24" s="32" t="n">
        <f aca="false">IF(OR(A24="",C24="fără sezon"),0,INDEX('Prețuri de setat'!$F$5:$F$39,MATCH(B24,Sezoane!$C$6:$C$40,1)))</f>
        <v>0</v>
      </c>
      <c r="F24" s="32" t="n">
        <f aca="false">IF(OR(A24="",C24="fără sezon"),0,INDEX('Prețuri de setat'!$G$5:$G$39,MATCH(B24,Sezoane!$C$6:$C$40,1)))</f>
        <v>0</v>
      </c>
      <c r="G24" s="32" t="n">
        <f aca="false">IF(OR(A24="",C24="fără sezon"),0,INDEX('Prețuri de setat'!$H$5:$H$39,MATCH(B24,Sezoane!$C$6:$C$40,1)))</f>
        <v>0</v>
      </c>
      <c r="H24" s="2"/>
    </row>
    <row r="25" customFormat="false" ht="15" hidden="false" customHeight="false" outlineLevel="0" collapsed="false">
      <c r="A25" s="38" t="str">
        <f aca="false">IF(6&lt;=$B$5,6,"")</f>
        <v/>
      </c>
      <c r="B25" s="39" t="str">
        <f aca="false">IF(A25="","",$B$4+A25-1)</f>
        <v/>
      </c>
      <c r="C25" s="38" t="str">
        <f aca="false">IF(A25="","",IF(AND(ISNUMBER(MATCH(B25,Sezoane!$C$6:$C$40,1)),B25&lt;=INDEX(Sezoane!$D$6:$D$40,MATCH(B25,Sezoane!$C$6:$C$40,1))),INDEX(Sezoane!$A$6:$A$40,MATCH(B25,Sezoane!$C$6:$C$40,1)),"fără sezon"))</f>
        <v/>
      </c>
      <c r="D25" s="32" t="n">
        <f aca="false">IF(OR(A25="",C25="fără sezon"),0,INDEX('Prețuri de setat'!$E$5:$E$39,MATCH(B25,Sezoane!$C$6:$C$40,1)))</f>
        <v>0</v>
      </c>
      <c r="E25" s="32" t="n">
        <f aca="false">IF(OR(A25="",C25="fără sezon"),0,INDEX('Prețuri de setat'!$F$5:$F$39,MATCH(B25,Sezoane!$C$6:$C$40,1)))</f>
        <v>0</v>
      </c>
      <c r="F25" s="32" t="n">
        <f aca="false">IF(OR(A25="",C25="fără sezon"),0,INDEX('Prețuri de setat'!$G$5:$G$39,MATCH(B25,Sezoane!$C$6:$C$40,1)))</f>
        <v>0</v>
      </c>
      <c r="G25" s="32" t="n">
        <f aca="false">IF(OR(A25="",C25="fără sezon"),0,INDEX('Prețuri de setat'!$H$5:$H$39,MATCH(B25,Sezoane!$C$6:$C$40,1)))</f>
        <v>0</v>
      </c>
      <c r="H25" s="2"/>
    </row>
    <row r="26" customFormat="false" ht="15" hidden="false" customHeight="false" outlineLevel="0" collapsed="false">
      <c r="A26" s="38" t="str">
        <f aca="false">IF(7&lt;=$B$5,7,"")</f>
        <v/>
      </c>
      <c r="B26" s="39" t="str">
        <f aca="false">IF(A26="","",$B$4+A26-1)</f>
        <v/>
      </c>
      <c r="C26" s="38" t="str">
        <f aca="false">IF(A26="","",IF(AND(ISNUMBER(MATCH(B26,Sezoane!$C$6:$C$40,1)),B26&lt;=INDEX(Sezoane!$D$6:$D$40,MATCH(B26,Sezoane!$C$6:$C$40,1))),INDEX(Sezoane!$A$6:$A$40,MATCH(B26,Sezoane!$C$6:$C$40,1)),"fără sezon"))</f>
        <v/>
      </c>
      <c r="D26" s="32" t="n">
        <f aca="false">IF(OR(A26="",C26="fără sezon"),0,INDEX('Prețuri de setat'!$E$5:$E$39,MATCH(B26,Sezoane!$C$6:$C$40,1)))</f>
        <v>0</v>
      </c>
      <c r="E26" s="32" t="n">
        <f aca="false">IF(OR(A26="",C26="fără sezon"),0,INDEX('Prețuri de setat'!$F$5:$F$39,MATCH(B26,Sezoane!$C$6:$C$40,1)))</f>
        <v>0</v>
      </c>
      <c r="F26" s="32" t="n">
        <f aca="false">IF(OR(A26="",C26="fără sezon"),0,INDEX('Prețuri de setat'!$G$5:$G$39,MATCH(B26,Sezoane!$C$6:$C$40,1)))</f>
        <v>0</v>
      </c>
      <c r="G26" s="32" t="n">
        <f aca="false">IF(OR(A26="",C26="fără sezon"),0,INDEX('Prețuri de setat'!$H$5:$H$39,MATCH(B26,Sezoane!$C$6:$C$40,1)))</f>
        <v>0</v>
      </c>
      <c r="H26" s="2"/>
    </row>
    <row r="27" customFormat="false" ht="15" hidden="false" customHeight="false" outlineLevel="0" collapsed="false">
      <c r="A27" s="38" t="str">
        <f aca="false">IF(8&lt;=$B$5,8,"")</f>
        <v/>
      </c>
      <c r="B27" s="39" t="str">
        <f aca="false">IF(A27="","",$B$4+A27-1)</f>
        <v/>
      </c>
      <c r="C27" s="38" t="str">
        <f aca="false">IF(A27="","",IF(AND(ISNUMBER(MATCH(B27,Sezoane!$C$6:$C$40,1)),B27&lt;=INDEX(Sezoane!$D$6:$D$40,MATCH(B27,Sezoane!$C$6:$C$40,1))),INDEX(Sezoane!$A$6:$A$40,MATCH(B27,Sezoane!$C$6:$C$40,1)),"fără sezon"))</f>
        <v/>
      </c>
      <c r="D27" s="32" t="n">
        <f aca="false">IF(OR(A27="",C27="fără sezon"),0,INDEX('Prețuri de setat'!$E$5:$E$39,MATCH(B27,Sezoane!$C$6:$C$40,1)))</f>
        <v>0</v>
      </c>
      <c r="E27" s="32" t="n">
        <f aca="false">IF(OR(A27="",C27="fără sezon"),0,INDEX('Prețuri de setat'!$F$5:$F$39,MATCH(B27,Sezoane!$C$6:$C$40,1)))</f>
        <v>0</v>
      </c>
      <c r="F27" s="32" t="n">
        <f aca="false">IF(OR(A27="",C27="fără sezon"),0,INDEX('Prețuri de setat'!$G$5:$G$39,MATCH(B27,Sezoane!$C$6:$C$40,1)))</f>
        <v>0</v>
      </c>
      <c r="G27" s="32" t="n">
        <f aca="false">IF(OR(A27="",C27="fără sezon"),0,INDEX('Prețuri de setat'!$H$5:$H$39,MATCH(B27,Sezoane!$C$6:$C$40,1)))</f>
        <v>0</v>
      </c>
      <c r="H27" s="2"/>
    </row>
    <row r="28" customFormat="false" ht="15" hidden="false" customHeight="false" outlineLevel="0" collapsed="false">
      <c r="A28" s="38" t="str">
        <f aca="false">IF(9&lt;=$B$5,9,"")</f>
        <v/>
      </c>
      <c r="B28" s="39" t="str">
        <f aca="false">IF(A28="","",$B$4+A28-1)</f>
        <v/>
      </c>
      <c r="C28" s="38" t="str">
        <f aca="false">IF(A28="","",IF(AND(ISNUMBER(MATCH(B28,Sezoane!$C$6:$C$40,1)),B28&lt;=INDEX(Sezoane!$D$6:$D$40,MATCH(B28,Sezoane!$C$6:$C$40,1))),INDEX(Sezoane!$A$6:$A$40,MATCH(B28,Sezoane!$C$6:$C$40,1)),"fără sezon"))</f>
        <v/>
      </c>
      <c r="D28" s="32" t="n">
        <f aca="false">IF(OR(A28="",C28="fără sezon"),0,INDEX('Prețuri de setat'!$E$5:$E$39,MATCH(B28,Sezoane!$C$6:$C$40,1)))</f>
        <v>0</v>
      </c>
      <c r="E28" s="32" t="n">
        <f aca="false">IF(OR(A28="",C28="fără sezon"),0,INDEX('Prețuri de setat'!$F$5:$F$39,MATCH(B28,Sezoane!$C$6:$C$40,1)))</f>
        <v>0</v>
      </c>
      <c r="F28" s="32" t="n">
        <f aca="false">IF(OR(A28="",C28="fără sezon"),0,INDEX('Prețuri de setat'!$G$5:$G$39,MATCH(B28,Sezoane!$C$6:$C$40,1)))</f>
        <v>0</v>
      </c>
      <c r="G28" s="32" t="n">
        <f aca="false">IF(OR(A28="",C28="fără sezon"),0,INDEX('Prețuri de setat'!$H$5:$H$39,MATCH(B28,Sezoane!$C$6:$C$40,1)))</f>
        <v>0</v>
      </c>
      <c r="H28" s="2"/>
    </row>
    <row r="29" customFormat="false" ht="15" hidden="false" customHeight="false" outlineLevel="0" collapsed="false">
      <c r="A29" s="38" t="str">
        <f aca="false">IF(10&lt;=$B$5,10,"")</f>
        <v/>
      </c>
      <c r="B29" s="39" t="str">
        <f aca="false">IF(A29="","",$B$4+A29-1)</f>
        <v/>
      </c>
      <c r="C29" s="38" t="str">
        <f aca="false">IF(A29="","",IF(AND(ISNUMBER(MATCH(B29,Sezoane!$C$6:$C$40,1)),B29&lt;=INDEX(Sezoane!$D$6:$D$40,MATCH(B29,Sezoane!$C$6:$C$40,1))),INDEX(Sezoane!$A$6:$A$40,MATCH(B29,Sezoane!$C$6:$C$40,1)),"fără sezon"))</f>
        <v/>
      </c>
      <c r="D29" s="32" t="n">
        <f aca="false">IF(OR(A29="",C29="fără sezon"),0,INDEX('Prețuri de setat'!$E$5:$E$39,MATCH(B29,Sezoane!$C$6:$C$40,1)))</f>
        <v>0</v>
      </c>
      <c r="E29" s="32" t="n">
        <f aca="false">IF(OR(A29="",C29="fără sezon"),0,INDEX('Prețuri de setat'!$F$5:$F$39,MATCH(B29,Sezoane!$C$6:$C$40,1)))</f>
        <v>0</v>
      </c>
      <c r="F29" s="32" t="n">
        <f aca="false">IF(OR(A29="",C29="fără sezon"),0,INDEX('Prețuri de setat'!$G$5:$G$39,MATCH(B29,Sezoane!$C$6:$C$40,1)))</f>
        <v>0</v>
      </c>
      <c r="G29" s="32" t="n">
        <f aca="false">IF(OR(A29="",C29="fără sezon"),0,INDEX('Prețuri de setat'!$H$5:$H$39,MATCH(B29,Sezoane!$C$6:$C$40,1)))</f>
        <v>0</v>
      </c>
      <c r="H29" s="2"/>
    </row>
    <row r="30" customFormat="false" ht="15" hidden="false" customHeight="false" outlineLevel="0" collapsed="false">
      <c r="A30" s="38" t="str">
        <f aca="false">IF(11&lt;=$B$5,11,"")</f>
        <v/>
      </c>
      <c r="B30" s="39" t="str">
        <f aca="false">IF(A30="","",$B$4+A30-1)</f>
        <v/>
      </c>
      <c r="C30" s="38" t="str">
        <f aca="false">IF(A30="","",IF(AND(ISNUMBER(MATCH(B30,Sezoane!$C$6:$C$40,1)),B30&lt;=INDEX(Sezoane!$D$6:$D$40,MATCH(B30,Sezoane!$C$6:$C$40,1))),INDEX(Sezoane!$A$6:$A$40,MATCH(B30,Sezoane!$C$6:$C$40,1)),"fără sezon"))</f>
        <v/>
      </c>
      <c r="D30" s="32" t="n">
        <f aca="false">IF(OR(A30="",C30="fără sezon"),0,INDEX('Prețuri de setat'!$E$5:$E$39,MATCH(B30,Sezoane!$C$6:$C$40,1)))</f>
        <v>0</v>
      </c>
      <c r="E30" s="32" t="n">
        <f aca="false">IF(OR(A30="",C30="fără sezon"),0,INDEX('Prețuri de setat'!$F$5:$F$39,MATCH(B30,Sezoane!$C$6:$C$40,1)))</f>
        <v>0</v>
      </c>
      <c r="F30" s="32" t="n">
        <f aca="false">IF(OR(A30="",C30="fără sezon"),0,INDEX('Prețuri de setat'!$G$5:$G$39,MATCH(B30,Sezoane!$C$6:$C$40,1)))</f>
        <v>0</v>
      </c>
      <c r="G30" s="32" t="n">
        <f aca="false">IF(OR(A30="",C30="fără sezon"),0,INDEX('Prețuri de setat'!$H$5:$H$39,MATCH(B30,Sezoane!$C$6:$C$40,1)))</f>
        <v>0</v>
      </c>
      <c r="H30" s="2"/>
    </row>
    <row r="31" customFormat="false" ht="15" hidden="false" customHeight="false" outlineLevel="0" collapsed="false">
      <c r="A31" s="38" t="str">
        <f aca="false">IF(12&lt;=$B$5,12,"")</f>
        <v/>
      </c>
      <c r="B31" s="39" t="str">
        <f aca="false">IF(A31="","",$B$4+A31-1)</f>
        <v/>
      </c>
      <c r="C31" s="38" t="str">
        <f aca="false">IF(A31="","",IF(AND(ISNUMBER(MATCH(B31,Sezoane!$C$6:$C$40,1)),B31&lt;=INDEX(Sezoane!$D$6:$D$40,MATCH(B31,Sezoane!$C$6:$C$40,1))),INDEX(Sezoane!$A$6:$A$40,MATCH(B31,Sezoane!$C$6:$C$40,1)),"fără sezon"))</f>
        <v/>
      </c>
      <c r="D31" s="32" t="n">
        <f aca="false">IF(OR(A31="",C31="fără sezon"),0,INDEX('Prețuri de setat'!$E$5:$E$39,MATCH(B31,Sezoane!$C$6:$C$40,1)))</f>
        <v>0</v>
      </c>
      <c r="E31" s="32" t="n">
        <f aca="false">IF(OR(A31="",C31="fără sezon"),0,INDEX('Prețuri de setat'!$F$5:$F$39,MATCH(B31,Sezoane!$C$6:$C$40,1)))</f>
        <v>0</v>
      </c>
      <c r="F31" s="32" t="n">
        <f aca="false">IF(OR(A31="",C31="fără sezon"),0,INDEX('Prețuri de setat'!$G$5:$G$39,MATCH(B31,Sezoane!$C$6:$C$40,1)))</f>
        <v>0</v>
      </c>
      <c r="G31" s="32" t="n">
        <f aca="false">IF(OR(A31="",C31="fără sezon"),0,INDEX('Prețuri de setat'!$H$5:$H$39,MATCH(B31,Sezoane!$C$6:$C$40,1)))</f>
        <v>0</v>
      </c>
      <c r="H31" s="2"/>
    </row>
    <row r="32" customFormat="false" ht="15" hidden="false" customHeight="false" outlineLevel="0" collapsed="false">
      <c r="A32" s="38" t="str">
        <f aca="false">IF(13&lt;=$B$5,13,"")</f>
        <v/>
      </c>
      <c r="B32" s="39" t="str">
        <f aca="false">IF(A32="","",$B$4+A32-1)</f>
        <v/>
      </c>
      <c r="C32" s="38" t="str">
        <f aca="false">IF(A32="","",IF(AND(ISNUMBER(MATCH(B32,Sezoane!$C$6:$C$40,1)),B32&lt;=INDEX(Sezoane!$D$6:$D$40,MATCH(B32,Sezoane!$C$6:$C$40,1))),INDEX(Sezoane!$A$6:$A$40,MATCH(B32,Sezoane!$C$6:$C$40,1)),"fără sezon"))</f>
        <v/>
      </c>
      <c r="D32" s="32" t="n">
        <f aca="false">IF(OR(A32="",C32="fără sezon"),0,INDEX('Prețuri de setat'!$E$5:$E$39,MATCH(B32,Sezoane!$C$6:$C$40,1)))</f>
        <v>0</v>
      </c>
      <c r="E32" s="32" t="n">
        <f aca="false">IF(OR(A32="",C32="fără sezon"),0,INDEX('Prețuri de setat'!$F$5:$F$39,MATCH(B32,Sezoane!$C$6:$C$40,1)))</f>
        <v>0</v>
      </c>
      <c r="F32" s="32" t="n">
        <f aca="false">IF(OR(A32="",C32="fără sezon"),0,INDEX('Prețuri de setat'!$G$5:$G$39,MATCH(B32,Sezoane!$C$6:$C$40,1)))</f>
        <v>0</v>
      </c>
      <c r="G32" s="32" t="n">
        <f aca="false">IF(OR(A32="",C32="fără sezon"),0,INDEX('Prețuri de setat'!$H$5:$H$39,MATCH(B32,Sezoane!$C$6:$C$40,1)))</f>
        <v>0</v>
      </c>
      <c r="H32" s="2"/>
    </row>
    <row r="33" customFormat="false" ht="15" hidden="false" customHeight="false" outlineLevel="0" collapsed="false">
      <c r="A33" s="38" t="str">
        <f aca="false">IF(14&lt;=$B$5,14,"")</f>
        <v/>
      </c>
      <c r="B33" s="39" t="str">
        <f aca="false">IF(A33="","",$B$4+A33-1)</f>
        <v/>
      </c>
      <c r="C33" s="38" t="str">
        <f aca="false">IF(A33="","",IF(AND(ISNUMBER(MATCH(B33,Sezoane!$C$6:$C$40,1)),B33&lt;=INDEX(Sezoane!$D$6:$D$40,MATCH(B33,Sezoane!$C$6:$C$40,1))),INDEX(Sezoane!$A$6:$A$40,MATCH(B33,Sezoane!$C$6:$C$40,1)),"fără sezon"))</f>
        <v/>
      </c>
      <c r="D33" s="32" t="n">
        <f aca="false">IF(OR(A33="",C33="fără sezon"),0,INDEX('Prețuri de setat'!$E$5:$E$39,MATCH(B33,Sezoane!$C$6:$C$40,1)))</f>
        <v>0</v>
      </c>
      <c r="E33" s="32" t="n">
        <f aca="false">IF(OR(A33="",C33="fără sezon"),0,INDEX('Prețuri de setat'!$F$5:$F$39,MATCH(B33,Sezoane!$C$6:$C$40,1)))</f>
        <v>0</v>
      </c>
      <c r="F33" s="32" t="n">
        <f aca="false">IF(OR(A33="",C33="fără sezon"),0,INDEX('Prețuri de setat'!$G$5:$G$39,MATCH(B33,Sezoane!$C$6:$C$40,1)))</f>
        <v>0</v>
      </c>
      <c r="G33" s="32" t="n">
        <f aca="false">IF(OR(A33="",C33="fără sezon"),0,INDEX('Prețuri de setat'!$H$5:$H$39,MATCH(B33,Sezoane!$C$6:$C$40,1)))</f>
        <v>0</v>
      </c>
      <c r="H33" s="2"/>
    </row>
    <row r="34" customFormat="false" ht="15" hidden="false" customHeight="false" outlineLevel="0" collapsed="false">
      <c r="A34" s="38" t="str">
        <f aca="false">IF(15&lt;=$B$5,15,"")</f>
        <v/>
      </c>
      <c r="B34" s="39" t="str">
        <f aca="false">IF(A34="","",$B$4+A34-1)</f>
        <v/>
      </c>
      <c r="C34" s="38" t="str">
        <f aca="false">IF(A34="","",IF(AND(ISNUMBER(MATCH(B34,Sezoane!$C$6:$C$40,1)),B34&lt;=INDEX(Sezoane!$D$6:$D$40,MATCH(B34,Sezoane!$C$6:$C$40,1))),INDEX(Sezoane!$A$6:$A$40,MATCH(B34,Sezoane!$C$6:$C$40,1)),"fără sezon"))</f>
        <v/>
      </c>
      <c r="D34" s="32" t="n">
        <f aca="false">IF(OR(A34="",C34="fără sezon"),0,INDEX('Prețuri de setat'!$E$5:$E$39,MATCH(B34,Sezoane!$C$6:$C$40,1)))</f>
        <v>0</v>
      </c>
      <c r="E34" s="32" t="n">
        <f aca="false">IF(OR(A34="",C34="fără sezon"),0,INDEX('Prețuri de setat'!$F$5:$F$39,MATCH(B34,Sezoane!$C$6:$C$40,1)))</f>
        <v>0</v>
      </c>
      <c r="F34" s="32" t="n">
        <f aca="false">IF(OR(A34="",C34="fără sezon"),0,INDEX('Prețuri de setat'!$G$5:$G$39,MATCH(B34,Sezoane!$C$6:$C$40,1)))</f>
        <v>0</v>
      </c>
      <c r="G34" s="32" t="n">
        <f aca="false">IF(OR(A34="",C34="fără sezon"),0,INDEX('Prețuri de setat'!$H$5:$H$39,MATCH(B34,Sezoane!$C$6:$C$40,1)))</f>
        <v>0</v>
      </c>
      <c r="H34" s="2"/>
    </row>
    <row r="35" customFormat="false" ht="15" hidden="false" customHeight="false" outlineLevel="0" collapsed="false">
      <c r="A35" s="38" t="str">
        <f aca="false">IF(16&lt;=$B$5,16,"")</f>
        <v/>
      </c>
      <c r="B35" s="39" t="str">
        <f aca="false">IF(A35="","",$B$4+A35-1)</f>
        <v/>
      </c>
      <c r="C35" s="38" t="str">
        <f aca="false">IF(A35="","",IF(AND(ISNUMBER(MATCH(B35,Sezoane!$C$6:$C$40,1)),B35&lt;=INDEX(Sezoane!$D$6:$D$40,MATCH(B35,Sezoane!$C$6:$C$40,1))),INDEX(Sezoane!$A$6:$A$40,MATCH(B35,Sezoane!$C$6:$C$40,1)),"fără sezon"))</f>
        <v/>
      </c>
      <c r="D35" s="32" t="n">
        <f aca="false">IF(OR(A35="",C35="fără sezon"),0,INDEX('Prețuri de setat'!$E$5:$E$39,MATCH(B35,Sezoane!$C$6:$C$40,1)))</f>
        <v>0</v>
      </c>
      <c r="E35" s="32" t="n">
        <f aca="false">IF(OR(A35="",C35="fără sezon"),0,INDEX('Prețuri de setat'!$F$5:$F$39,MATCH(B35,Sezoane!$C$6:$C$40,1)))</f>
        <v>0</v>
      </c>
      <c r="F35" s="32" t="n">
        <f aca="false">IF(OR(A35="",C35="fără sezon"),0,INDEX('Prețuri de setat'!$G$5:$G$39,MATCH(B35,Sezoane!$C$6:$C$40,1)))</f>
        <v>0</v>
      </c>
      <c r="G35" s="32" t="n">
        <f aca="false">IF(OR(A35="",C35="fără sezon"),0,INDEX('Prețuri de setat'!$H$5:$H$39,MATCH(B35,Sezoane!$C$6:$C$40,1)))</f>
        <v>0</v>
      </c>
      <c r="H35" s="2"/>
    </row>
    <row r="36" customFormat="false" ht="15" hidden="false" customHeight="false" outlineLevel="0" collapsed="false">
      <c r="A36" s="38" t="str">
        <f aca="false">IF(17&lt;=$B$5,17,"")</f>
        <v/>
      </c>
      <c r="B36" s="39" t="str">
        <f aca="false">IF(A36="","",$B$4+A36-1)</f>
        <v/>
      </c>
      <c r="C36" s="38" t="str">
        <f aca="false">IF(A36="","",IF(AND(ISNUMBER(MATCH(B36,Sezoane!$C$6:$C$40,1)),B36&lt;=INDEX(Sezoane!$D$6:$D$40,MATCH(B36,Sezoane!$C$6:$C$40,1))),INDEX(Sezoane!$A$6:$A$40,MATCH(B36,Sezoane!$C$6:$C$40,1)),"fără sezon"))</f>
        <v/>
      </c>
      <c r="D36" s="32" t="n">
        <f aca="false">IF(OR(A36="",C36="fără sezon"),0,INDEX('Prețuri de setat'!$E$5:$E$39,MATCH(B36,Sezoane!$C$6:$C$40,1)))</f>
        <v>0</v>
      </c>
      <c r="E36" s="32" t="n">
        <f aca="false">IF(OR(A36="",C36="fără sezon"),0,INDEX('Prețuri de setat'!$F$5:$F$39,MATCH(B36,Sezoane!$C$6:$C$40,1)))</f>
        <v>0</v>
      </c>
      <c r="F36" s="32" t="n">
        <f aca="false">IF(OR(A36="",C36="fără sezon"),0,INDEX('Prețuri de setat'!$G$5:$G$39,MATCH(B36,Sezoane!$C$6:$C$40,1)))</f>
        <v>0</v>
      </c>
      <c r="G36" s="32" t="n">
        <f aca="false">IF(OR(A36="",C36="fără sezon"),0,INDEX('Prețuri de setat'!$H$5:$H$39,MATCH(B36,Sezoane!$C$6:$C$40,1)))</f>
        <v>0</v>
      </c>
      <c r="H36" s="2"/>
    </row>
    <row r="37" customFormat="false" ht="15" hidden="false" customHeight="false" outlineLevel="0" collapsed="false">
      <c r="A37" s="38" t="str">
        <f aca="false">IF(18&lt;=$B$5,18,"")</f>
        <v/>
      </c>
      <c r="B37" s="39" t="str">
        <f aca="false">IF(A37="","",$B$4+A37-1)</f>
        <v/>
      </c>
      <c r="C37" s="38" t="str">
        <f aca="false">IF(A37="","",IF(AND(ISNUMBER(MATCH(B37,Sezoane!$C$6:$C$40,1)),B37&lt;=INDEX(Sezoane!$D$6:$D$40,MATCH(B37,Sezoane!$C$6:$C$40,1))),INDEX(Sezoane!$A$6:$A$40,MATCH(B37,Sezoane!$C$6:$C$40,1)),"fără sezon"))</f>
        <v/>
      </c>
      <c r="D37" s="32" t="n">
        <f aca="false">IF(OR(A37="",C37="fără sezon"),0,INDEX('Prețuri de setat'!$E$5:$E$39,MATCH(B37,Sezoane!$C$6:$C$40,1)))</f>
        <v>0</v>
      </c>
      <c r="E37" s="32" t="n">
        <f aca="false">IF(OR(A37="",C37="fără sezon"),0,INDEX('Prețuri de setat'!$F$5:$F$39,MATCH(B37,Sezoane!$C$6:$C$40,1)))</f>
        <v>0</v>
      </c>
      <c r="F37" s="32" t="n">
        <f aca="false">IF(OR(A37="",C37="fără sezon"),0,INDEX('Prețuri de setat'!$G$5:$G$39,MATCH(B37,Sezoane!$C$6:$C$40,1)))</f>
        <v>0</v>
      </c>
      <c r="G37" s="32" t="n">
        <f aca="false">IF(OR(A37="",C37="fără sezon"),0,INDEX('Prețuri de setat'!$H$5:$H$39,MATCH(B37,Sezoane!$C$6:$C$40,1)))</f>
        <v>0</v>
      </c>
      <c r="H37" s="2"/>
    </row>
    <row r="38" customFormat="false" ht="15" hidden="false" customHeight="false" outlineLevel="0" collapsed="false">
      <c r="A38" s="38" t="str">
        <f aca="false">IF(19&lt;=$B$5,19,"")</f>
        <v/>
      </c>
      <c r="B38" s="39" t="str">
        <f aca="false">IF(A38="","",$B$4+A38-1)</f>
        <v/>
      </c>
      <c r="C38" s="38" t="str">
        <f aca="false">IF(A38="","",IF(AND(ISNUMBER(MATCH(B38,Sezoane!$C$6:$C$40,1)),B38&lt;=INDEX(Sezoane!$D$6:$D$40,MATCH(B38,Sezoane!$C$6:$C$40,1))),INDEX(Sezoane!$A$6:$A$40,MATCH(B38,Sezoane!$C$6:$C$40,1)),"fără sezon"))</f>
        <v/>
      </c>
      <c r="D38" s="32" t="n">
        <f aca="false">IF(OR(A38="",C38="fără sezon"),0,INDEX('Prețuri de setat'!$E$5:$E$39,MATCH(B38,Sezoane!$C$6:$C$40,1)))</f>
        <v>0</v>
      </c>
      <c r="E38" s="32" t="n">
        <f aca="false">IF(OR(A38="",C38="fără sezon"),0,INDEX('Prețuri de setat'!$F$5:$F$39,MATCH(B38,Sezoane!$C$6:$C$40,1)))</f>
        <v>0</v>
      </c>
      <c r="F38" s="32" t="n">
        <f aca="false">IF(OR(A38="",C38="fără sezon"),0,INDEX('Prețuri de setat'!$G$5:$G$39,MATCH(B38,Sezoane!$C$6:$C$40,1)))</f>
        <v>0</v>
      </c>
      <c r="G38" s="32" t="n">
        <f aca="false">IF(OR(A38="",C38="fără sezon"),0,INDEX('Prețuri de setat'!$H$5:$H$39,MATCH(B38,Sezoane!$C$6:$C$40,1)))</f>
        <v>0</v>
      </c>
      <c r="H38" s="2"/>
    </row>
    <row r="39" customFormat="false" ht="15" hidden="false" customHeight="false" outlineLevel="0" collapsed="false">
      <c r="A39" s="38" t="str">
        <f aca="false">IF(20&lt;=$B$5,20,"")</f>
        <v/>
      </c>
      <c r="B39" s="39" t="str">
        <f aca="false">IF(A39="","",$B$4+A39-1)</f>
        <v/>
      </c>
      <c r="C39" s="38" t="str">
        <f aca="false">IF(A39="","",IF(AND(ISNUMBER(MATCH(B39,Sezoane!$C$6:$C$40,1)),B39&lt;=INDEX(Sezoane!$D$6:$D$40,MATCH(B39,Sezoane!$C$6:$C$40,1))),INDEX(Sezoane!$A$6:$A$40,MATCH(B39,Sezoane!$C$6:$C$40,1)),"fără sezon"))</f>
        <v/>
      </c>
      <c r="D39" s="32" t="n">
        <f aca="false">IF(OR(A39="",C39="fără sezon"),0,INDEX('Prețuri de setat'!$E$5:$E$39,MATCH(B39,Sezoane!$C$6:$C$40,1)))</f>
        <v>0</v>
      </c>
      <c r="E39" s="32" t="n">
        <f aca="false">IF(OR(A39="",C39="fără sezon"),0,INDEX('Prețuri de setat'!$F$5:$F$39,MATCH(B39,Sezoane!$C$6:$C$40,1)))</f>
        <v>0</v>
      </c>
      <c r="F39" s="32" t="n">
        <f aca="false">IF(OR(A39="",C39="fără sezon"),0,INDEX('Prețuri de setat'!$G$5:$G$39,MATCH(B39,Sezoane!$C$6:$C$40,1)))</f>
        <v>0</v>
      </c>
      <c r="G39" s="32" t="n">
        <f aca="false">IF(OR(A39="",C39="fără sezon"),0,INDEX('Prețuri de setat'!$H$5:$H$39,MATCH(B39,Sezoane!$C$6:$C$40,1)))</f>
        <v>0</v>
      </c>
      <c r="H39" s="2"/>
    </row>
    <row r="40" customFormat="false" ht="15" hidden="false" customHeight="false" outlineLevel="0" collapsed="false">
      <c r="A40" s="38" t="str">
        <f aca="false">IF(21&lt;=$B$5,21,"")</f>
        <v/>
      </c>
      <c r="B40" s="39" t="str">
        <f aca="false">IF(A40="","",$B$4+A40-1)</f>
        <v/>
      </c>
      <c r="C40" s="38" t="str">
        <f aca="false">IF(A40="","",IF(AND(ISNUMBER(MATCH(B40,Sezoane!$C$6:$C$40,1)),B40&lt;=INDEX(Sezoane!$D$6:$D$40,MATCH(B40,Sezoane!$C$6:$C$40,1))),INDEX(Sezoane!$A$6:$A$40,MATCH(B40,Sezoane!$C$6:$C$40,1)),"fără sezon"))</f>
        <v/>
      </c>
      <c r="D40" s="32" t="n">
        <f aca="false">IF(OR(A40="",C40="fără sezon"),0,INDEX('Prețuri de setat'!$E$5:$E$39,MATCH(B40,Sezoane!$C$6:$C$40,1)))</f>
        <v>0</v>
      </c>
      <c r="E40" s="32" t="n">
        <f aca="false">IF(OR(A40="",C40="fără sezon"),0,INDEX('Prețuri de setat'!$F$5:$F$39,MATCH(B40,Sezoane!$C$6:$C$40,1)))</f>
        <v>0</v>
      </c>
      <c r="F40" s="32" t="n">
        <f aca="false">IF(OR(A40="",C40="fără sezon"),0,INDEX('Prețuri de setat'!$G$5:$G$39,MATCH(B40,Sezoane!$C$6:$C$40,1)))</f>
        <v>0</v>
      </c>
      <c r="G40" s="32" t="n">
        <f aca="false">IF(OR(A40="",C40="fără sezon"),0,INDEX('Prețuri de setat'!$H$5:$H$39,MATCH(B40,Sezoane!$C$6:$C$40,1)))</f>
        <v>0</v>
      </c>
      <c r="H40" s="2"/>
    </row>
    <row r="41" customFormat="false" ht="15" hidden="false" customHeight="false" outlineLevel="0" collapsed="false">
      <c r="A41" s="38" t="str">
        <f aca="false">IF(22&lt;=$B$5,22,"")</f>
        <v/>
      </c>
      <c r="B41" s="39" t="str">
        <f aca="false">IF(A41="","",$B$4+A41-1)</f>
        <v/>
      </c>
      <c r="C41" s="38" t="str">
        <f aca="false">IF(A41="","",IF(AND(ISNUMBER(MATCH(B41,Sezoane!$C$6:$C$40,1)),B41&lt;=INDEX(Sezoane!$D$6:$D$40,MATCH(B41,Sezoane!$C$6:$C$40,1))),INDEX(Sezoane!$A$6:$A$40,MATCH(B41,Sezoane!$C$6:$C$40,1)),"fără sezon"))</f>
        <v/>
      </c>
      <c r="D41" s="32" t="n">
        <f aca="false">IF(OR(A41="",C41="fără sezon"),0,INDEX('Prețuri de setat'!$E$5:$E$39,MATCH(B41,Sezoane!$C$6:$C$40,1)))</f>
        <v>0</v>
      </c>
      <c r="E41" s="32" t="n">
        <f aca="false">IF(OR(A41="",C41="fără sezon"),0,INDEX('Prețuri de setat'!$F$5:$F$39,MATCH(B41,Sezoane!$C$6:$C$40,1)))</f>
        <v>0</v>
      </c>
      <c r="F41" s="32" t="n">
        <f aca="false">IF(OR(A41="",C41="fără sezon"),0,INDEX('Prețuri de setat'!$G$5:$G$39,MATCH(B41,Sezoane!$C$6:$C$40,1)))</f>
        <v>0</v>
      </c>
      <c r="G41" s="32" t="n">
        <f aca="false">IF(OR(A41="",C41="fără sezon"),0,INDEX('Prețuri de setat'!$H$5:$H$39,MATCH(B41,Sezoane!$C$6:$C$40,1)))</f>
        <v>0</v>
      </c>
      <c r="H41" s="2"/>
    </row>
    <row r="42" customFormat="false" ht="15" hidden="false" customHeight="false" outlineLevel="0" collapsed="false">
      <c r="A42" s="38" t="str">
        <f aca="false">IF(23&lt;=$B$5,23,"")</f>
        <v/>
      </c>
      <c r="B42" s="39" t="str">
        <f aca="false">IF(A42="","",$B$4+A42-1)</f>
        <v/>
      </c>
      <c r="C42" s="38" t="str">
        <f aca="false">IF(A42="","",IF(AND(ISNUMBER(MATCH(B42,Sezoane!$C$6:$C$40,1)),B42&lt;=INDEX(Sezoane!$D$6:$D$40,MATCH(B42,Sezoane!$C$6:$C$40,1))),INDEX(Sezoane!$A$6:$A$40,MATCH(B42,Sezoane!$C$6:$C$40,1)),"fără sezon"))</f>
        <v/>
      </c>
      <c r="D42" s="32" t="n">
        <f aca="false">IF(OR(A42="",C42="fără sezon"),0,INDEX('Prețuri de setat'!$E$5:$E$39,MATCH(B42,Sezoane!$C$6:$C$40,1)))</f>
        <v>0</v>
      </c>
      <c r="E42" s="32" t="n">
        <f aca="false">IF(OR(A42="",C42="fără sezon"),0,INDEX('Prețuri de setat'!$F$5:$F$39,MATCH(B42,Sezoane!$C$6:$C$40,1)))</f>
        <v>0</v>
      </c>
      <c r="F42" s="32" t="n">
        <f aca="false">IF(OR(A42="",C42="fără sezon"),0,INDEX('Prețuri de setat'!$G$5:$G$39,MATCH(B42,Sezoane!$C$6:$C$40,1)))</f>
        <v>0</v>
      </c>
      <c r="G42" s="32" t="n">
        <f aca="false">IF(OR(A42="",C42="fără sezon"),0,INDEX('Prețuri de setat'!$H$5:$H$39,MATCH(B42,Sezoane!$C$6:$C$40,1)))</f>
        <v>0</v>
      </c>
      <c r="H42" s="2"/>
    </row>
    <row r="43" customFormat="false" ht="15" hidden="false" customHeight="false" outlineLevel="0" collapsed="false">
      <c r="A43" s="38" t="str">
        <f aca="false">IF(24&lt;=$B$5,24,"")</f>
        <v/>
      </c>
      <c r="B43" s="39" t="str">
        <f aca="false">IF(A43="","",$B$4+A43-1)</f>
        <v/>
      </c>
      <c r="C43" s="38" t="str">
        <f aca="false">IF(A43="","",IF(AND(ISNUMBER(MATCH(B43,Sezoane!$C$6:$C$40,1)),B43&lt;=INDEX(Sezoane!$D$6:$D$40,MATCH(B43,Sezoane!$C$6:$C$40,1))),INDEX(Sezoane!$A$6:$A$40,MATCH(B43,Sezoane!$C$6:$C$40,1)),"fără sezon"))</f>
        <v/>
      </c>
      <c r="D43" s="32" t="n">
        <f aca="false">IF(OR(A43="",C43="fără sezon"),0,INDEX('Prețuri de setat'!$E$5:$E$39,MATCH(B43,Sezoane!$C$6:$C$40,1)))</f>
        <v>0</v>
      </c>
      <c r="E43" s="32" t="n">
        <f aca="false">IF(OR(A43="",C43="fără sezon"),0,INDEX('Prețuri de setat'!$F$5:$F$39,MATCH(B43,Sezoane!$C$6:$C$40,1)))</f>
        <v>0</v>
      </c>
      <c r="F43" s="32" t="n">
        <f aca="false">IF(OR(A43="",C43="fără sezon"),0,INDEX('Prețuri de setat'!$G$5:$G$39,MATCH(B43,Sezoane!$C$6:$C$40,1)))</f>
        <v>0</v>
      </c>
      <c r="G43" s="32" t="n">
        <f aca="false">IF(OR(A43="",C43="fără sezon"),0,INDEX('Prețuri de setat'!$H$5:$H$39,MATCH(B43,Sezoane!$C$6:$C$40,1)))</f>
        <v>0</v>
      </c>
      <c r="H43" s="2"/>
    </row>
    <row r="44" customFormat="false" ht="15" hidden="false" customHeight="false" outlineLevel="0" collapsed="false">
      <c r="A44" s="38" t="str">
        <f aca="false">IF(25&lt;=$B$5,25,"")</f>
        <v/>
      </c>
      <c r="B44" s="39" t="str">
        <f aca="false">IF(A44="","",$B$4+A44-1)</f>
        <v/>
      </c>
      <c r="C44" s="38" t="str">
        <f aca="false">IF(A44="","",IF(AND(ISNUMBER(MATCH(B44,Sezoane!$C$6:$C$40,1)),B44&lt;=INDEX(Sezoane!$D$6:$D$40,MATCH(B44,Sezoane!$C$6:$C$40,1))),INDEX(Sezoane!$A$6:$A$40,MATCH(B44,Sezoane!$C$6:$C$40,1)),"fără sezon"))</f>
        <v/>
      </c>
      <c r="D44" s="32" t="n">
        <f aca="false">IF(OR(A44="",C44="fără sezon"),0,INDEX('Prețuri de setat'!$E$5:$E$39,MATCH(B44,Sezoane!$C$6:$C$40,1)))</f>
        <v>0</v>
      </c>
      <c r="E44" s="32" t="n">
        <f aca="false">IF(OR(A44="",C44="fără sezon"),0,INDEX('Prețuri de setat'!$F$5:$F$39,MATCH(B44,Sezoane!$C$6:$C$40,1)))</f>
        <v>0</v>
      </c>
      <c r="F44" s="32" t="n">
        <f aca="false">IF(OR(A44="",C44="fără sezon"),0,INDEX('Prețuri de setat'!$G$5:$G$39,MATCH(B44,Sezoane!$C$6:$C$40,1)))</f>
        <v>0</v>
      </c>
      <c r="G44" s="32" t="n">
        <f aca="false">IF(OR(A44="",C44="fără sezon"),0,INDEX('Prețuri de setat'!$H$5:$H$39,MATCH(B44,Sezoane!$C$6:$C$40,1)))</f>
        <v>0</v>
      </c>
      <c r="H44" s="2"/>
    </row>
    <row r="45" customFormat="false" ht="15" hidden="false" customHeight="false" outlineLevel="0" collapsed="false">
      <c r="A45" s="38" t="str">
        <f aca="false">IF(26&lt;=$B$5,26,"")</f>
        <v/>
      </c>
      <c r="B45" s="39" t="str">
        <f aca="false">IF(A45="","",$B$4+A45-1)</f>
        <v/>
      </c>
      <c r="C45" s="38" t="str">
        <f aca="false">IF(A45="","",IF(AND(ISNUMBER(MATCH(B45,Sezoane!$C$6:$C$40,1)),B45&lt;=INDEX(Sezoane!$D$6:$D$40,MATCH(B45,Sezoane!$C$6:$C$40,1))),INDEX(Sezoane!$A$6:$A$40,MATCH(B45,Sezoane!$C$6:$C$40,1)),"fără sezon"))</f>
        <v/>
      </c>
      <c r="D45" s="32" t="n">
        <f aca="false">IF(OR(A45="",C45="fără sezon"),0,INDEX('Prețuri de setat'!$E$5:$E$39,MATCH(B45,Sezoane!$C$6:$C$40,1)))</f>
        <v>0</v>
      </c>
      <c r="E45" s="32" t="n">
        <f aca="false">IF(OR(A45="",C45="fără sezon"),0,INDEX('Prețuri de setat'!$F$5:$F$39,MATCH(B45,Sezoane!$C$6:$C$40,1)))</f>
        <v>0</v>
      </c>
      <c r="F45" s="32" t="n">
        <f aca="false">IF(OR(A45="",C45="fără sezon"),0,INDEX('Prețuri de setat'!$G$5:$G$39,MATCH(B45,Sezoane!$C$6:$C$40,1)))</f>
        <v>0</v>
      </c>
      <c r="G45" s="32" t="n">
        <f aca="false">IF(OR(A45="",C45="fără sezon"),0,INDEX('Prețuri de setat'!$H$5:$H$39,MATCH(B45,Sezoane!$C$6:$C$40,1)))</f>
        <v>0</v>
      </c>
      <c r="H45" s="2"/>
    </row>
    <row r="46" customFormat="false" ht="15" hidden="false" customHeight="false" outlineLevel="0" collapsed="false">
      <c r="A46" s="38" t="str">
        <f aca="false">IF(27&lt;=$B$5,27,"")</f>
        <v/>
      </c>
      <c r="B46" s="39" t="str">
        <f aca="false">IF(A46="","",$B$4+A46-1)</f>
        <v/>
      </c>
      <c r="C46" s="38" t="str">
        <f aca="false">IF(A46="","",IF(AND(ISNUMBER(MATCH(B46,Sezoane!$C$6:$C$40,1)),B46&lt;=INDEX(Sezoane!$D$6:$D$40,MATCH(B46,Sezoane!$C$6:$C$40,1))),INDEX(Sezoane!$A$6:$A$40,MATCH(B46,Sezoane!$C$6:$C$40,1)),"fără sezon"))</f>
        <v/>
      </c>
      <c r="D46" s="32" t="n">
        <f aca="false">IF(OR(A46="",C46="fără sezon"),0,INDEX('Prețuri de setat'!$E$5:$E$39,MATCH(B46,Sezoane!$C$6:$C$40,1)))</f>
        <v>0</v>
      </c>
      <c r="E46" s="32" t="n">
        <f aca="false">IF(OR(A46="",C46="fără sezon"),0,INDEX('Prețuri de setat'!$F$5:$F$39,MATCH(B46,Sezoane!$C$6:$C$40,1)))</f>
        <v>0</v>
      </c>
      <c r="F46" s="32" t="n">
        <f aca="false">IF(OR(A46="",C46="fără sezon"),0,INDEX('Prețuri de setat'!$G$5:$G$39,MATCH(B46,Sezoane!$C$6:$C$40,1)))</f>
        <v>0</v>
      </c>
      <c r="G46" s="32" t="n">
        <f aca="false">IF(OR(A46="",C46="fără sezon"),0,INDEX('Prețuri de setat'!$H$5:$H$39,MATCH(B46,Sezoane!$C$6:$C$40,1)))</f>
        <v>0</v>
      </c>
      <c r="H46" s="2"/>
    </row>
    <row r="47" customFormat="false" ht="15" hidden="false" customHeight="false" outlineLevel="0" collapsed="false">
      <c r="A47" s="38" t="str">
        <f aca="false">IF(28&lt;=$B$5,28,"")</f>
        <v/>
      </c>
      <c r="B47" s="39" t="str">
        <f aca="false">IF(A47="","",$B$4+A47-1)</f>
        <v/>
      </c>
      <c r="C47" s="38" t="str">
        <f aca="false">IF(A47="","",IF(AND(ISNUMBER(MATCH(B47,Sezoane!$C$6:$C$40,1)),B47&lt;=INDEX(Sezoane!$D$6:$D$40,MATCH(B47,Sezoane!$C$6:$C$40,1))),INDEX(Sezoane!$A$6:$A$40,MATCH(B47,Sezoane!$C$6:$C$40,1)),"fără sezon"))</f>
        <v/>
      </c>
      <c r="D47" s="32" t="n">
        <f aca="false">IF(OR(A47="",C47="fără sezon"),0,INDEX('Prețuri de setat'!$E$5:$E$39,MATCH(B47,Sezoane!$C$6:$C$40,1)))</f>
        <v>0</v>
      </c>
      <c r="E47" s="32" t="n">
        <f aca="false">IF(OR(A47="",C47="fără sezon"),0,INDEX('Prețuri de setat'!$F$5:$F$39,MATCH(B47,Sezoane!$C$6:$C$40,1)))</f>
        <v>0</v>
      </c>
      <c r="F47" s="32" t="n">
        <f aca="false">IF(OR(A47="",C47="fără sezon"),0,INDEX('Prețuri de setat'!$G$5:$G$39,MATCH(B47,Sezoane!$C$6:$C$40,1)))</f>
        <v>0</v>
      </c>
      <c r="G47" s="32" t="n">
        <f aca="false">IF(OR(A47="",C47="fără sezon"),0,INDEX('Prețuri de setat'!$H$5:$H$39,MATCH(B47,Sezoane!$C$6:$C$40,1)))</f>
        <v>0</v>
      </c>
      <c r="H47" s="2"/>
    </row>
    <row r="48" customFormat="false" ht="15" hidden="false" customHeight="false" outlineLevel="0" collapsed="false">
      <c r="A48" s="38" t="str">
        <f aca="false">IF(29&lt;=$B$5,29,"")</f>
        <v/>
      </c>
      <c r="B48" s="39" t="str">
        <f aca="false">IF(A48="","",$B$4+A48-1)</f>
        <v/>
      </c>
      <c r="C48" s="38" t="str">
        <f aca="false">IF(A48="","",IF(AND(ISNUMBER(MATCH(B48,Sezoane!$C$6:$C$40,1)),B48&lt;=INDEX(Sezoane!$D$6:$D$40,MATCH(B48,Sezoane!$C$6:$C$40,1))),INDEX(Sezoane!$A$6:$A$40,MATCH(B48,Sezoane!$C$6:$C$40,1)),"fără sezon"))</f>
        <v/>
      </c>
      <c r="D48" s="32" t="n">
        <f aca="false">IF(OR(A48="",C48="fără sezon"),0,INDEX('Prețuri de setat'!$E$5:$E$39,MATCH(B48,Sezoane!$C$6:$C$40,1)))</f>
        <v>0</v>
      </c>
      <c r="E48" s="32" t="n">
        <f aca="false">IF(OR(A48="",C48="fără sezon"),0,INDEX('Prețuri de setat'!$F$5:$F$39,MATCH(B48,Sezoane!$C$6:$C$40,1)))</f>
        <v>0</v>
      </c>
      <c r="F48" s="32" t="n">
        <f aca="false">IF(OR(A48="",C48="fără sezon"),0,INDEX('Prețuri de setat'!$G$5:$G$39,MATCH(B48,Sezoane!$C$6:$C$40,1)))</f>
        <v>0</v>
      </c>
      <c r="G48" s="32" t="n">
        <f aca="false">IF(OR(A48="",C48="fără sezon"),0,INDEX('Prețuri de setat'!$H$5:$H$39,MATCH(B48,Sezoane!$C$6:$C$40,1)))</f>
        <v>0</v>
      </c>
      <c r="H48" s="2"/>
    </row>
    <row r="49" customFormat="false" ht="15" hidden="false" customHeight="false" outlineLevel="0" collapsed="false">
      <c r="A49" s="38" t="str">
        <f aca="false">IF(30&lt;=$B$5,30,"")</f>
        <v/>
      </c>
      <c r="B49" s="39" t="str">
        <f aca="false">IF(A49="","",$B$4+A49-1)</f>
        <v/>
      </c>
      <c r="C49" s="38" t="str">
        <f aca="false">IF(A49="","",IF(AND(ISNUMBER(MATCH(B49,Sezoane!$C$6:$C$40,1)),B49&lt;=INDEX(Sezoane!$D$6:$D$40,MATCH(B49,Sezoane!$C$6:$C$40,1))),INDEX(Sezoane!$A$6:$A$40,MATCH(B49,Sezoane!$C$6:$C$40,1)),"fără sezon"))</f>
        <v/>
      </c>
      <c r="D49" s="32" t="n">
        <f aca="false">IF(OR(A49="",C49="fără sezon"),0,INDEX('Prețuri de setat'!$E$5:$E$39,MATCH(B49,Sezoane!$C$6:$C$40,1)))</f>
        <v>0</v>
      </c>
      <c r="E49" s="32" t="n">
        <f aca="false">IF(OR(A49="",C49="fără sezon"),0,INDEX('Prețuri de setat'!$F$5:$F$39,MATCH(B49,Sezoane!$C$6:$C$40,1)))</f>
        <v>0</v>
      </c>
      <c r="F49" s="32" t="n">
        <f aca="false">IF(OR(A49="",C49="fără sezon"),0,INDEX('Prețuri de setat'!$G$5:$G$39,MATCH(B49,Sezoane!$C$6:$C$40,1)))</f>
        <v>0</v>
      </c>
      <c r="G49" s="32" t="n">
        <f aca="false">IF(OR(A49="",C49="fără sezon"),0,INDEX('Prețuri de setat'!$H$5:$H$39,MATCH(B49,Sezoane!$C$6:$C$40,1)))</f>
        <v>0</v>
      </c>
      <c r="H4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9" min="5" style="0" width="12"/>
  </cols>
  <sheetData>
    <row r="1" customFormat="false" ht="17.35" hidden="false" customHeight="false" outlineLevel="0" collapsed="false">
      <c r="A1" s="1" t="s">
        <v>162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2" t="s">
        <v>163</v>
      </c>
      <c r="B2" s="40" t="n">
        <v>46316</v>
      </c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24" hidden="false" customHeight="true" outlineLevel="0" collapsed="false">
      <c r="A4" s="10" t="s">
        <v>158</v>
      </c>
      <c r="B4" s="10" t="s">
        <v>164</v>
      </c>
      <c r="C4" s="10" t="s">
        <v>159</v>
      </c>
      <c r="D4" s="10" t="s">
        <v>118</v>
      </c>
      <c r="E4" s="10" t="s">
        <v>160</v>
      </c>
      <c r="F4" s="10" t="s">
        <v>161</v>
      </c>
      <c r="G4" s="10" t="s">
        <v>82</v>
      </c>
      <c r="H4" s="10" t="s">
        <v>83</v>
      </c>
      <c r="I4" s="10" t="s">
        <v>165</v>
      </c>
    </row>
    <row r="5" customFormat="false" ht="15" hidden="false" customHeight="false" outlineLevel="0" collapsed="false">
      <c r="A5" s="41" t="n">
        <f aca="false">$B$2+0</f>
        <v>46316</v>
      </c>
      <c r="B5" s="42" t="str">
        <f aca="false">CHOOSE(WEEKDAY(A5,2),"Lu","Ma","Mi","Jo","Vi","Sâ","Du")</f>
        <v>Mi</v>
      </c>
      <c r="C5" s="42" t="str">
        <f aca="false">IF(AND(ISNUMBER(MATCH(A5,Sezoane!$C$6:$C$40,1)),A5&lt;=INDEX(Sezoane!$D$6:$D$40,MATCH(A5,Sezoane!$C$6:$C$40,1))),INDEX(Sezoane!$A$6:$A$40,MATCH(A5,Sezoane!$C$6:$C$40,1)),"⚠ fără sezon")</f>
        <v>vara-toamna-2026</v>
      </c>
      <c r="D5" s="43" t="n">
        <f aca="false">IF(AND(ISNUMBER(MATCH(A5,Sezoane!$C$6:$C$40,1)),A5&lt;=INDEX(Sezoane!$D$6:$D$40,MATCH(A5,Sezoane!$C$6:$C$40,1))),INDEX(Sezoane!$F$6:$F$40,MATCH(A5,Sezoane!$C$6:$C$40,1)),"")</f>
        <v>2</v>
      </c>
      <c r="E5" s="44" t="n">
        <f aca="false">IF(AND(ISNUMBER(MATCH(A5,Sezoane!$C$6:$C$40,1)),A5&lt;=INDEX(Sezoane!$D$6:$D$40,MATCH(A5,Sezoane!$C$6:$C$40,1))),INDEX('Prețuri de setat'!$E$5:$E$39,MATCH(A5,Sezoane!$C$6:$C$40,1)),"")</f>
        <v>900</v>
      </c>
      <c r="F5" s="44" t="n">
        <f aca="false">IF(AND(ISNUMBER(MATCH(A5,Sezoane!$C$6:$C$40,1)),A5&lt;=INDEX(Sezoane!$D$6:$D$40,MATCH(A5,Sezoane!$C$6:$C$40,1))),INDEX('Prețuri de setat'!$F$5:$F$39,MATCH(A5,Sezoane!$C$6:$C$40,1)),"")</f>
        <v>1130</v>
      </c>
      <c r="G5" s="44" t="n">
        <f aca="false">IF(AND(ISNUMBER(MATCH(A5,Sezoane!$C$6:$C$40,1)),A5&lt;=INDEX(Sezoane!$D$6:$D$40,MATCH(A5,Sezoane!$C$6:$C$40,1))),INDEX('Prețuri de setat'!$G$5:$G$39,MATCH(A5,Sezoane!$C$6:$C$40,1)),"")</f>
        <v>920</v>
      </c>
      <c r="H5" s="44" t="n">
        <f aca="false">IF(AND(ISNUMBER(MATCH(A5,Sezoane!$C$6:$C$40,1)),A5&lt;=INDEX(Sezoane!$D$6:$D$40,MATCH(A5,Sezoane!$C$6:$C$40,1))),INDEX('Prețuri de setat'!$H$5:$H$39,MATCH(A5,Sezoane!$C$6:$C$40,1)),"")</f>
        <v>980</v>
      </c>
      <c r="I5" s="44" t="n">
        <f aca="false">IF(AND(ISNUMBER(MATCH(A5,Sezoane!$C$6:$C$40,1)),A5&lt;=INDEX(Sezoane!$D$6:$D$40,MATCH(A5,Sezoane!$C$6:$C$40,1))),INDEX('Prețuri de setat'!$I$5:$I$39,MATCH(A5,Sezoane!$C$6:$C$40,1)),"")</f>
        <v>852</v>
      </c>
    </row>
    <row r="6" customFormat="false" ht="15" hidden="false" customHeight="false" outlineLevel="0" collapsed="false">
      <c r="A6" s="41" t="n">
        <f aca="false">$B$2+1</f>
        <v>46317</v>
      </c>
      <c r="B6" s="42" t="str">
        <f aca="false">CHOOSE(WEEKDAY(A6,2),"Lu","Ma","Mi","Jo","Vi","Sâ","Du")</f>
        <v>Jo</v>
      </c>
      <c r="C6" s="42" t="str">
        <f aca="false">IF(AND(ISNUMBER(MATCH(A6,Sezoane!$C$6:$C$40,1)),A6&lt;=INDEX(Sezoane!$D$6:$D$40,MATCH(A6,Sezoane!$C$6:$C$40,1))),INDEX(Sezoane!$A$6:$A$40,MATCH(A6,Sezoane!$C$6:$C$40,1)),"⚠ fără sezon")</f>
        <v>vara-toamna-2026</v>
      </c>
      <c r="D6" s="43" t="n">
        <f aca="false">IF(AND(ISNUMBER(MATCH(A6,Sezoane!$C$6:$C$40,1)),A6&lt;=INDEX(Sezoane!$D$6:$D$40,MATCH(A6,Sezoane!$C$6:$C$40,1))),INDEX(Sezoane!$F$6:$F$40,MATCH(A6,Sezoane!$C$6:$C$40,1)),"")</f>
        <v>2</v>
      </c>
      <c r="E6" s="44" t="n">
        <f aca="false">IF(AND(ISNUMBER(MATCH(A6,Sezoane!$C$6:$C$40,1)),A6&lt;=INDEX(Sezoane!$D$6:$D$40,MATCH(A6,Sezoane!$C$6:$C$40,1))),INDEX('Prețuri de setat'!$E$5:$E$39,MATCH(A6,Sezoane!$C$6:$C$40,1)),"")</f>
        <v>900</v>
      </c>
      <c r="F6" s="44" t="n">
        <f aca="false">IF(AND(ISNUMBER(MATCH(A6,Sezoane!$C$6:$C$40,1)),A6&lt;=INDEX(Sezoane!$D$6:$D$40,MATCH(A6,Sezoane!$C$6:$C$40,1))),INDEX('Prețuri de setat'!$F$5:$F$39,MATCH(A6,Sezoane!$C$6:$C$40,1)),"")</f>
        <v>1130</v>
      </c>
      <c r="G6" s="44" t="n">
        <f aca="false">IF(AND(ISNUMBER(MATCH(A6,Sezoane!$C$6:$C$40,1)),A6&lt;=INDEX(Sezoane!$D$6:$D$40,MATCH(A6,Sezoane!$C$6:$C$40,1))),INDEX('Prețuri de setat'!$G$5:$G$39,MATCH(A6,Sezoane!$C$6:$C$40,1)),"")</f>
        <v>920</v>
      </c>
      <c r="H6" s="44" t="n">
        <f aca="false">IF(AND(ISNUMBER(MATCH(A6,Sezoane!$C$6:$C$40,1)),A6&lt;=INDEX(Sezoane!$D$6:$D$40,MATCH(A6,Sezoane!$C$6:$C$40,1))),INDEX('Prețuri de setat'!$H$5:$H$39,MATCH(A6,Sezoane!$C$6:$C$40,1)),"")</f>
        <v>980</v>
      </c>
      <c r="I6" s="44" t="n">
        <f aca="false">IF(AND(ISNUMBER(MATCH(A6,Sezoane!$C$6:$C$40,1)),A6&lt;=INDEX(Sezoane!$D$6:$D$40,MATCH(A6,Sezoane!$C$6:$C$40,1))),INDEX('Prețuri de setat'!$I$5:$I$39,MATCH(A6,Sezoane!$C$6:$C$40,1)),"")</f>
        <v>852</v>
      </c>
    </row>
    <row r="7" customFormat="false" ht="15" hidden="false" customHeight="false" outlineLevel="0" collapsed="false">
      <c r="A7" s="41" t="n">
        <f aca="false">$B$2+2</f>
        <v>46318</v>
      </c>
      <c r="B7" s="42" t="str">
        <f aca="false">CHOOSE(WEEKDAY(A7,2),"Lu","Ma","Mi","Jo","Vi","Sâ","Du")</f>
        <v>Vi</v>
      </c>
      <c r="C7" s="42" t="str">
        <f aca="false">IF(AND(ISNUMBER(MATCH(A7,Sezoane!$C$6:$C$40,1)),A7&lt;=INDEX(Sezoane!$D$6:$D$40,MATCH(A7,Sezoane!$C$6:$C$40,1))),INDEX(Sezoane!$A$6:$A$40,MATCH(A7,Sezoane!$C$6:$C$40,1)),"⚠ fără sezon")</f>
        <v>vara-toamna-2026</v>
      </c>
      <c r="D7" s="43" t="n">
        <f aca="false">IF(AND(ISNUMBER(MATCH(A7,Sezoane!$C$6:$C$40,1)),A7&lt;=INDEX(Sezoane!$D$6:$D$40,MATCH(A7,Sezoane!$C$6:$C$40,1))),INDEX(Sezoane!$F$6:$F$40,MATCH(A7,Sezoane!$C$6:$C$40,1)),"")</f>
        <v>2</v>
      </c>
      <c r="E7" s="44" t="n">
        <f aca="false">IF(AND(ISNUMBER(MATCH(A7,Sezoane!$C$6:$C$40,1)),A7&lt;=INDEX(Sezoane!$D$6:$D$40,MATCH(A7,Sezoane!$C$6:$C$40,1))),INDEX('Prețuri de setat'!$E$5:$E$39,MATCH(A7,Sezoane!$C$6:$C$40,1)),"")</f>
        <v>900</v>
      </c>
      <c r="F7" s="44" t="n">
        <f aca="false">IF(AND(ISNUMBER(MATCH(A7,Sezoane!$C$6:$C$40,1)),A7&lt;=INDEX(Sezoane!$D$6:$D$40,MATCH(A7,Sezoane!$C$6:$C$40,1))),INDEX('Prețuri de setat'!$F$5:$F$39,MATCH(A7,Sezoane!$C$6:$C$40,1)),"")</f>
        <v>1130</v>
      </c>
      <c r="G7" s="44" t="n">
        <f aca="false">IF(AND(ISNUMBER(MATCH(A7,Sezoane!$C$6:$C$40,1)),A7&lt;=INDEX(Sezoane!$D$6:$D$40,MATCH(A7,Sezoane!$C$6:$C$40,1))),INDEX('Prețuri de setat'!$G$5:$G$39,MATCH(A7,Sezoane!$C$6:$C$40,1)),"")</f>
        <v>920</v>
      </c>
      <c r="H7" s="44" t="n">
        <f aca="false">IF(AND(ISNUMBER(MATCH(A7,Sezoane!$C$6:$C$40,1)),A7&lt;=INDEX(Sezoane!$D$6:$D$40,MATCH(A7,Sezoane!$C$6:$C$40,1))),INDEX('Prețuri de setat'!$H$5:$H$39,MATCH(A7,Sezoane!$C$6:$C$40,1)),"")</f>
        <v>980</v>
      </c>
      <c r="I7" s="44" t="n">
        <f aca="false">IF(AND(ISNUMBER(MATCH(A7,Sezoane!$C$6:$C$40,1)),A7&lt;=INDEX(Sezoane!$D$6:$D$40,MATCH(A7,Sezoane!$C$6:$C$40,1))),INDEX('Prețuri de setat'!$I$5:$I$39,MATCH(A7,Sezoane!$C$6:$C$40,1)),"")</f>
        <v>852</v>
      </c>
    </row>
    <row r="8" customFormat="false" ht="15" hidden="false" customHeight="false" outlineLevel="0" collapsed="false">
      <c r="A8" s="41" t="n">
        <f aca="false">$B$2+3</f>
        <v>46319</v>
      </c>
      <c r="B8" s="42" t="str">
        <f aca="false">CHOOSE(WEEKDAY(A8,2),"Lu","Ma","Mi","Jo","Vi","Sâ","Du")</f>
        <v>Sâ</v>
      </c>
      <c r="C8" s="42" t="str">
        <f aca="false">IF(AND(ISNUMBER(MATCH(A8,Sezoane!$C$6:$C$40,1)),A8&lt;=INDEX(Sezoane!$D$6:$D$40,MATCH(A8,Sezoane!$C$6:$C$40,1))),INDEX(Sezoane!$A$6:$A$40,MATCH(A8,Sezoane!$C$6:$C$40,1)),"⚠ fără sezon")</f>
        <v>vara-toamna-2026</v>
      </c>
      <c r="D8" s="43" t="n">
        <f aca="false">IF(AND(ISNUMBER(MATCH(A8,Sezoane!$C$6:$C$40,1)),A8&lt;=INDEX(Sezoane!$D$6:$D$40,MATCH(A8,Sezoane!$C$6:$C$40,1))),INDEX(Sezoane!$F$6:$F$40,MATCH(A8,Sezoane!$C$6:$C$40,1)),"")</f>
        <v>2</v>
      </c>
      <c r="E8" s="44" t="n">
        <f aca="false">IF(AND(ISNUMBER(MATCH(A8,Sezoane!$C$6:$C$40,1)),A8&lt;=INDEX(Sezoane!$D$6:$D$40,MATCH(A8,Sezoane!$C$6:$C$40,1))),INDEX('Prețuri de setat'!$E$5:$E$39,MATCH(A8,Sezoane!$C$6:$C$40,1)),"")</f>
        <v>900</v>
      </c>
      <c r="F8" s="44" t="n">
        <f aca="false">IF(AND(ISNUMBER(MATCH(A8,Sezoane!$C$6:$C$40,1)),A8&lt;=INDEX(Sezoane!$D$6:$D$40,MATCH(A8,Sezoane!$C$6:$C$40,1))),INDEX('Prețuri de setat'!$F$5:$F$39,MATCH(A8,Sezoane!$C$6:$C$40,1)),"")</f>
        <v>1130</v>
      </c>
      <c r="G8" s="44" t="n">
        <f aca="false">IF(AND(ISNUMBER(MATCH(A8,Sezoane!$C$6:$C$40,1)),A8&lt;=INDEX(Sezoane!$D$6:$D$40,MATCH(A8,Sezoane!$C$6:$C$40,1))),INDEX('Prețuri de setat'!$G$5:$G$39,MATCH(A8,Sezoane!$C$6:$C$40,1)),"")</f>
        <v>920</v>
      </c>
      <c r="H8" s="44" t="n">
        <f aca="false">IF(AND(ISNUMBER(MATCH(A8,Sezoane!$C$6:$C$40,1)),A8&lt;=INDEX(Sezoane!$D$6:$D$40,MATCH(A8,Sezoane!$C$6:$C$40,1))),INDEX('Prețuri de setat'!$H$5:$H$39,MATCH(A8,Sezoane!$C$6:$C$40,1)),"")</f>
        <v>980</v>
      </c>
      <c r="I8" s="44" t="n">
        <f aca="false">IF(AND(ISNUMBER(MATCH(A8,Sezoane!$C$6:$C$40,1)),A8&lt;=INDEX(Sezoane!$D$6:$D$40,MATCH(A8,Sezoane!$C$6:$C$40,1))),INDEX('Prețuri de setat'!$I$5:$I$39,MATCH(A8,Sezoane!$C$6:$C$40,1)),"")</f>
        <v>852</v>
      </c>
    </row>
    <row r="9" customFormat="false" ht="15" hidden="false" customHeight="false" outlineLevel="0" collapsed="false">
      <c r="A9" s="41" t="n">
        <f aca="false">$B$2+4</f>
        <v>46320</v>
      </c>
      <c r="B9" s="42" t="str">
        <f aca="false">CHOOSE(WEEKDAY(A9,2),"Lu","Ma","Mi","Jo","Vi","Sâ","Du")</f>
        <v>Du</v>
      </c>
      <c r="C9" s="42" t="str">
        <f aca="false">IF(AND(ISNUMBER(MATCH(A9,Sezoane!$C$6:$C$40,1)),A9&lt;=INDEX(Sezoane!$D$6:$D$40,MATCH(A9,Sezoane!$C$6:$C$40,1))),INDEX(Sezoane!$A$6:$A$40,MATCH(A9,Sezoane!$C$6:$C$40,1)),"⚠ fără sezon")</f>
        <v>vara-toamna-2026</v>
      </c>
      <c r="D9" s="43" t="n">
        <f aca="false">IF(AND(ISNUMBER(MATCH(A9,Sezoane!$C$6:$C$40,1)),A9&lt;=INDEX(Sezoane!$D$6:$D$40,MATCH(A9,Sezoane!$C$6:$C$40,1))),INDEX(Sezoane!$F$6:$F$40,MATCH(A9,Sezoane!$C$6:$C$40,1)),"")</f>
        <v>2</v>
      </c>
      <c r="E9" s="44" t="n">
        <f aca="false">IF(AND(ISNUMBER(MATCH(A9,Sezoane!$C$6:$C$40,1)),A9&lt;=INDEX(Sezoane!$D$6:$D$40,MATCH(A9,Sezoane!$C$6:$C$40,1))),INDEX('Prețuri de setat'!$E$5:$E$39,MATCH(A9,Sezoane!$C$6:$C$40,1)),"")</f>
        <v>900</v>
      </c>
      <c r="F9" s="44" t="n">
        <f aca="false">IF(AND(ISNUMBER(MATCH(A9,Sezoane!$C$6:$C$40,1)),A9&lt;=INDEX(Sezoane!$D$6:$D$40,MATCH(A9,Sezoane!$C$6:$C$40,1))),INDEX('Prețuri de setat'!$F$5:$F$39,MATCH(A9,Sezoane!$C$6:$C$40,1)),"")</f>
        <v>1130</v>
      </c>
      <c r="G9" s="44" t="n">
        <f aca="false">IF(AND(ISNUMBER(MATCH(A9,Sezoane!$C$6:$C$40,1)),A9&lt;=INDEX(Sezoane!$D$6:$D$40,MATCH(A9,Sezoane!$C$6:$C$40,1))),INDEX('Prețuri de setat'!$G$5:$G$39,MATCH(A9,Sezoane!$C$6:$C$40,1)),"")</f>
        <v>920</v>
      </c>
      <c r="H9" s="44" t="n">
        <f aca="false">IF(AND(ISNUMBER(MATCH(A9,Sezoane!$C$6:$C$40,1)),A9&lt;=INDEX(Sezoane!$D$6:$D$40,MATCH(A9,Sezoane!$C$6:$C$40,1))),INDEX('Prețuri de setat'!$H$5:$H$39,MATCH(A9,Sezoane!$C$6:$C$40,1)),"")</f>
        <v>980</v>
      </c>
      <c r="I9" s="44" t="n">
        <f aca="false">IF(AND(ISNUMBER(MATCH(A9,Sezoane!$C$6:$C$40,1)),A9&lt;=INDEX(Sezoane!$D$6:$D$40,MATCH(A9,Sezoane!$C$6:$C$40,1))),INDEX('Prețuri de setat'!$I$5:$I$39,MATCH(A9,Sezoane!$C$6:$C$40,1)),"")</f>
        <v>852</v>
      </c>
    </row>
    <row r="10" customFormat="false" ht="15" hidden="false" customHeight="false" outlineLevel="0" collapsed="false">
      <c r="A10" s="41" t="n">
        <f aca="false">$B$2+5</f>
        <v>46321</v>
      </c>
      <c r="B10" s="42" t="str">
        <f aca="false">CHOOSE(WEEKDAY(A10,2),"Lu","Ma","Mi","Jo","Vi","Sâ","Du")</f>
        <v>Lu</v>
      </c>
      <c r="C10" s="42" t="str">
        <f aca="false">IF(AND(ISNUMBER(MATCH(A10,Sezoane!$C$6:$C$40,1)),A10&lt;=INDEX(Sezoane!$D$6:$D$40,MATCH(A10,Sezoane!$C$6:$C$40,1))),INDEX(Sezoane!$A$6:$A$40,MATCH(A10,Sezoane!$C$6:$C$40,1)),"⚠ fără sezon")</f>
        <v>vara-toamna-2026</v>
      </c>
      <c r="D10" s="43" t="n">
        <f aca="false">IF(AND(ISNUMBER(MATCH(A10,Sezoane!$C$6:$C$40,1)),A10&lt;=INDEX(Sezoane!$D$6:$D$40,MATCH(A10,Sezoane!$C$6:$C$40,1))),INDEX(Sezoane!$F$6:$F$40,MATCH(A10,Sezoane!$C$6:$C$40,1)),"")</f>
        <v>2</v>
      </c>
      <c r="E10" s="44" t="n">
        <f aca="false">IF(AND(ISNUMBER(MATCH(A10,Sezoane!$C$6:$C$40,1)),A10&lt;=INDEX(Sezoane!$D$6:$D$40,MATCH(A10,Sezoane!$C$6:$C$40,1))),INDEX('Prețuri de setat'!$E$5:$E$39,MATCH(A10,Sezoane!$C$6:$C$40,1)),"")</f>
        <v>900</v>
      </c>
      <c r="F10" s="44" t="n">
        <f aca="false">IF(AND(ISNUMBER(MATCH(A10,Sezoane!$C$6:$C$40,1)),A10&lt;=INDEX(Sezoane!$D$6:$D$40,MATCH(A10,Sezoane!$C$6:$C$40,1))),INDEX('Prețuri de setat'!$F$5:$F$39,MATCH(A10,Sezoane!$C$6:$C$40,1)),"")</f>
        <v>1130</v>
      </c>
      <c r="G10" s="44" t="n">
        <f aca="false">IF(AND(ISNUMBER(MATCH(A10,Sezoane!$C$6:$C$40,1)),A10&lt;=INDEX(Sezoane!$D$6:$D$40,MATCH(A10,Sezoane!$C$6:$C$40,1))),INDEX('Prețuri de setat'!$G$5:$G$39,MATCH(A10,Sezoane!$C$6:$C$40,1)),"")</f>
        <v>920</v>
      </c>
      <c r="H10" s="44" t="n">
        <f aca="false">IF(AND(ISNUMBER(MATCH(A10,Sezoane!$C$6:$C$40,1)),A10&lt;=INDEX(Sezoane!$D$6:$D$40,MATCH(A10,Sezoane!$C$6:$C$40,1))),INDEX('Prețuri de setat'!$H$5:$H$39,MATCH(A10,Sezoane!$C$6:$C$40,1)),"")</f>
        <v>980</v>
      </c>
      <c r="I10" s="44" t="n">
        <f aca="false">IF(AND(ISNUMBER(MATCH(A10,Sezoane!$C$6:$C$40,1)),A10&lt;=INDEX(Sezoane!$D$6:$D$40,MATCH(A10,Sezoane!$C$6:$C$40,1))),INDEX('Prețuri de setat'!$I$5:$I$39,MATCH(A10,Sezoane!$C$6:$C$40,1)),"")</f>
        <v>852</v>
      </c>
    </row>
    <row r="11" customFormat="false" ht="15" hidden="false" customHeight="false" outlineLevel="0" collapsed="false">
      <c r="A11" s="41" t="n">
        <f aca="false">$B$2+6</f>
        <v>46322</v>
      </c>
      <c r="B11" s="42" t="str">
        <f aca="false">CHOOSE(WEEKDAY(A11,2),"Lu","Ma","Mi","Jo","Vi","Sâ","Du")</f>
        <v>Ma</v>
      </c>
      <c r="C11" s="42" t="str">
        <f aca="false">IF(AND(ISNUMBER(MATCH(A11,Sezoane!$C$6:$C$40,1)),A11&lt;=INDEX(Sezoane!$D$6:$D$40,MATCH(A11,Sezoane!$C$6:$C$40,1))),INDEX(Sezoane!$A$6:$A$40,MATCH(A11,Sezoane!$C$6:$C$40,1)),"⚠ fără sezon")</f>
        <v>vara-toamna-2026</v>
      </c>
      <c r="D11" s="43" t="n">
        <f aca="false">IF(AND(ISNUMBER(MATCH(A11,Sezoane!$C$6:$C$40,1)),A11&lt;=INDEX(Sezoane!$D$6:$D$40,MATCH(A11,Sezoane!$C$6:$C$40,1))),INDEX(Sezoane!$F$6:$F$40,MATCH(A11,Sezoane!$C$6:$C$40,1)),"")</f>
        <v>2</v>
      </c>
      <c r="E11" s="44" t="n">
        <f aca="false">IF(AND(ISNUMBER(MATCH(A11,Sezoane!$C$6:$C$40,1)),A11&lt;=INDEX(Sezoane!$D$6:$D$40,MATCH(A11,Sezoane!$C$6:$C$40,1))),INDEX('Prețuri de setat'!$E$5:$E$39,MATCH(A11,Sezoane!$C$6:$C$40,1)),"")</f>
        <v>900</v>
      </c>
      <c r="F11" s="44" t="n">
        <f aca="false">IF(AND(ISNUMBER(MATCH(A11,Sezoane!$C$6:$C$40,1)),A11&lt;=INDEX(Sezoane!$D$6:$D$40,MATCH(A11,Sezoane!$C$6:$C$40,1))),INDEX('Prețuri de setat'!$F$5:$F$39,MATCH(A11,Sezoane!$C$6:$C$40,1)),"")</f>
        <v>1130</v>
      </c>
      <c r="G11" s="44" t="n">
        <f aca="false">IF(AND(ISNUMBER(MATCH(A11,Sezoane!$C$6:$C$40,1)),A11&lt;=INDEX(Sezoane!$D$6:$D$40,MATCH(A11,Sezoane!$C$6:$C$40,1))),INDEX('Prețuri de setat'!$G$5:$G$39,MATCH(A11,Sezoane!$C$6:$C$40,1)),"")</f>
        <v>920</v>
      </c>
      <c r="H11" s="44" t="n">
        <f aca="false">IF(AND(ISNUMBER(MATCH(A11,Sezoane!$C$6:$C$40,1)),A11&lt;=INDEX(Sezoane!$D$6:$D$40,MATCH(A11,Sezoane!$C$6:$C$40,1))),INDEX('Prețuri de setat'!$H$5:$H$39,MATCH(A11,Sezoane!$C$6:$C$40,1)),"")</f>
        <v>980</v>
      </c>
      <c r="I11" s="44" t="n">
        <f aca="false">IF(AND(ISNUMBER(MATCH(A11,Sezoane!$C$6:$C$40,1)),A11&lt;=INDEX(Sezoane!$D$6:$D$40,MATCH(A11,Sezoane!$C$6:$C$40,1))),INDEX('Prețuri de setat'!$I$5:$I$39,MATCH(A11,Sezoane!$C$6:$C$40,1)),"")</f>
        <v>852</v>
      </c>
    </row>
    <row r="12" customFormat="false" ht="15" hidden="false" customHeight="false" outlineLevel="0" collapsed="false">
      <c r="A12" s="41" t="n">
        <f aca="false">$B$2+7</f>
        <v>46323</v>
      </c>
      <c r="B12" s="42" t="str">
        <f aca="false">CHOOSE(WEEKDAY(A12,2),"Lu","Ma","Mi","Jo","Vi","Sâ","Du")</f>
        <v>Mi</v>
      </c>
      <c r="C12" s="42" t="str">
        <f aca="false">IF(AND(ISNUMBER(MATCH(A12,Sezoane!$C$6:$C$40,1)),A12&lt;=INDEX(Sezoane!$D$6:$D$40,MATCH(A12,Sezoane!$C$6:$C$40,1))),INDEX(Sezoane!$A$6:$A$40,MATCH(A12,Sezoane!$C$6:$C$40,1)),"⚠ fără sezon")</f>
        <v>vara-toamna-2026</v>
      </c>
      <c r="D12" s="43" t="n">
        <f aca="false">IF(AND(ISNUMBER(MATCH(A12,Sezoane!$C$6:$C$40,1)),A12&lt;=INDEX(Sezoane!$D$6:$D$40,MATCH(A12,Sezoane!$C$6:$C$40,1))),INDEX(Sezoane!$F$6:$F$40,MATCH(A12,Sezoane!$C$6:$C$40,1)),"")</f>
        <v>2</v>
      </c>
      <c r="E12" s="44" t="n">
        <f aca="false">IF(AND(ISNUMBER(MATCH(A12,Sezoane!$C$6:$C$40,1)),A12&lt;=INDEX(Sezoane!$D$6:$D$40,MATCH(A12,Sezoane!$C$6:$C$40,1))),INDEX('Prețuri de setat'!$E$5:$E$39,MATCH(A12,Sezoane!$C$6:$C$40,1)),"")</f>
        <v>900</v>
      </c>
      <c r="F12" s="44" t="n">
        <f aca="false">IF(AND(ISNUMBER(MATCH(A12,Sezoane!$C$6:$C$40,1)),A12&lt;=INDEX(Sezoane!$D$6:$D$40,MATCH(A12,Sezoane!$C$6:$C$40,1))),INDEX('Prețuri de setat'!$F$5:$F$39,MATCH(A12,Sezoane!$C$6:$C$40,1)),"")</f>
        <v>1130</v>
      </c>
      <c r="G12" s="44" t="n">
        <f aca="false">IF(AND(ISNUMBER(MATCH(A12,Sezoane!$C$6:$C$40,1)),A12&lt;=INDEX(Sezoane!$D$6:$D$40,MATCH(A12,Sezoane!$C$6:$C$40,1))),INDEX('Prețuri de setat'!$G$5:$G$39,MATCH(A12,Sezoane!$C$6:$C$40,1)),"")</f>
        <v>920</v>
      </c>
      <c r="H12" s="44" t="n">
        <f aca="false">IF(AND(ISNUMBER(MATCH(A12,Sezoane!$C$6:$C$40,1)),A12&lt;=INDEX(Sezoane!$D$6:$D$40,MATCH(A12,Sezoane!$C$6:$C$40,1))),INDEX('Prețuri de setat'!$H$5:$H$39,MATCH(A12,Sezoane!$C$6:$C$40,1)),"")</f>
        <v>980</v>
      </c>
      <c r="I12" s="44" t="n">
        <f aca="false">IF(AND(ISNUMBER(MATCH(A12,Sezoane!$C$6:$C$40,1)),A12&lt;=INDEX(Sezoane!$D$6:$D$40,MATCH(A12,Sezoane!$C$6:$C$40,1))),INDEX('Prețuri de setat'!$I$5:$I$39,MATCH(A12,Sezoane!$C$6:$C$40,1)),"")</f>
        <v>852</v>
      </c>
    </row>
    <row r="13" customFormat="false" ht="15" hidden="false" customHeight="false" outlineLevel="0" collapsed="false">
      <c r="A13" s="41" t="n">
        <f aca="false">$B$2+8</f>
        <v>46324</v>
      </c>
      <c r="B13" s="42" t="str">
        <f aca="false">CHOOSE(WEEKDAY(A13,2),"Lu","Ma","Mi","Jo","Vi","Sâ","Du")</f>
        <v>Jo</v>
      </c>
      <c r="C13" s="42" t="str">
        <f aca="false">IF(AND(ISNUMBER(MATCH(A13,Sezoane!$C$6:$C$40,1)),A13&lt;=INDEX(Sezoane!$D$6:$D$40,MATCH(A13,Sezoane!$C$6:$C$40,1))),INDEX(Sezoane!$A$6:$A$40,MATCH(A13,Sezoane!$C$6:$C$40,1)),"⚠ fără sezon")</f>
        <v>vara-toamna-2026</v>
      </c>
      <c r="D13" s="43" t="n">
        <f aca="false">IF(AND(ISNUMBER(MATCH(A13,Sezoane!$C$6:$C$40,1)),A13&lt;=INDEX(Sezoane!$D$6:$D$40,MATCH(A13,Sezoane!$C$6:$C$40,1))),INDEX(Sezoane!$F$6:$F$40,MATCH(A13,Sezoane!$C$6:$C$40,1)),"")</f>
        <v>2</v>
      </c>
      <c r="E13" s="44" t="n">
        <f aca="false">IF(AND(ISNUMBER(MATCH(A13,Sezoane!$C$6:$C$40,1)),A13&lt;=INDEX(Sezoane!$D$6:$D$40,MATCH(A13,Sezoane!$C$6:$C$40,1))),INDEX('Prețuri de setat'!$E$5:$E$39,MATCH(A13,Sezoane!$C$6:$C$40,1)),"")</f>
        <v>900</v>
      </c>
      <c r="F13" s="44" t="n">
        <f aca="false">IF(AND(ISNUMBER(MATCH(A13,Sezoane!$C$6:$C$40,1)),A13&lt;=INDEX(Sezoane!$D$6:$D$40,MATCH(A13,Sezoane!$C$6:$C$40,1))),INDEX('Prețuri de setat'!$F$5:$F$39,MATCH(A13,Sezoane!$C$6:$C$40,1)),"")</f>
        <v>1130</v>
      </c>
      <c r="G13" s="44" t="n">
        <f aca="false">IF(AND(ISNUMBER(MATCH(A13,Sezoane!$C$6:$C$40,1)),A13&lt;=INDEX(Sezoane!$D$6:$D$40,MATCH(A13,Sezoane!$C$6:$C$40,1))),INDEX('Prețuri de setat'!$G$5:$G$39,MATCH(A13,Sezoane!$C$6:$C$40,1)),"")</f>
        <v>920</v>
      </c>
      <c r="H13" s="44" t="n">
        <f aca="false">IF(AND(ISNUMBER(MATCH(A13,Sezoane!$C$6:$C$40,1)),A13&lt;=INDEX(Sezoane!$D$6:$D$40,MATCH(A13,Sezoane!$C$6:$C$40,1))),INDEX('Prețuri de setat'!$H$5:$H$39,MATCH(A13,Sezoane!$C$6:$C$40,1)),"")</f>
        <v>980</v>
      </c>
      <c r="I13" s="44" t="n">
        <f aca="false">IF(AND(ISNUMBER(MATCH(A13,Sezoane!$C$6:$C$40,1)),A13&lt;=INDEX(Sezoane!$D$6:$D$40,MATCH(A13,Sezoane!$C$6:$C$40,1))),INDEX('Prețuri de setat'!$I$5:$I$39,MATCH(A13,Sezoane!$C$6:$C$40,1)),"")</f>
        <v>852</v>
      </c>
    </row>
    <row r="14" customFormat="false" ht="15" hidden="false" customHeight="false" outlineLevel="0" collapsed="false">
      <c r="A14" s="41" t="n">
        <f aca="false">$B$2+9</f>
        <v>46325</v>
      </c>
      <c r="B14" s="42" t="str">
        <f aca="false">CHOOSE(WEEKDAY(A14,2),"Lu","Ma","Mi","Jo","Vi","Sâ","Du")</f>
        <v>Vi</v>
      </c>
      <c r="C14" s="42" t="str">
        <f aca="false">IF(AND(ISNUMBER(MATCH(A14,Sezoane!$C$6:$C$40,1)),A14&lt;=INDEX(Sezoane!$D$6:$D$40,MATCH(A14,Sezoane!$C$6:$C$40,1))),INDEX(Sezoane!$A$6:$A$40,MATCH(A14,Sezoane!$C$6:$C$40,1)),"⚠ fără sezon")</f>
        <v>vara-toamna-2026</v>
      </c>
      <c r="D14" s="43" t="n">
        <f aca="false">IF(AND(ISNUMBER(MATCH(A14,Sezoane!$C$6:$C$40,1)),A14&lt;=INDEX(Sezoane!$D$6:$D$40,MATCH(A14,Sezoane!$C$6:$C$40,1))),INDEX(Sezoane!$F$6:$F$40,MATCH(A14,Sezoane!$C$6:$C$40,1)),"")</f>
        <v>2</v>
      </c>
      <c r="E14" s="44" t="n">
        <f aca="false">IF(AND(ISNUMBER(MATCH(A14,Sezoane!$C$6:$C$40,1)),A14&lt;=INDEX(Sezoane!$D$6:$D$40,MATCH(A14,Sezoane!$C$6:$C$40,1))),INDEX('Prețuri de setat'!$E$5:$E$39,MATCH(A14,Sezoane!$C$6:$C$40,1)),"")</f>
        <v>900</v>
      </c>
      <c r="F14" s="44" t="n">
        <f aca="false">IF(AND(ISNUMBER(MATCH(A14,Sezoane!$C$6:$C$40,1)),A14&lt;=INDEX(Sezoane!$D$6:$D$40,MATCH(A14,Sezoane!$C$6:$C$40,1))),INDEX('Prețuri de setat'!$F$5:$F$39,MATCH(A14,Sezoane!$C$6:$C$40,1)),"")</f>
        <v>1130</v>
      </c>
      <c r="G14" s="44" t="n">
        <f aca="false">IF(AND(ISNUMBER(MATCH(A14,Sezoane!$C$6:$C$40,1)),A14&lt;=INDEX(Sezoane!$D$6:$D$40,MATCH(A14,Sezoane!$C$6:$C$40,1))),INDEX('Prețuri de setat'!$G$5:$G$39,MATCH(A14,Sezoane!$C$6:$C$40,1)),"")</f>
        <v>920</v>
      </c>
      <c r="H14" s="44" t="n">
        <f aca="false">IF(AND(ISNUMBER(MATCH(A14,Sezoane!$C$6:$C$40,1)),A14&lt;=INDEX(Sezoane!$D$6:$D$40,MATCH(A14,Sezoane!$C$6:$C$40,1))),INDEX('Prețuri de setat'!$H$5:$H$39,MATCH(A14,Sezoane!$C$6:$C$40,1)),"")</f>
        <v>980</v>
      </c>
      <c r="I14" s="44" t="n">
        <f aca="false">IF(AND(ISNUMBER(MATCH(A14,Sezoane!$C$6:$C$40,1)),A14&lt;=INDEX(Sezoane!$D$6:$D$40,MATCH(A14,Sezoane!$C$6:$C$40,1))),INDEX('Prețuri de setat'!$I$5:$I$39,MATCH(A14,Sezoane!$C$6:$C$40,1)),"")</f>
        <v>852</v>
      </c>
    </row>
    <row r="15" customFormat="false" ht="15" hidden="false" customHeight="false" outlineLevel="0" collapsed="false">
      <c r="A15" s="41" t="n">
        <f aca="false">$B$2+10</f>
        <v>46326</v>
      </c>
      <c r="B15" s="42" t="str">
        <f aca="false">CHOOSE(WEEKDAY(A15,2),"Lu","Ma","Mi","Jo","Vi","Sâ","Du")</f>
        <v>Sâ</v>
      </c>
      <c r="C15" s="42" t="str">
        <f aca="false">IF(AND(ISNUMBER(MATCH(A15,Sezoane!$C$6:$C$40,1)),A15&lt;=INDEX(Sezoane!$D$6:$D$40,MATCH(A15,Sezoane!$C$6:$C$40,1))),INDEX(Sezoane!$A$6:$A$40,MATCH(A15,Sezoane!$C$6:$C$40,1)),"⚠ fără sezon")</f>
        <v>vara-toamna-2026</v>
      </c>
      <c r="D15" s="43" t="n">
        <f aca="false">IF(AND(ISNUMBER(MATCH(A15,Sezoane!$C$6:$C$40,1)),A15&lt;=INDEX(Sezoane!$D$6:$D$40,MATCH(A15,Sezoane!$C$6:$C$40,1))),INDEX(Sezoane!$F$6:$F$40,MATCH(A15,Sezoane!$C$6:$C$40,1)),"")</f>
        <v>2</v>
      </c>
      <c r="E15" s="44" t="n">
        <f aca="false">IF(AND(ISNUMBER(MATCH(A15,Sezoane!$C$6:$C$40,1)),A15&lt;=INDEX(Sezoane!$D$6:$D$40,MATCH(A15,Sezoane!$C$6:$C$40,1))),INDEX('Prețuri de setat'!$E$5:$E$39,MATCH(A15,Sezoane!$C$6:$C$40,1)),"")</f>
        <v>900</v>
      </c>
      <c r="F15" s="44" t="n">
        <f aca="false">IF(AND(ISNUMBER(MATCH(A15,Sezoane!$C$6:$C$40,1)),A15&lt;=INDEX(Sezoane!$D$6:$D$40,MATCH(A15,Sezoane!$C$6:$C$40,1))),INDEX('Prețuri de setat'!$F$5:$F$39,MATCH(A15,Sezoane!$C$6:$C$40,1)),"")</f>
        <v>1130</v>
      </c>
      <c r="G15" s="44" t="n">
        <f aca="false">IF(AND(ISNUMBER(MATCH(A15,Sezoane!$C$6:$C$40,1)),A15&lt;=INDEX(Sezoane!$D$6:$D$40,MATCH(A15,Sezoane!$C$6:$C$40,1))),INDEX('Prețuri de setat'!$G$5:$G$39,MATCH(A15,Sezoane!$C$6:$C$40,1)),"")</f>
        <v>920</v>
      </c>
      <c r="H15" s="44" t="n">
        <f aca="false">IF(AND(ISNUMBER(MATCH(A15,Sezoane!$C$6:$C$40,1)),A15&lt;=INDEX(Sezoane!$D$6:$D$40,MATCH(A15,Sezoane!$C$6:$C$40,1))),INDEX('Prețuri de setat'!$H$5:$H$39,MATCH(A15,Sezoane!$C$6:$C$40,1)),"")</f>
        <v>980</v>
      </c>
      <c r="I15" s="44" t="n">
        <f aca="false">IF(AND(ISNUMBER(MATCH(A15,Sezoane!$C$6:$C$40,1)),A15&lt;=INDEX(Sezoane!$D$6:$D$40,MATCH(A15,Sezoane!$C$6:$C$40,1))),INDEX('Prețuri de setat'!$I$5:$I$39,MATCH(A15,Sezoane!$C$6:$C$40,1)),"")</f>
        <v>852</v>
      </c>
    </row>
    <row r="16" customFormat="false" ht="15" hidden="false" customHeight="false" outlineLevel="0" collapsed="false">
      <c r="A16" s="41" t="n">
        <f aca="false">$B$2+11</f>
        <v>46327</v>
      </c>
      <c r="B16" s="42" t="str">
        <f aca="false">CHOOSE(WEEKDAY(A16,2),"Lu","Ma","Mi","Jo","Vi","Sâ","Du")</f>
        <v>Du</v>
      </c>
      <c r="C16" s="42" t="str">
        <f aca="false">IF(AND(ISNUMBER(MATCH(A16,Sezoane!$C$6:$C$40,1)),A16&lt;=INDEX(Sezoane!$D$6:$D$40,MATCH(A16,Sezoane!$C$6:$C$40,1))),INDEX(Sezoane!$A$6:$A$40,MATCH(A16,Sezoane!$C$6:$C$40,1)),"⚠ fără sezon")</f>
        <v>vara-toamna-2026</v>
      </c>
      <c r="D16" s="43" t="n">
        <f aca="false">IF(AND(ISNUMBER(MATCH(A16,Sezoane!$C$6:$C$40,1)),A16&lt;=INDEX(Sezoane!$D$6:$D$40,MATCH(A16,Sezoane!$C$6:$C$40,1))),INDEX(Sezoane!$F$6:$F$40,MATCH(A16,Sezoane!$C$6:$C$40,1)),"")</f>
        <v>2</v>
      </c>
      <c r="E16" s="44" t="n">
        <f aca="false">IF(AND(ISNUMBER(MATCH(A16,Sezoane!$C$6:$C$40,1)),A16&lt;=INDEX(Sezoane!$D$6:$D$40,MATCH(A16,Sezoane!$C$6:$C$40,1))),INDEX('Prețuri de setat'!$E$5:$E$39,MATCH(A16,Sezoane!$C$6:$C$40,1)),"")</f>
        <v>900</v>
      </c>
      <c r="F16" s="44" t="n">
        <f aca="false">IF(AND(ISNUMBER(MATCH(A16,Sezoane!$C$6:$C$40,1)),A16&lt;=INDEX(Sezoane!$D$6:$D$40,MATCH(A16,Sezoane!$C$6:$C$40,1))),INDEX('Prețuri de setat'!$F$5:$F$39,MATCH(A16,Sezoane!$C$6:$C$40,1)),"")</f>
        <v>1130</v>
      </c>
      <c r="G16" s="44" t="n">
        <f aca="false">IF(AND(ISNUMBER(MATCH(A16,Sezoane!$C$6:$C$40,1)),A16&lt;=INDEX(Sezoane!$D$6:$D$40,MATCH(A16,Sezoane!$C$6:$C$40,1))),INDEX('Prețuri de setat'!$G$5:$G$39,MATCH(A16,Sezoane!$C$6:$C$40,1)),"")</f>
        <v>920</v>
      </c>
      <c r="H16" s="44" t="n">
        <f aca="false">IF(AND(ISNUMBER(MATCH(A16,Sezoane!$C$6:$C$40,1)),A16&lt;=INDEX(Sezoane!$D$6:$D$40,MATCH(A16,Sezoane!$C$6:$C$40,1))),INDEX('Prețuri de setat'!$H$5:$H$39,MATCH(A16,Sezoane!$C$6:$C$40,1)),"")</f>
        <v>980</v>
      </c>
      <c r="I16" s="44" t="n">
        <f aca="false">IF(AND(ISNUMBER(MATCH(A16,Sezoane!$C$6:$C$40,1)),A16&lt;=INDEX(Sezoane!$D$6:$D$40,MATCH(A16,Sezoane!$C$6:$C$40,1))),INDEX('Prețuri de setat'!$I$5:$I$39,MATCH(A16,Sezoane!$C$6:$C$40,1)),"")</f>
        <v>852</v>
      </c>
    </row>
    <row r="17" customFormat="false" ht="15" hidden="false" customHeight="false" outlineLevel="0" collapsed="false">
      <c r="A17" s="41" t="n">
        <f aca="false">$B$2+12</f>
        <v>46328</v>
      </c>
      <c r="B17" s="42" t="str">
        <f aca="false">CHOOSE(WEEKDAY(A17,2),"Lu","Ma","Mi","Jo","Vi","Sâ","Du")</f>
        <v>Lu</v>
      </c>
      <c r="C17" s="42" t="str">
        <f aca="false">IF(AND(ISNUMBER(MATCH(A17,Sezoane!$C$6:$C$40,1)),A17&lt;=INDEX(Sezoane!$D$6:$D$40,MATCH(A17,Sezoane!$C$6:$C$40,1))),INDEX(Sezoane!$A$6:$A$40,MATCH(A17,Sezoane!$C$6:$C$40,1)),"⚠ fără sezon")</f>
        <v>vara-toamna-2026</v>
      </c>
      <c r="D17" s="43" t="n">
        <f aca="false">IF(AND(ISNUMBER(MATCH(A17,Sezoane!$C$6:$C$40,1)),A17&lt;=INDEX(Sezoane!$D$6:$D$40,MATCH(A17,Sezoane!$C$6:$C$40,1))),INDEX(Sezoane!$F$6:$F$40,MATCH(A17,Sezoane!$C$6:$C$40,1)),"")</f>
        <v>2</v>
      </c>
      <c r="E17" s="44" t="n">
        <f aca="false">IF(AND(ISNUMBER(MATCH(A17,Sezoane!$C$6:$C$40,1)),A17&lt;=INDEX(Sezoane!$D$6:$D$40,MATCH(A17,Sezoane!$C$6:$C$40,1))),INDEX('Prețuri de setat'!$E$5:$E$39,MATCH(A17,Sezoane!$C$6:$C$40,1)),"")</f>
        <v>900</v>
      </c>
      <c r="F17" s="44" t="n">
        <f aca="false">IF(AND(ISNUMBER(MATCH(A17,Sezoane!$C$6:$C$40,1)),A17&lt;=INDEX(Sezoane!$D$6:$D$40,MATCH(A17,Sezoane!$C$6:$C$40,1))),INDEX('Prețuri de setat'!$F$5:$F$39,MATCH(A17,Sezoane!$C$6:$C$40,1)),"")</f>
        <v>1130</v>
      </c>
      <c r="G17" s="44" t="n">
        <f aca="false">IF(AND(ISNUMBER(MATCH(A17,Sezoane!$C$6:$C$40,1)),A17&lt;=INDEX(Sezoane!$D$6:$D$40,MATCH(A17,Sezoane!$C$6:$C$40,1))),INDEX('Prețuri de setat'!$G$5:$G$39,MATCH(A17,Sezoane!$C$6:$C$40,1)),"")</f>
        <v>920</v>
      </c>
      <c r="H17" s="44" t="n">
        <f aca="false">IF(AND(ISNUMBER(MATCH(A17,Sezoane!$C$6:$C$40,1)),A17&lt;=INDEX(Sezoane!$D$6:$D$40,MATCH(A17,Sezoane!$C$6:$C$40,1))),INDEX('Prețuri de setat'!$H$5:$H$39,MATCH(A17,Sezoane!$C$6:$C$40,1)),"")</f>
        <v>980</v>
      </c>
      <c r="I17" s="44" t="n">
        <f aca="false">IF(AND(ISNUMBER(MATCH(A17,Sezoane!$C$6:$C$40,1)),A17&lt;=INDEX(Sezoane!$D$6:$D$40,MATCH(A17,Sezoane!$C$6:$C$40,1))),INDEX('Prețuri de setat'!$I$5:$I$39,MATCH(A17,Sezoane!$C$6:$C$40,1)),"")</f>
        <v>852</v>
      </c>
    </row>
    <row r="18" customFormat="false" ht="15" hidden="false" customHeight="false" outlineLevel="0" collapsed="false">
      <c r="A18" s="41" t="n">
        <f aca="false">$B$2+13</f>
        <v>46329</v>
      </c>
      <c r="B18" s="42" t="str">
        <f aca="false">CHOOSE(WEEKDAY(A18,2),"Lu","Ma","Mi","Jo","Vi","Sâ","Du")</f>
        <v>Ma</v>
      </c>
      <c r="C18" s="42" t="str">
        <f aca="false">IF(AND(ISNUMBER(MATCH(A18,Sezoane!$C$6:$C$40,1)),A18&lt;=INDEX(Sezoane!$D$6:$D$40,MATCH(A18,Sezoane!$C$6:$C$40,1))),INDEX(Sezoane!$A$6:$A$40,MATCH(A18,Sezoane!$C$6:$C$40,1)),"⚠ fără sezon")</f>
        <v>vara-toamna-2026</v>
      </c>
      <c r="D18" s="43" t="n">
        <f aca="false">IF(AND(ISNUMBER(MATCH(A18,Sezoane!$C$6:$C$40,1)),A18&lt;=INDEX(Sezoane!$D$6:$D$40,MATCH(A18,Sezoane!$C$6:$C$40,1))),INDEX(Sezoane!$F$6:$F$40,MATCH(A18,Sezoane!$C$6:$C$40,1)),"")</f>
        <v>2</v>
      </c>
      <c r="E18" s="44" t="n">
        <f aca="false">IF(AND(ISNUMBER(MATCH(A18,Sezoane!$C$6:$C$40,1)),A18&lt;=INDEX(Sezoane!$D$6:$D$40,MATCH(A18,Sezoane!$C$6:$C$40,1))),INDEX('Prețuri de setat'!$E$5:$E$39,MATCH(A18,Sezoane!$C$6:$C$40,1)),"")</f>
        <v>900</v>
      </c>
      <c r="F18" s="44" t="n">
        <f aca="false">IF(AND(ISNUMBER(MATCH(A18,Sezoane!$C$6:$C$40,1)),A18&lt;=INDEX(Sezoane!$D$6:$D$40,MATCH(A18,Sezoane!$C$6:$C$40,1))),INDEX('Prețuri de setat'!$F$5:$F$39,MATCH(A18,Sezoane!$C$6:$C$40,1)),"")</f>
        <v>1130</v>
      </c>
      <c r="G18" s="44" t="n">
        <f aca="false">IF(AND(ISNUMBER(MATCH(A18,Sezoane!$C$6:$C$40,1)),A18&lt;=INDEX(Sezoane!$D$6:$D$40,MATCH(A18,Sezoane!$C$6:$C$40,1))),INDEX('Prețuri de setat'!$G$5:$G$39,MATCH(A18,Sezoane!$C$6:$C$40,1)),"")</f>
        <v>920</v>
      </c>
      <c r="H18" s="44" t="n">
        <f aca="false">IF(AND(ISNUMBER(MATCH(A18,Sezoane!$C$6:$C$40,1)),A18&lt;=INDEX(Sezoane!$D$6:$D$40,MATCH(A18,Sezoane!$C$6:$C$40,1))),INDEX('Prețuri de setat'!$H$5:$H$39,MATCH(A18,Sezoane!$C$6:$C$40,1)),"")</f>
        <v>980</v>
      </c>
      <c r="I18" s="44" t="n">
        <f aca="false">IF(AND(ISNUMBER(MATCH(A18,Sezoane!$C$6:$C$40,1)),A18&lt;=INDEX(Sezoane!$D$6:$D$40,MATCH(A18,Sezoane!$C$6:$C$40,1))),INDEX('Prețuri de setat'!$I$5:$I$39,MATCH(A18,Sezoane!$C$6:$C$40,1)),"")</f>
        <v>852</v>
      </c>
    </row>
    <row r="19" customFormat="false" ht="15" hidden="false" customHeight="false" outlineLevel="0" collapsed="false">
      <c r="A19" s="41" t="n">
        <f aca="false">$B$2+14</f>
        <v>46330</v>
      </c>
      <c r="B19" s="42" t="str">
        <f aca="false">CHOOSE(WEEKDAY(A19,2),"Lu","Ma","Mi","Jo","Vi","Sâ","Du")</f>
        <v>Mi</v>
      </c>
      <c r="C19" s="42" t="str">
        <f aca="false">IF(AND(ISNUMBER(MATCH(A19,Sezoane!$C$6:$C$40,1)),A19&lt;=INDEX(Sezoane!$D$6:$D$40,MATCH(A19,Sezoane!$C$6:$C$40,1))),INDEX(Sezoane!$A$6:$A$40,MATCH(A19,Sezoane!$C$6:$C$40,1)),"⚠ fără sezon")</f>
        <v>vara-toamna-2026</v>
      </c>
      <c r="D19" s="43" t="n">
        <f aca="false">IF(AND(ISNUMBER(MATCH(A19,Sezoane!$C$6:$C$40,1)),A19&lt;=INDEX(Sezoane!$D$6:$D$40,MATCH(A19,Sezoane!$C$6:$C$40,1))),INDEX(Sezoane!$F$6:$F$40,MATCH(A19,Sezoane!$C$6:$C$40,1)),"")</f>
        <v>2</v>
      </c>
      <c r="E19" s="44" t="n">
        <f aca="false">IF(AND(ISNUMBER(MATCH(A19,Sezoane!$C$6:$C$40,1)),A19&lt;=INDEX(Sezoane!$D$6:$D$40,MATCH(A19,Sezoane!$C$6:$C$40,1))),INDEX('Prețuri de setat'!$E$5:$E$39,MATCH(A19,Sezoane!$C$6:$C$40,1)),"")</f>
        <v>900</v>
      </c>
      <c r="F19" s="44" t="n">
        <f aca="false">IF(AND(ISNUMBER(MATCH(A19,Sezoane!$C$6:$C$40,1)),A19&lt;=INDEX(Sezoane!$D$6:$D$40,MATCH(A19,Sezoane!$C$6:$C$40,1))),INDEX('Prețuri de setat'!$F$5:$F$39,MATCH(A19,Sezoane!$C$6:$C$40,1)),"")</f>
        <v>1130</v>
      </c>
      <c r="G19" s="44" t="n">
        <f aca="false">IF(AND(ISNUMBER(MATCH(A19,Sezoane!$C$6:$C$40,1)),A19&lt;=INDEX(Sezoane!$D$6:$D$40,MATCH(A19,Sezoane!$C$6:$C$40,1))),INDEX('Prețuri de setat'!$G$5:$G$39,MATCH(A19,Sezoane!$C$6:$C$40,1)),"")</f>
        <v>920</v>
      </c>
      <c r="H19" s="44" t="n">
        <f aca="false">IF(AND(ISNUMBER(MATCH(A19,Sezoane!$C$6:$C$40,1)),A19&lt;=INDEX(Sezoane!$D$6:$D$40,MATCH(A19,Sezoane!$C$6:$C$40,1))),INDEX('Prețuri de setat'!$H$5:$H$39,MATCH(A19,Sezoane!$C$6:$C$40,1)),"")</f>
        <v>980</v>
      </c>
      <c r="I19" s="44" t="n">
        <f aca="false">IF(AND(ISNUMBER(MATCH(A19,Sezoane!$C$6:$C$40,1)),A19&lt;=INDEX(Sezoane!$D$6:$D$40,MATCH(A19,Sezoane!$C$6:$C$40,1))),INDEX('Prețuri de setat'!$I$5:$I$39,MATCH(A19,Sezoane!$C$6:$C$40,1)),"")</f>
        <v>852</v>
      </c>
    </row>
    <row r="20" customFormat="false" ht="15" hidden="false" customHeight="false" outlineLevel="0" collapsed="false">
      <c r="A20" s="41" t="n">
        <f aca="false">$B$2+15</f>
        <v>46331</v>
      </c>
      <c r="B20" s="42" t="str">
        <f aca="false">CHOOSE(WEEKDAY(A20,2),"Lu","Ma","Mi","Jo","Vi","Sâ","Du")</f>
        <v>Jo</v>
      </c>
      <c r="C20" s="42" t="str">
        <f aca="false">IF(AND(ISNUMBER(MATCH(A20,Sezoane!$C$6:$C$40,1)),A20&lt;=INDEX(Sezoane!$D$6:$D$40,MATCH(A20,Sezoane!$C$6:$C$40,1))),INDEX(Sezoane!$A$6:$A$40,MATCH(A20,Sezoane!$C$6:$C$40,1)),"⚠ fără sezon")</f>
        <v>vara-toamna-2026</v>
      </c>
      <c r="D20" s="43" t="n">
        <f aca="false">IF(AND(ISNUMBER(MATCH(A20,Sezoane!$C$6:$C$40,1)),A20&lt;=INDEX(Sezoane!$D$6:$D$40,MATCH(A20,Sezoane!$C$6:$C$40,1))),INDEX(Sezoane!$F$6:$F$40,MATCH(A20,Sezoane!$C$6:$C$40,1)),"")</f>
        <v>2</v>
      </c>
      <c r="E20" s="44" t="n">
        <f aca="false">IF(AND(ISNUMBER(MATCH(A20,Sezoane!$C$6:$C$40,1)),A20&lt;=INDEX(Sezoane!$D$6:$D$40,MATCH(A20,Sezoane!$C$6:$C$40,1))),INDEX('Prețuri de setat'!$E$5:$E$39,MATCH(A20,Sezoane!$C$6:$C$40,1)),"")</f>
        <v>900</v>
      </c>
      <c r="F20" s="44" t="n">
        <f aca="false">IF(AND(ISNUMBER(MATCH(A20,Sezoane!$C$6:$C$40,1)),A20&lt;=INDEX(Sezoane!$D$6:$D$40,MATCH(A20,Sezoane!$C$6:$C$40,1))),INDEX('Prețuri de setat'!$F$5:$F$39,MATCH(A20,Sezoane!$C$6:$C$40,1)),"")</f>
        <v>1130</v>
      </c>
      <c r="G20" s="44" t="n">
        <f aca="false">IF(AND(ISNUMBER(MATCH(A20,Sezoane!$C$6:$C$40,1)),A20&lt;=INDEX(Sezoane!$D$6:$D$40,MATCH(A20,Sezoane!$C$6:$C$40,1))),INDEX('Prețuri de setat'!$G$5:$G$39,MATCH(A20,Sezoane!$C$6:$C$40,1)),"")</f>
        <v>920</v>
      </c>
      <c r="H20" s="44" t="n">
        <f aca="false">IF(AND(ISNUMBER(MATCH(A20,Sezoane!$C$6:$C$40,1)),A20&lt;=INDEX(Sezoane!$D$6:$D$40,MATCH(A20,Sezoane!$C$6:$C$40,1))),INDEX('Prețuri de setat'!$H$5:$H$39,MATCH(A20,Sezoane!$C$6:$C$40,1)),"")</f>
        <v>980</v>
      </c>
      <c r="I20" s="44" t="n">
        <f aca="false">IF(AND(ISNUMBER(MATCH(A20,Sezoane!$C$6:$C$40,1)),A20&lt;=INDEX(Sezoane!$D$6:$D$40,MATCH(A20,Sezoane!$C$6:$C$40,1))),INDEX('Prețuri de setat'!$I$5:$I$39,MATCH(A20,Sezoane!$C$6:$C$40,1)),"")</f>
        <v>852</v>
      </c>
    </row>
    <row r="21" customFormat="false" ht="15" hidden="false" customHeight="false" outlineLevel="0" collapsed="false">
      <c r="A21" s="41" t="n">
        <f aca="false">$B$2+16</f>
        <v>46332</v>
      </c>
      <c r="B21" s="42" t="str">
        <f aca="false">CHOOSE(WEEKDAY(A21,2),"Lu","Ma","Mi","Jo","Vi","Sâ","Du")</f>
        <v>Vi</v>
      </c>
      <c r="C21" s="42" t="str">
        <f aca="false">IF(AND(ISNUMBER(MATCH(A21,Sezoane!$C$6:$C$40,1)),A21&lt;=INDEX(Sezoane!$D$6:$D$40,MATCH(A21,Sezoane!$C$6:$C$40,1))),INDEX(Sezoane!$A$6:$A$40,MATCH(A21,Sezoane!$C$6:$C$40,1)),"⚠ fără sezon")</f>
        <v>vara-toamna-2026</v>
      </c>
      <c r="D21" s="43" t="n">
        <f aca="false">IF(AND(ISNUMBER(MATCH(A21,Sezoane!$C$6:$C$40,1)),A21&lt;=INDEX(Sezoane!$D$6:$D$40,MATCH(A21,Sezoane!$C$6:$C$40,1))),INDEX(Sezoane!$F$6:$F$40,MATCH(A21,Sezoane!$C$6:$C$40,1)),"")</f>
        <v>2</v>
      </c>
      <c r="E21" s="44" t="n">
        <f aca="false">IF(AND(ISNUMBER(MATCH(A21,Sezoane!$C$6:$C$40,1)),A21&lt;=INDEX(Sezoane!$D$6:$D$40,MATCH(A21,Sezoane!$C$6:$C$40,1))),INDEX('Prețuri de setat'!$E$5:$E$39,MATCH(A21,Sezoane!$C$6:$C$40,1)),"")</f>
        <v>900</v>
      </c>
      <c r="F21" s="44" t="n">
        <f aca="false">IF(AND(ISNUMBER(MATCH(A21,Sezoane!$C$6:$C$40,1)),A21&lt;=INDEX(Sezoane!$D$6:$D$40,MATCH(A21,Sezoane!$C$6:$C$40,1))),INDEX('Prețuri de setat'!$F$5:$F$39,MATCH(A21,Sezoane!$C$6:$C$40,1)),"")</f>
        <v>1130</v>
      </c>
      <c r="G21" s="44" t="n">
        <f aca="false">IF(AND(ISNUMBER(MATCH(A21,Sezoane!$C$6:$C$40,1)),A21&lt;=INDEX(Sezoane!$D$6:$D$40,MATCH(A21,Sezoane!$C$6:$C$40,1))),INDEX('Prețuri de setat'!$G$5:$G$39,MATCH(A21,Sezoane!$C$6:$C$40,1)),"")</f>
        <v>920</v>
      </c>
      <c r="H21" s="44" t="n">
        <f aca="false">IF(AND(ISNUMBER(MATCH(A21,Sezoane!$C$6:$C$40,1)),A21&lt;=INDEX(Sezoane!$D$6:$D$40,MATCH(A21,Sezoane!$C$6:$C$40,1))),INDEX('Prețuri de setat'!$H$5:$H$39,MATCH(A21,Sezoane!$C$6:$C$40,1)),"")</f>
        <v>980</v>
      </c>
      <c r="I21" s="44" t="n">
        <f aca="false">IF(AND(ISNUMBER(MATCH(A21,Sezoane!$C$6:$C$40,1)),A21&lt;=INDEX(Sezoane!$D$6:$D$40,MATCH(A21,Sezoane!$C$6:$C$40,1))),INDEX('Prețuri de setat'!$I$5:$I$39,MATCH(A21,Sezoane!$C$6:$C$40,1)),"")</f>
        <v>852</v>
      </c>
    </row>
    <row r="22" customFormat="false" ht="15" hidden="false" customHeight="false" outlineLevel="0" collapsed="false">
      <c r="A22" s="41" t="n">
        <f aca="false">$B$2+17</f>
        <v>46333</v>
      </c>
      <c r="B22" s="42" t="str">
        <f aca="false">CHOOSE(WEEKDAY(A22,2),"Lu","Ma","Mi","Jo","Vi","Sâ","Du")</f>
        <v>Sâ</v>
      </c>
      <c r="C22" s="42" t="str">
        <f aca="false">IF(AND(ISNUMBER(MATCH(A22,Sezoane!$C$6:$C$40,1)),A22&lt;=INDEX(Sezoane!$D$6:$D$40,MATCH(A22,Sezoane!$C$6:$C$40,1))),INDEX(Sezoane!$A$6:$A$40,MATCH(A22,Sezoane!$C$6:$C$40,1)),"⚠ fără sezon")</f>
        <v>vara-toamna-2026</v>
      </c>
      <c r="D22" s="43" t="n">
        <f aca="false">IF(AND(ISNUMBER(MATCH(A22,Sezoane!$C$6:$C$40,1)),A22&lt;=INDEX(Sezoane!$D$6:$D$40,MATCH(A22,Sezoane!$C$6:$C$40,1))),INDEX(Sezoane!$F$6:$F$40,MATCH(A22,Sezoane!$C$6:$C$40,1)),"")</f>
        <v>2</v>
      </c>
      <c r="E22" s="44" t="n">
        <f aca="false">IF(AND(ISNUMBER(MATCH(A22,Sezoane!$C$6:$C$40,1)),A22&lt;=INDEX(Sezoane!$D$6:$D$40,MATCH(A22,Sezoane!$C$6:$C$40,1))),INDEX('Prețuri de setat'!$E$5:$E$39,MATCH(A22,Sezoane!$C$6:$C$40,1)),"")</f>
        <v>900</v>
      </c>
      <c r="F22" s="44" t="n">
        <f aca="false">IF(AND(ISNUMBER(MATCH(A22,Sezoane!$C$6:$C$40,1)),A22&lt;=INDEX(Sezoane!$D$6:$D$40,MATCH(A22,Sezoane!$C$6:$C$40,1))),INDEX('Prețuri de setat'!$F$5:$F$39,MATCH(A22,Sezoane!$C$6:$C$40,1)),"")</f>
        <v>1130</v>
      </c>
      <c r="G22" s="44" t="n">
        <f aca="false">IF(AND(ISNUMBER(MATCH(A22,Sezoane!$C$6:$C$40,1)),A22&lt;=INDEX(Sezoane!$D$6:$D$40,MATCH(A22,Sezoane!$C$6:$C$40,1))),INDEX('Prețuri de setat'!$G$5:$G$39,MATCH(A22,Sezoane!$C$6:$C$40,1)),"")</f>
        <v>920</v>
      </c>
      <c r="H22" s="44" t="n">
        <f aca="false">IF(AND(ISNUMBER(MATCH(A22,Sezoane!$C$6:$C$40,1)),A22&lt;=INDEX(Sezoane!$D$6:$D$40,MATCH(A22,Sezoane!$C$6:$C$40,1))),INDEX('Prețuri de setat'!$H$5:$H$39,MATCH(A22,Sezoane!$C$6:$C$40,1)),"")</f>
        <v>980</v>
      </c>
      <c r="I22" s="44" t="n">
        <f aca="false">IF(AND(ISNUMBER(MATCH(A22,Sezoane!$C$6:$C$40,1)),A22&lt;=INDEX(Sezoane!$D$6:$D$40,MATCH(A22,Sezoane!$C$6:$C$40,1))),INDEX('Prețuri de setat'!$I$5:$I$39,MATCH(A22,Sezoane!$C$6:$C$40,1)),"")</f>
        <v>852</v>
      </c>
    </row>
    <row r="23" customFormat="false" ht="15" hidden="false" customHeight="false" outlineLevel="0" collapsed="false">
      <c r="A23" s="41" t="n">
        <f aca="false">$B$2+18</f>
        <v>46334</v>
      </c>
      <c r="B23" s="42" t="str">
        <f aca="false">CHOOSE(WEEKDAY(A23,2),"Lu","Ma","Mi","Jo","Vi","Sâ","Du")</f>
        <v>Du</v>
      </c>
      <c r="C23" s="42" t="str">
        <f aca="false">IF(AND(ISNUMBER(MATCH(A23,Sezoane!$C$6:$C$40,1)),A23&lt;=INDEX(Sezoane!$D$6:$D$40,MATCH(A23,Sezoane!$C$6:$C$40,1))),INDEX(Sezoane!$A$6:$A$40,MATCH(A23,Sezoane!$C$6:$C$40,1)),"⚠ fără sezon")</f>
        <v>vara-toamna-2026</v>
      </c>
      <c r="D23" s="43" t="n">
        <f aca="false">IF(AND(ISNUMBER(MATCH(A23,Sezoane!$C$6:$C$40,1)),A23&lt;=INDEX(Sezoane!$D$6:$D$40,MATCH(A23,Sezoane!$C$6:$C$40,1))),INDEX(Sezoane!$F$6:$F$40,MATCH(A23,Sezoane!$C$6:$C$40,1)),"")</f>
        <v>2</v>
      </c>
      <c r="E23" s="44" t="n">
        <f aca="false">IF(AND(ISNUMBER(MATCH(A23,Sezoane!$C$6:$C$40,1)),A23&lt;=INDEX(Sezoane!$D$6:$D$40,MATCH(A23,Sezoane!$C$6:$C$40,1))),INDEX('Prețuri de setat'!$E$5:$E$39,MATCH(A23,Sezoane!$C$6:$C$40,1)),"")</f>
        <v>900</v>
      </c>
      <c r="F23" s="44" t="n">
        <f aca="false">IF(AND(ISNUMBER(MATCH(A23,Sezoane!$C$6:$C$40,1)),A23&lt;=INDEX(Sezoane!$D$6:$D$40,MATCH(A23,Sezoane!$C$6:$C$40,1))),INDEX('Prețuri de setat'!$F$5:$F$39,MATCH(A23,Sezoane!$C$6:$C$40,1)),"")</f>
        <v>1130</v>
      </c>
      <c r="G23" s="44" t="n">
        <f aca="false">IF(AND(ISNUMBER(MATCH(A23,Sezoane!$C$6:$C$40,1)),A23&lt;=INDEX(Sezoane!$D$6:$D$40,MATCH(A23,Sezoane!$C$6:$C$40,1))),INDEX('Prețuri de setat'!$G$5:$G$39,MATCH(A23,Sezoane!$C$6:$C$40,1)),"")</f>
        <v>920</v>
      </c>
      <c r="H23" s="44" t="n">
        <f aca="false">IF(AND(ISNUMBER(MATCH(A23,Sezoane!$C$6:$C$40,1)),A23&lt;=INDEX(Sezoane!$D$6:$D$40,MATCH(A23,Sezoane!$C$6:$C$40,1))),INDEX('Prețuri de setat'!$H$5:$H$39,MATCH(A23,Sezoane!$C$6:$C$40,1)),"")</f>
        <v>980</v>
      </c>
      <c r="I23" s="44" t="n">
        <f aca="false">IF(AND(ISNUMBER(MATCH(A23,Sezoane!$C$6:$C$40,1)),A23&lt;=INDEX(Sezoane!$D$6:$D$40,MATCH(A23,Sezoane!$C$6:$C$40,1))),INDEX('Prețuri de setat'!$I$5:$I$39,MATCH(A23,Sezoane!$C$6:$C$40,1)),"")</f>
        <v>852</v>
      </c>
    </row>
    <row r="24" customFormat="false" ht="15" hidden="false" customHeight="false" outlineLevel="0" collapsed="false">
      <c r="A24" s="41" t="n">
        <f aca="false">$B$2+19</f>
        <v>46335</v>
      </c>
      <c r="B24" s="42" t="str">
        <f aca="false">CHOOSE(WEEKDAY(A24,2),"Lu","Ma","Mi","Jo","Vi","Sâ","Du")</f>
        <v>Lu</v>
      </c>
      <c r="C24" s="42" t="str">
        <f aca="false">IF(AND(ISNUMBER(MATCH(A24,Sezoane!$C$6:$C$40,1)),A24&lt;=INDEX(Sezoane!$D$6:$D$40,MATCH(A24,Sezoane!$C$6:$C$40,1))),INDEX(Sezoane!$A$6:$A$40,MATCH(A24,Sezoane!$C$6:$C$40,1)),"⚠ fără sezon")</f>
        <v>vara-toamna-2026</v>
      </c>
      <c r="D24" s="43" t="n">
        <f aca="false">IF(AND(ISNUMBER(MATCH(A24,Sezoane!$C$6:$C$40,1)),A24&lt;=INDEX(Sezoane!$D$6:$D$40,MATCH(A24,Sezoane!$C$6:$C$40,1))),INDEX(Sezoane!$F$6:$F$40,MATCH(A24,Sezoane!$C$6:$C$40,1)),"")</f>
        <v>2</v>
      </c>
      <c r="E24" s="44" t="n">
        <f aca="false">IF(AND(ISNUMBER(MATCH(A24,Sezoane!$C$6:$C$40,1)),A24&lt;=INDEX(Sezoane!$D$6:$D$40,MATCH(A24,Sezoane!$C$6:$C$40,1))),INDEX('Prețuri de setat'!$E$5:$E$39,MATCH(A24,Sezoane!$C$6:$C$40,1)),"")</f>
        <v>900</v>
      </c>
      <c r="F24" s="44" t="n">
        <f aca="false">IF(AND(ISNUMBER(MATCH(A24,Sezoane!$C$6:$C$40,1)),A24&lt;=INDEX(Sezoane!$D$6:$D$40,MATCH(A24,Sezoane!$C$6:$C$40,1))),INDEX('Prețuri de setat'!$F$5:$F$39,MATCH(A24,Sezoane!$C$6:$C$40,1)),"")</f>
        <v>1130</v>
      </c>
      <c r="G24" s="44" t="n">
        <f aca="false">IF(AND(ISNUMBER(MATCH(A24,Sezoane!$C$6:$C$40,1)),A24&lt;=INDEX(Sezoane!$D$6:$D$40,MATCH(A24,Sezoane!$C$6:$C$40,1))),INDEX('Prețuri de setat'!$G$5:$G$39,MATCH(A24,Sezoane!$C$6:$C$40,1)),"")</f>
        <v>920</v>
      </c>
      <c r="H24" s="44" t="n">
        <f aca="false">IF(AND(ISNUMBER(MATCH(A24,Sezoane!$C$6:$C$40,1)),A24&lt;=INDEX(Sezoane!$D$6:$D$40,MATCH(A24,Sezoane!$C$6:$C$40,1))),INDEX('Prețuri de setat'!$H$5:$H$39,MATCH(A24,Sezoane!$C$6:$C$40,1)),"")</f>
        <v>980</v>
      </c>
      <c r="I24" s="44" t="n">
        <f aca="false">IF(AND(ISNUMBER(MATCH(A24,Sezoane!$C$6:$C$40,1)),A24&lt;=INDEX(Sezoane!$D$6:$D$40,MATCH(A24,Sezoane!$C$6:$C$40,1))),INDEX('Prețuri de setat'!$I$5:$I$39,MATCH(A24,Sezoane!$C$6:$C$40,1)),"")</f>
        <v>852</v>
      </c>
    </row>
    <row r="25" customFormat="false" ht="15" hidden="false" customHeight="false" outlineLevel="0" collapsed="false">
      <c r="A25" s="41" t="n">
        <f aca="false">$B$2+20</f>
        <v>46336</v>
      </c>
      <c r="B25" s="42" t="str">
        <f aca="false">CHOOSE(WEEKDAY(A25,2),"Lu","Ma","Mi","Jo","Vi","Sâ","Du")</f>
        <v>Ma</v>
      </c>
      <c r="C25" s="42" t="str">
        <f aca="false">IF(AND(ISNUMBER(MATCH(A25,Sezoane!$C$6:$C$40,1)),A25&lt;=INDEX(Sezoane!$D$6:$D$40,MATCH(A25,Sezoane!$C$6:$C$40,1))),INDEX(Sezoane!$A$6:$A$40,MATCH(A25,Sezoane!$C$6:$C$40,1)),"⚠ fără sezon")</f>
        <v>vara-toamna-2026</v>
      </c>
      <c r="D25" s="43" t="n">
        <f aca="false">IF(AND(ISNUMBER(MATCH(A25,Sezoane!$C$6:$C$40,1)),A25&lt;=INDEX(Sezoane!$D$6:$D$40,MATCH(A25,Sezoane!$C$6:$C$40,1))),INDEX(Sezoane!$F$6:$F$40,MATCH(A25,Sezoane!$C$6:$C$40,1)),"")</f>
        <v>2</v>
      </c>
      <c r="E25" s="44" t="n">
        <f aca="false">IF(AND(ISNUMBER(MATCH(A25,Sezoane!$C$6:$C$40,1)),A25&lt;=INDEX(Sezoane!$D$6:$D$40,MATCH(A25,Sezoane!$C$6:$C$40,1))),INDEX('Prețuri de setat'!$E$5:$E$39,MATCH(A25,Sezoane!$C$6:$C$40,1)),"")</f>
        <v>900</v>
      </c>
      <c r="F25" s="44" t="n">
        <f aca="false">IF(AND(ISNUMBER(MATCH(A25,Sezoane!$C$6:$C$40,1)),A25&lt;=INDEX(Sezoane!$D$6:$D$40,MATCH(A25,Sezoane!$C$6:$C$40,1))),INDEX('Prețuri de setat'!$F$5:$F$39,MATCH(A25,Sezoane!$C$6:$C$40,1)),"")</f>
        <v>1130</v>
      </c>
      <c r="G25" s="44" t="n">
        <f aca="false">IF(AND(ISNUMBER(MATCH(A25,Sezoane!$C$6:$C$40,1)),A25&lt;=INDEX(Sezoane!$D$6:$D$40,MATCH(A25,Sezoane!$C$6:$C$40,1))),INDEX('Prețuri de setat'!$G$5:$G$39,MATCH(A25,Sezoane!$C$6:$C$40,1)),"")</f>
        <v>920</v>
      </c>
      <c r="H25" s="44" t="n">
        <f aca="false">IF(AND(ISNUMBER(MATCH(A25,Sezoane!$C$6:$C$40,1)),A25&lt;=INDEX(Sezoane!$D$6:$D$40,MATCH(A25,Sezoane!$C$6:$C$40,1))),INDEX('Prețuri de setat'!$H$5:$H$39,MATCH(A25,Sezoane!$C$6:$C$40,1)),"")</f>
        <v>980</v>
      </c>
      <c r="I25" s="44" t="n">
        <f aca="false">IF(AND(ISNUMBER(MATCH(A25,Sezoane!$C$6:$C$40,1)),A25&lt;=INDEX(Sezoane!$D$6:$D$40,MATCH(A25,Sezoane!$C$6:$C$40,1))),INDEX('Prețuri de setat'!$I$5:$I$39,MATCH(A25,Sezoane!$C$6:$C$40,1)),"")</f>
        <v>852</v>
      </c>
    </row>
    <row r="26" customFormat="false" ht="15" hidden="false" customHeight="false" outlineLevel="0" collapsed="false">
      <c r="A26" s="41" t="n">
        <f aca="false">$B$2+21</f>
        <v>46337</v>
      </c>
      <c r="B26" s="42" t="str">
        <f aca="false">CHOOSE(WEEKDAY(A26,2),"Lu","Ma","Mi","Jo","Vi","Sâ","Du")</f>
        <v>Mi</v>
      </c>
      <c r="C26" s="42" t="str">
        <f aca="false">IF(AND(ISNUMBER(MATCH(A26,Sezoane!$C$6:$C$40,1)),A26&lt;=INDEX(Sezoane!$D$6:$D$40,MATCH(A26,Sezoane!$C$6:$C$40,1))),INDEX(Sezoane!$A$6:$A$40,MATCH(A26,Sezoane!$C$6:$C$40,1)),"⚠ fără sezon")</f>
        <v>vara-toamna-2026</v>
      </c>
      <c r="D26" s="43" t="n">
        <f aca="false">IF(AND(ISNUMBER(MATCH(A26,Sezoane!$C$6:$C$40,1)),A26&lt;=INDEX(Sezoane!$D$6:$D$40,MATCH(A26,Sezoane!$C$6:$C$40,1))),INDEX(Sezoane!$F$6:$F$40,MATCH(A26,Sezoane!$C$6:$C$40,1)),"")</f>
        <v>2</v>
      </c>
      <c r="E26" s="44" t="n">
        <f aca="false">IF(AND(ISNUMBER(MATCH(A26,Sezoane!$C$6:$C$40,1)),A26&lt;=INDEX(Sezoane!$D$6:$D$40,MATCH(A26,Sezoane!$C$6:$C$40,1))),INDEX('Prețuri de setat'!$E$5:$E$39,MATCH(A26,Sezoane!$C$6:$C$40,1)),"")</f>
        <v>900</v>
      </c>
      <c r="F26" s="44" t="n">
        <f aca="false">IF(AND(ISNUMBER(MATCH(A26,Sezoane!$C$6:$C$40,1)),A26&lt;=INDEX(Sezoane!$D$6:$D$40,MATCH(A26,Sezoane!$C$6:$C$40,1))),INDEX('Prețuri de setat'!$F$5:$F$39,MATCH(A26,Sezoane!$C$6:$C$40,1)),"")</f>
        <v>1130</v>
      </c>
      <c r="G26" s="44" t="n">
        <f aca="false">IF(AND(ISNUMBER(MATCH(A26,Sezoane!$C$6:$C$40,1)),A26&lt;=INDEX(Sezoane!$D$6:$D$40,MATCH(A26,Sezoane!$C$6:$C$40,1))),INDEX('Prețuri de setat'!$G$5:$G$39,MATCH(A26,Sezoane!$C$6:$C$40,1)),"")</f>
        <v>920</v>
      </c>
      <c r="H26" s="44" t="n">
        <f aca="false">IF(AND(ISNUMBER(MATCH(A26,Sezoane!$C$6:$C$40,1)),A26&lt;=INDEX(Sezoane!$D$6:$D$40,MATCH(A26,Sezoane!$C$6:$C$40,1))),INDEX('Prețuri de setat'!$H$5:$H$39,MATCH(A26,Sezoane!$C$6:$C$40,1)),"")</f>
        <v>980</v>
      </c>
      <c r="I26" s="44" t="n">
        <f aca="false">IF(AND(ISNUMBER(MATCH(A26,Sezoane!$C$6:$C$40,1)),A26&lt;=INDEX(Sezoane!$D$6:$D$40,MATCH(A26,Sezoane!$C$6:$C$40,1))),INDEX('Prețuri de setat'!$I$5:$I$39,MATCH(A26,Sezoane!$C$6:$C$40,1)),"")</f>
        <v>852</v>
      </c>
    </row>
    <row r="27" customFormat="false" ht="15" hidden="false" customHeight="false" outlineLevel="0" collapsed="false">
      <c r="A27" s="41" t="n">
        <f aca="false">$B$2+22</f>
        <v>46338</v>
      </c>
      <c r="B27" s="42" t="str">
        <f aca="false">CHOOSE(WEEKDAY(A27,2),"Lu","Ma","Mi","Jo","Vi","Sâ","Du")</f>
        <v>Jo</v>
      </c>
      <c r="C27" s="42" t="str">
        <f aca="false">IF(AND(ISNUMBER(MATCH(A27,Sezoane!$C$6:$C$40,1)),A27&lt;=INDEX(Sezoane!$D$6:$D$40,MATCH(A27,Sezoane!$C$6:$C$40,1))),INDEX(Sezoane!$A$6:$A$40,MATCH(A27,Sezoane!$C$6:$C$40,1)),"⚠ fără sezon")</f>
        <v>vara-toamna-2026</v>
      </c>
      <c r="D27" s="43" t="n">
        <f aca="false">IF(AND(ISNUMBER(MATCH(A27,Sezoane!$C$6:$C$40,1)),A27&lt;=INDEX(Sezoane!$D$6:$D$40,MATCH(A27,Sezoane!$C$6:$C$40,1))),INDEX(Sezoane!$F$6:$F$40,MATCH(A27,Sezoane!$C$6:$C$40,1)),"")</f>
        <v>2</v>
      </c>
      <c r="E27" s="44" t="n">
        <f aca="false">IF(AND(ISNUMBER(MATCH(A27,Sezoane!$C$6:$C$40,1)),A27&lt;=INDEX(Sezoane!$D$6:$D$40,MATCH(A27,Sezoane!$C$6:$C$40,1))),INDEX('Prețuri de setat'!$E$5:$E$39,MATCH(A27,Sezoane!$C$6:$C$40,1)),"")</f>
        <v>900</v>
      </c>
      <c r="F27" s="44" t="n">
        <f aca="false">IF(AND(ISNUMBER(MATCH(A27,Sezoane!$C$6:$C$40,1)),A27&lt;=INDEX(Sezoane!$D$6:$D$40,MATCH(A27,Sezoane!$C$6:$C$40,1))),INDEX('Prețuri de setat'!$F$5:$F$39,MATCH(A27,Sezoane!$C$6:$C$40,1)),"")</f>
        <v>1130</v>
      </c>
      <c r="G27" s="44" t="n">
        <f aca="false">IF(AND(ISNUMBER(MATCH(A27,Sezoane!$C$6:$C$40,1)),A27&lt;=INDEX(Sezoane!$D$6:$D$40,MATCH(A27,Sezoane!$C$6:$C$40,1))),INDEX('Prețuri de setat'!$G$5:$G$39,MATCH(A27,Sezoane!$C$6:$C$40,1)),"")</f>
        <v>920</v>
      </c>
      <c r="H27" s="44" t="n">
        <f aca="false">IF(AND(ISNUMBER(MATCH(A27,Sezoane!$C$6:$C$40,1)),A27&lt;=INDEX(Sezoane!$D$6:$D$40,MATCH(A27,Sezoane!$C$6:$C$40,1))),INDEX('Prețuri de setat'!$H$5:$H$39,MATCH(A27,Sezoane!$C$6:$C$40,1)),"")</f>
        <v>980</v>
      </c>
      <c r="I27" s="44" t="n">
        <f aca="false">IF(AND(ISNUMBER(MATCH(A27,Sezoane!$C$6:$C$40,1)),A27&lt;=INDEX(Sezoane!$D$6:$D$40,MATCH(A27,Sezoane!$C$6:$C$40,1))),INDEX('Prețuri de setat'!$I$5:$I$39,MATCH(A27,Sezoane!$C$6:$C$40,1)),"")</f>
        <v>852</v>
      </c>
    </row>
    <row r="28" customFormat="false" ht="15" hidden="false" customHeight="false" outlineLevel="0" collapsed="false">
      <c r="A28" s="41" t="n">
        <f aca="false">$B$2+23</f>
        <v>46339</v>
      </c>
      <c r="B28" s="42" t="str">
        <f aca="false">CHOOSE(WEEKDAY(A28,2),"Lu","Ma","Mi","Jo","Vi","Sâ","Du")</f>
        <v>Vi</v>
      </c>
      <c r="C28" s="42" t="str">
        <f aca="false">IF(AND(ISNUMBER(MATCH(A28,Sezoane!$C$6:$C$40,1)),A28&lt;=INDEX(Sezoane!$D$6:$D$40,MATCH(A28,Sezoane!$C$6:$C$40,1))),INDEX(Sezoane!$A$6:$A$40,MATCH(A28,Sezoane!$C$6:$C$40,1)),"⚠ fără sezon")</f>
        <v>vara-toamna-2026</v>
      </c>
      <c r="D28" s="43" t="n">
        <f aca="false">IF(AND(ISNUMBER(MATCH(A28,Sezoane!$C$6:$C$40,1)),A28&lt;=INDEX(Sezoane!$D$6:$D$40,MATCH(A28,Sezoane!$C$6:$C$40,1))),INDEX(Sezoane!$F$6:$F$40,MATCH(A28,Sezoane!$C$6:$C$40,1)),"")</f>
        <v>2</v>
      </c>
      <c r="E28" s="44" t="n">
        <f aca="false">IF(AND(ISNUMBER(MATCH(A28,Sezoane!$C$6:$C$40,1)),A28&lt;=INDEX(Sezoane!$D$6:$D$40,MATCH(A28,Sezoane!$C$6:$C$40,1))),INDEX('Prețuri de setat'!$E$5:$E$39,MATCH(A28,Sezoane!$C$6:$C$40,1)),"")</f>
        <v>900</v>
      </c>
      <c r="F28" s="44" t="n">
        <f aca="false">IF(AND(ISNUMBER(MATCH(A28,Sezoane!$C$6:$C$40,1)),A28&lt;=INDEX(Sezoane!$D$6:$D$40,MATCH(A28,Sezoane!$C$6:$C$40,1))),INDEX('Prețuri de setat'!$F$5:$F$39,MATCH(A28,Sezoane!$C$6:$C$40,1)),"")</f>
        <v>1130</v>
      </c>
      <c r="G28" s="44" t="n">
        <f aca="false">IF(AND(ISNUMBER(MATCH(A28,Sezoane!$C$6:$C$40,1)),A28&lt;=INDEX(Sezoane!$D$6:$D$40,MATCH(A28,Sezoane!$C$6:$C$40,1))),INDEX('Prețuri de setat'!$G$5:$G$39,MATCH(A28,Sezoane!$C$6:$C$40,1)),"")</f>
        <v>920</v>
      </c>
      <c r="H28" s="44" t="n">
        <f aca="false">IF(AND(ISNUMBER(MATCH(A28,Sezoane!$C$6:$C$40,1)),A28&lt;=INDEX(Sezoane!$D$6:$D$40,MATCH(A28,Sezoane!$C$6:$C$40,1))),INDEX('Prețuri de setat'!$H$5:$H$39,MATCH(A28,Sezoane!$C$6:$C$40,1)),"")</f>
        <v>980</v>
      </c>
      <c r="I28" s="44" t="n">
        <f aca="false">IF(AND(ISNUMBER(MATCH(A28,Sezoane!$C$6:$C$40,1)),A28&lt;=INDEX(Sezoane!$D$6:$D$40,MATCH(A28,Sezoane!$C$6:$C$40,1))),INDEX('Prețuri de setat'!$I$5:$I$39,MATCH(A28,Sezoane!$C$6:$C$40,1)),"")</f>
        <v>852</v>
      </c>
    </row>
    <row r="29" customFormat="false" ht="15" hidden="false" customHeight="false" outlineLevel="0" collapsed="false">
      <c r="A29" s="41" t="n">
        <f aca="false">$B$2+24</f>
        <v>46340</v>
      </c>
      <c r="B29" s="42" t="str">
        <f aca="false">CHOOSE(WEEKDAY(A29,2),"Lu","Ma","Mi","Jo","Vi","Sâ","Du")</f>
        <v>Sâ</v>
      </c>
      <c r="C29" s="42" t="str">
        <f aca="false">IF(AND(ISNUMBER(MATCH(A29,Sezoane!$C$6:$C$40,1)),A29&lt;=INDEX(Sezoane!$D$6:$D$40,MATCH(A29,Sezoane!$C$6:$C$40,1))),INDEX(Sezoane!$A$6:$A$40,MATCH(A29,Sezoane!$C$6:$C$40,1)),"⚠ fără sezon")</f>
        <v>vara-toamna-2026</v>
      </c>
      <c r="D29" s="43" t="n">
        <f aca="false">IF(AND(ISNUMBER(MATCH(A29,Sezoane!$C$6:$C$40,1)),A29&lt;=INDEX(Sezoane!$D$6:$D$40,MATCH(A29,Sezoane!$C$6:$C$40,1))),INDEX(Sezoane!$F$6:$F$40,MATCH(A29,Sezoane!$C$6:$C$40,1)),"")</f>
        <v>2</v>
      </c>
      <c r="E29" s="44" t="n">
        <f aca="false">IF(AND(ISNUMBER(MATCH(A29,Sezoane!$C$6:$C$40,1)),A29&lt;=INDEX(Sezoane!$D$6:$D$40,MATCH(A29,Sezoane!$C$6:$C$40,1))),INDEX('Prețuri de setat'!$E$5:$E$39,MATCH(A29,Sezoane!$C$6:$C$40,1)),"")</f>
        <v>900</v>
      </c>
      <c r="F29" s="44" t="n">
        <f aca="false">IF(AND(ISNUMBER(MATCH(A29,Sezoane!$C$6:$C$40,1)),A29&lt;=INDEX(Sezoane!$D$6:$D$40,MATCH(A29,Sezoane!$C$6:$C$40,1))),INDEX('Prețuri de setat'!$F$5:$F$39,MATCH(A29,Sezoane!$C$6:$C$40,1)),"")</f>
        <v>1130</v>
      </c>
      <c r="G29" s="44" t="n">
        <f aca="false">IF(AND(ISNUMBER(MATCH(A29,Sezoane!$C$6:$C$40,1)),A29&lt;=INDEX(Sezoane!$D$6:$D$40,MATCH(A29,Sezoane!$C$6:$C$40,1))),INDEX('Prețuri de setat'!$G$5:$G$39,MATCH(A29,Sezoane!$C$6:$C$40,1)),"")</f>
        <v>920</v>
      </c>
      <c r="H29" s="44" t="n">
        <f aca="false">IF(AND(ISNUMBER(MATCH(A29,Sezoane!$C$6:$C$40,1)),A29&lt;=INDEX(Sezoane!$D$6:$D$40,MATCH(A29,Sezoane!$C$6:$C$40,1))),INDEX('Prețuri de setat'!$H$5:$H$39,MATCH(A29,Sezoane!$C$6:$C$40,1)),"")</f>
        <v>980</v>
      </c>
      <c r="I29" s="44" t="n">
        <f aca="false">IF(AND(ISNUMBER(MATCH(A29,Sezoane!$C$6:$C$40,1)),A29&lt;=INDEX(Sezoane!$D$6:$D$40,MATCH(A29,Sezoane!$C$6:$C$40,1))),INDEX('Prețuri de setat'!$I$5:$I$39,MATCH(A29,Sezoane!$C$6:$C$40,1)),"")</f>
        <v>852</v>
      </c>
    </row>
    <row r="30" customFormat="false" ht="15" hidden="false" customHeight="false" outlineLevel="0" collapsed="false">
      <c r="A30" s="41" t="n">
        <f aca="false">$B$2+25</f>
        <v>46341</v>
      </c>
      <c r="B30" s="42" t="str">
        <f aca="false">CHOOSE(WEEKDAY(A30,2),"Lu","Ma","Mi","Jo","Vi","Sâ","Du")</f>
        <v>Du</v>
      </c>
      <c r="C30" s="42" t="str">
        <f aca="false">IF(AND(ISNUMBER(MATCH(A30,Sezoane!$C$6:$C$40,1)),A30&lt;=INDEX(Sezoane!$D$6:$D$40,MATCH(A30,Sezoane!$C$6:$C$40,1))),INDEX(Sezoane!$A$6:$A$40,MATCH(A30,Sezoane!$C$6:$C$40,1)),"⚠ fără sezon")</f>
        <v>vara-toamna-2026</v>
      </c>
      <c r="D30" s="43" t="n">
        <f aca="false">IF(AND(ISNUMBER(MATCH(A30,Sezoane!$C$6:$C$40,1)),A30&lt;=INDEX(Sezoane!$D$6:$D$40,MATCH(A30,Sezoane!$C$6:$C$40,1))),INDEX(Sezoane!$F$6:$F$40,MATCH(A30,Sezoane!$C$6:$C$40,1)),"")</f>
        <v>2</v>
      </c>
      <c r="E30" s="44" t="n">
        <f aca="false">IF(AND(ISNUMBER(MATCH(A30,Sezoane!$C$6:$C$40,1)),A30&lt;=INDEX(Sezoane!$D$6:$D$40,MATCH(A30,Sezoane!$C$6:$C$40,1))),INDEX('Prețuri de setat'!$E$5:$E$39,MATCH(A30,Sezoane!$C$6:$C$40,1)),"")</f>
        <v>900</v>
      </c>
      <c r="F30" s="44" t="n">
        <f aca="false">IF(AND(ISNUMBER(MATCH(A30,Sezoane!$C$6:$C$40,1)),A30&lt;=INDEX(Sezoane!$D$6:$D$40,MATCH(A30,Sezoane!$C$6:$C$40,1))),INDEX('Prețuri de setat'!$F$5:$F$39,MATCH(A30,Sezoane!$C$6:$C$40,1)),"")</f>
        <v>1130</v>
      </c>
      <c r="G30" s="44" t="n">
        <f aca="false">IF(AND(ISNUMBER(MATCH(A30,Sezoane!$C$6:$C$40,1)),A30&lt;=INDEX(Sezoane!$D$6:$D$40,MATCH(A30,Sezoane!$C$6:$C$40,1))),INDEX('Prețuri de setat'!$G$5:$G$39,MATCH(A30,Sezoane!$C$6:$C$40,1)),"")</f>
        <v>920</v>
      </c>
      <c r="H30" s="44" t="n">
        <f aca="false">IF(AND(ISNUMBER(MATCH(A30,Sezoane!$C$6:$C$40,1)),A30&lt;=INDEX(Sezoane!$D$6:$D$40,MATCH(A30,Sezoane!$C$6:$C$40,1))),INDEX('Prețuri de setat'!$H$5:$H$39,MATCH(A30,Sezoane!$C$6:$C$40,1)),"")</f>
        <v>980</v>
      </c>
      <c r="I30" s="44" t="n">
        <f aca="false">IF(AND(ISNUMBER(MATCH(A30,Sezoane!$C$6:$C$40,1)),A30&lt;=INDEX(Sezoane!$D$6:$D$40,MATCH(A30,Sezoane!$C$6:$C$40,1))),INDEX('Prețuri de setat'!$I$5:$I$39,MATCH(A30,Sezoane!$C$6:$C$40,1)),"")</f>
        <v>852</v>
      </c>
    </row>
    <row r="31" customFormat="false" ht="15" hidden="false" customHeight="false" outlineLevel="0" collapsed="false">
      <c r="A31" s="41" t="n">
        <f aca="false">$B$2+26</f>
        <v>46342</v>
      </c>
      <c r="B31" s="42" t="str">
        <f aca="false">CHOOSE(WEEKDAY(A31,2),"Lu","Ma","Mi","Jo","Vi","Sâ","Du")</f>
        <v>Lu</v>
      </c>
      <c r="C31" s="42" t="str">
        <f aca="false">IF(AND(ISNUMBER(MATCH(A31,Sezoane!$C$6:$C$40,1)),A31&lt;=INDEX(Sezoane!$D$6:$D$40,MATCH(A31,Sezoane!$C$6:$C$40,1))),INDEX(Sezoane!$A$6:$A$40,MATCH(A31,Sezoane!$C$6:$C$40,1)),"⚠ fără sezon")</f>
        <v>vara-toamna-2026</v>
      </c>
      <c r="D31" s="43" t="n">
        <f aca="false">IF(AND(ISNUMBER(MATCH(A31,Sezoane!$C$6:$C$40,1)),A31&lt;=INDEX(Sezoane!$D$6:$D$40,MATCH(A31,Sezoane!$C$6:$C$40,1))),INDEX(Sezoane!$F$6:$F$40,MATCH(A31,Sezoane!$C$6:$C$40,1)),"")</f>
        <v>2</v>
      </c>
      <c r="E31" s="44" t="n">
        <f aca="false">IF(AND(ISNUMBER(MATCH(A31,Sezoane!$C$6:$C$40,1)),A31&lt;=INDEX(Sezoane!$D$6:$D$40,MATCH(A31,Sezoane!$C$6:$C$40,1))),INDEX('Prețuri de setat'!$E$5:$E$39,MATCH(A31,Sezoane!$C$6:$C$40,1)),"")</f>
        <v>900</v>
      </c>
      <c r="F31" s="44" t="n">
        <f aca="false">IF(AND(ISNUMBER(MATCH(A31,Sezoane!$C$6:$C$40,1)),A31&lt;=INDEX(Sezoane!$D$6:$D$40,MATCH(A31,Sezoane!$C$6:$C$40,1))),INDEX('Prețuri de setat'!$F$5:$F$39,MATCH(A31,Sezoane!$C$6:$C$40,1)),"")</f>
        <v>1130</v>
      </c>
      <c r="G31" s="44" t="n">
        <f aca="false">IF(AND(ISNUMBER(MATCH(A31,Sezoane!$C$6:$C$40,1)),A31&lt;=INDEX(Sezoane!$D$6:$D$40,MATCH(A31,Sezoane!$C$6:$C$40,1))),INDEX('Prețuri de setat'!$G$5:$G$39,MATCH(A31,Sezoane!$C$6:$C$40,1)),"")</f>
        <v>920</v>
      </c>
      <c r="H31" s="44" t="n">
        <f aca="false">IF(AND(ISNUMBER(MATCH(A31,Sezoane!$C$6:$C$40,1)),A31&lt;=INDEX(Sezoane!$D$6:$D$40,MATCH(A31,Sezoane!$C$6:$C$40,1))),INDEX('Prețuri de setat'!$H$5:$H$39,MATCH(A31,Sezoane!$C$6:$C$40,1)),"")</f>
        <v>980</v>
      </c>
      <c r="I31" s="44" t="n">
        <f aca="false">IF(AND(ISNUMBER(MATCH(A31,Sezoane!$C$6:$C$40,1)),A31&lt;=INDEX(Sezoane!$D$6:$D$40,MATCH(A31,Sezoane!$C$6:$C$40,1))),INDEX('Prețuri de setat'!$I$5:$I$39,MATCH(A31,Sezoane!$C$6:$C$40,1)),"")</f>
        <v>852</v>
      </c>
    </row>
    <row r="32" customFormat="false" ht="15" hidden="false" customHeight="false" outlineLevel="0" collapsed="false">
      <c r="A32" s="41" t="n">
        <f aca="false">$B$2+27</f>
        <v>46343</v>
      </c>
      <c r="B32" s="42" t="str">
        <f aca="false">CHOOSE(WEEKDAY(A32,2),"Lu","Ma","Mi","Jo","Vi","Sâ","Du")</f>
        <v>Ma</v>
      </c>
      <c r="C32" s="42" t="str">
        <f aca="false">IF(AND(ISNUMBER(MATCH(A32,Sezoane!$C$6:$C$40,1)),A32&lt;=INDEX(Sezoane!$D$6:$D$40,MATCH(A32,Sezoane!$C$6:$C$40,1))),INDEX(Sezoane!$A$6:$A$40,MATCH(A32,Sezoane!$C$6:$C$40,1)),"⚠ fără sezon")</f>
        <v>vara-toamna-2026</v>
      </c>
      <c r="D32" s="43" t="n">
        <f aca="false">IF(AND(ISNUMBER(MATCH(A32,Sezoane!$C$6:$C$40,1)),A32&lt;=INDEX(Sezoane!$D$6:$D$40,MATCH(A32,Sezoane!$C$6:$C$40,1))),INDEX(Sezoane!$F$6:$F$40,MATCH(A32,Sezoane!$C$6:$C$40,1)),"")</f>
        <v>2</v>
      </c>
      <c r="E32" s="44" t="n">
        <f aca="false">IF(AND(ISNUMBER(MATCH(A32,Sezoane!$C$6:$C$40,1)),A32&lt;=INDEX(Sezoane!$D$6:$D$40,MATCH(A32,Sezoane!$C$6:$C$40,1))),INDEX('Prețuri de setat'!$E$5:$E$39,MATCH(A32,Sezoane!$C$6:$C$40,1)),"")</f>
        <v>900</v>
      </c>
      <c r="F32" s="44" t="n">
        <f aca="false">IF(AND(ISNUMBER(MATCH(A32,Sezoane!$C$6:$C$40,1)),A32&lt;=INDEX(Sezoane!$D$6:$D$40,MATCH(A32,Sezoane!$C$6:$C$40,1))),INDEX('Prețuri de setat'!$F$5:$F$39,MATCH(A32,Sezoane!$C$6:$C$40,1)),"")</f>
        <v>1130</v>
      </c>
      <c r="G32" s="44" t="n">
        <f aca="false">IF(AND(ISNUMBER(MATCH(A32,Sezoane!$C$6:$C$40,1)),A32&lt;=INDEX(Sezoane!$D$6:$D$40,MATCH(A32,Sezoane!$C$6:$C$40,1))),INDEX('Prețuri de setat'!$G$5:$G$39,MATCH(A32,Sezoane!$C$6:$C$40,1)),"")</f>
        <v>920</v>
      </c>
      <c r="H32" s="44" t="n">
        <f aca="false">IF(AND(ISNUMBER(MATCH(A32,Sezoane!$C$6:$C$40,1)),A32&lt;=INDEX(Sezoane!$D$6:$D$40,MATCH(A32,Sezoane!$C$6:$C$40,1))),INDEX('Prețuri de setat'!$H$5:$H$39,MATCH(A32,Sezoane!$C$6:$C$40,1)),"")</f>
        <v>980</v>
      </c>
      <c r="I32" s="44" t="n">
        <f aca="false">IF(AND(ISNUMBER(MATCH(A32,Sezoane!$C$6:$C$40,1)),A32&lt;=INDEX(Sezoane!$D$6:$D$40,MATCH(A32,Sezoane!$C$6:$C$40,1))),INDEX('Prețuri de setat'!$I$5:$I$39,MATCH(A32,Sezoane!$C$6:$C$40,1)),"")</f>
        <v>852</v>
      </c>
    </row>
    <row r="33" customFormat="false" ht="15" hidden="false" customHeight="false" outlineLevel="0" collapsed="false">
      <c r="A33" s="41" t="n">
        <f aca="false">$B$2+28</f>
        <v>46344</v>
      </c>
      <c r="B33" s="42" t="str">
        <f aca="false">CHOOSE(WEEKDAY(A33,2),"Lu","Ma","Mi","Jo","Vi","Sâ","Du")</f>
        <v>Mi</v>
      </c>
      <c r="C33" s="42" t="str">
        <f aca="false">IF(AND(ISNUMBER(MATCH(A33,Sezoane!$C$6:$C$40,1)),A33&lt;=INDEX(Sezoane!$D$6:$D$40,MATCH(A33,Sezoane!$C$6:$C$40,1))),INDEX(Sezoane!$A$6:$A$40,MATCH(A33,Sezoane!$C$6:$C$40,1)),"⚠ fără sezon")</f>
        <v>vara-toamna-2026</v>
      </c>
      <c r="D33" s="43" t="n">
        <f aca="false">IF(AND(ISNUMBER(MATCH(A33,Sezoane!$C$6:$C$40,1)),A33&lt;=INDEX(Sezoane!$D$6:$D$40,MATCH(A33,Sezoane!$C$6:$C$40,1))),INDEX(Sezoane!$F$6:$F$40,MATCH(A33,Sezoane!$C$6:$C$40,1)),"")</f>
        <v>2</v>
      </c>
      <c r="E33" s="44" t="n">
        <f aca="false">IF(AND(ISNUMBER(MATCH(A33,Sezoane!$C$6:$C$40,1)),A33&lt;=INDEX(Sezoane!$D$6:$D$40,MATCH(A33,Sezoane!$C$6:$C$40,1))),INDEX('Prețuri de setat'!$E$5:$E$39,MATCH(A33,Sezoane!$C$6:$C$40,1)),"")</f>
        <v>900</v>
      </c>
      <c r="F33" s="44" t="n">
        <f aca="false">IF(AND(ISNUMBER(MATCH(A33,Sezoane!$C$6:$C$40,1)),A33&lt;=INDEX(Sezoane!$D$6:$D$40,MATCH(A33,Sezoane!$C$6:$C$40,1))),INDEX('Prețuri de setat'!$F$5:$F$39,MATCH(A33,Sezoane!$C$6:$C$40,1)),"")</f>
        <v>1130</v>
      </c>
      <c r="G33" s="44" t="n">
        <f aca="false">IF(AND(ISNUMBER(MATCH(A33,Sezoane!$C$6:$C$40,1)),A33&lt;=INDEX(Sezoane!$D$6:$D$40,MATCH(A33,Sezoane!$C$6:$C$40,1))),INDEX('Prețuri de setat'!$G$5:$G$39,MATCH(A33,Sezoane!$C$6:$C$40,1)),"")</f>
        <v>920</v>
      </c>
      <c r="H33" s="44" t="n">
        <f aca="false">IF(AND(ISNUMBER(MATCH(A33,Sezoane!$C$6:$C$40,1)),A33&lt;=INDEX(Sezoane!$D$6:$D$40,MATCH(A33,Sezoane!$C$6:$C$40,1))),INDEX('Prețuri de setat'!$H$5:$H$39,MATCH(A33,Sezoane!$C$6:$C$40,1)),"")</f>
        <v>980</v>
      </c>
      <c r="I33" s="44" t="n">
        <f aca="false">IF(AND(ISNUMBER(MATCH(A33,Sezoane!$C$6:$C$40,1)),A33&lt;=INDEX(Sezoane!$D$6:$D$40,MATCH(A33,Sezoane!$C$6:$C$40,1))),INDEX('Prețuri de setat'!$I$5:$I$39,MATCH(A33,Sezoane!$C$6:$C$40,1)),"")</f>
        <v>852</v>
      </c>
    </row>
    <row r="34" customFormat="false" ht="15" hidden="false" customHeight="false" outlineLevel="0" collapsed="false">
      <c r="A34" s="41" t="n">
        <f aca="false">$B$2+29</f>
        <v>46345</v>
      </c>
      <c r="B34" s="42" t="str">
        <f aca="false">CHOOSE(WEEKDAY(A34,2),"Lu","Ma","Mi","Jo","Vi","Sâ","Du")</f>
        <v>Jo</v>
      </c>
      <c r="C34" s="42" t="str">
        <f aca="false">IF(AND(ISNUMBER(MATCH(A34,Sezoane!$C$6:$C$40,1)),A34&lt;=INDEX(Sezoane!$D$6:$D$40,MATCH(A34,Sezoane!$C$6:$C$40,1))),INDEX(Sezoane!$A$6:$A$40,MATCH(A34,Sezoane!$C$6:$C$40,1)),"⚠ fără sezon")</f>
        <v>vara-toamna-2026</v>
      </c>
      <c r="D34" s="43" t="n">
        <f aca="false">IF(AND(ISNUMBER(MATCH(A34,Sezoane!$C$6:$C$40,1)),A34&lt;=INDEX(Sezoane!$D$6:$D$40,MATCH(A34,Sezoane!$C$6:$C$40,1))),INDEX(Sezoane!$F$6:$F$40,MATCH(A34,Sezoane!$C$6:$C$40,1)),"")</f>
        <v>2</v>
      </c>
      <c r="E34" s="44" t="n">
        <f aca="false">IF(AND(ISNUMBER(MATCH(A34,Sezoane!$C$6:$C$40,1)),A34&lt;=INDEX(Sezoane!$D$6:$D$40,MATCH(A34,Sezoane!$C$6:$C$40,1))),INDEX('Prețuri de setat'!$E$5:$E$39,MATCH(A34,Sezoane!$C$6:$C$40,1)),"")</f>
        <v>900</v>
      </c>
      <c r="F34" s="44" t="n">
        <f aca="false">IF(AND(ISNUMBER(MATCH(A34,Sezoane!$C$6:$C$40,1)),A34&lt;=INDEX(Sezoane!$D$6:$D$40,MATCH(A34,Sezoane!$C$6:$C$40,1))),INDEX('Prețuri de setat'!$F$5:$F$39,MATCH(A34,Sezoane!$C$6:$C$40,1)),"")</f>
        <v>1130</v>
      </c>
      <c r="G34" s="44" t="n">
        <f aca="false">IF(AND(ISNUMBER(MATCH(A34,Sezoane!$C$6:$C$40,1)),A34&lt;=INDEX(Sezoane!$D$6:$D$40,MATCH(A34,Sezoane!$C$6:$C$40,1))),INDEX('Prețuri de setat'!$G$5:$G$39,MATCH(A34,Sezoane!$C$6:$C$40,1)),"")</f>
        <v>920</v>
      </c>
      <c r="H34" s="44" t="n">
        <f aca="false">IF(AND(ISNUMBER(MATCH(A34,Sezoane!$C$6:$C$40,1)),A34&lt;=INDEX(Sezoane!$D$6:$D$40,MATCH(A34,Sezoane!$C$6:$C$40,1))),INDEX('Prețuri de setat'!$H$5:$H$39,MATCH(A34,Sezoane!$C$6:$C$40,1)),"")</f>
        <v>980</v>
      </c>
      <c r="I34" s="44" t="n">
        <f aca="false">IF(AND(ISNUMBER(MATCH(A34,Sezoane!$C$6:$C$40,1)),A34&lt;=INDEX(Sezoane!$D$6:$D$40,MATCH(A34,Sezoane!$C$6:$C$40,1))),INDEX('Prețuri de setat'!$I$5:$I$39,MATCH(A34,Sezoane!$C$6:$C$40,1)),"")</f>
        <v>852</v>
      </c>
    </row>
    <row r="35" customFormat="false" ht="15" hidden="false" customHeight="false" outlineLevel="0" collapsed="false">
      <c r="A35" s="41" t="n">
        <f aca="false">$B$2+30</f>
        <v>46346</v>
      </c>
      <c r="B35" s="42" t="str">
        <f aca="false">CHOOSE(WEEKDAY(A35,2),"Lu","Ma","Mi","Jo","Vi","Sâ","Du")</f>
        <v>Vi</v>
      </c>
      <c r="C35" s="42" t="str">
        <f aca="false">IF(AND(ISNUMBER(MATCH(A35,Sezoane!$C$6:$C$40,1)),A35&lt;=INDEX(Sezoane!$D$6:$D$40,MATCH(A35,Sezoane!$C$6:$C$40,1))),INDEX(Sezoane!$A$6:$A$40,MATCH(A35,Sezoane!$C$6:$C$40,1)),"⚠ fără sezon")</f>
        <v>vara-toamna-2026</v>
      </c>
      <c r="D35" s="43" t="n">
        <f aca="false">IF(AND(ISNUMBER(MATCH(A35,Sezoane!$C$6:$C$40,1)),A35&lt;=INDEX(Sezoane!$D$6:$D$40,MATCH(A35,Sezoane!$C$6:$C$40,1))),INDEX(Sezoane!$F$6:$F$40,MATCH(A35,Sezoane!$C$6:$C$40,1)),"")</f>
        <v>2</v>
      </c>
      <c r="E35" s="44" t="n">
        <f aca="false">IF(AND(ISNUMBER(MATCH(A35,Sezoane!$C$6:$C$40,1)),A35&lt;=INDEX(Sezoane!$D$6:$D$40,MATCH(A35,Sezoane!$C$6:$C$40,1))),INDEX('Prețuri de setat'!$E$5:$E$39,MATCH(A35,Sezoane!$C$6:$C$40,1)),"")</f>
        <v>900</v>
      </c>
      <c r="F35" s="44" t="n">
        <f aca="false">IF(AND(ISNUMBER(MATCH(A35,Sezoane!$C$6:$C$40,1)),A35&lt;=INDEX(Sezoane!$D$6:$D$40,MATCH(A35,Sezoane!$C$6:$C$40,1))),INDEX('Prețuri de setat'!$F$5:$F$39,MATCH(A35,Sezoane!$C$6:$C$40,1)),"")</f>
        <v>1130</v>
      </c>
      <c r="G35" s="44" t="n">
        <f aca="false">IF(AND(ISNUMBER(MATCH(A35,Sezoane!$C$6:$C$40,1)),A35&lt;=INDEX(Sezoane!$D$6:$D$40,MATCH(A35,Sezoane!$C$6:$C$40,1))),INDEX('Prețuri de setat'!$G$5:$G$39,MATCH(A35,Sezoane!$C$6:$C$40,1)),"")</f>
        <v>920</v>
      </c>
      <c r="H35" s="44" t="n">
        <f aca="false">IF(AND(ISNUMBER(MATCH(A35,Sezoane!$C$6:$C$40,1)),A35&lt;=INDEX(Sezoane!$D$6:$D$40,MATCH(A35,Sezoane!$C$6:$C$40,1))),INDEX('Prețuri de setat'!$H$5:$H$39,MATCH(A35,Sezoane!$C$6:$C$40,1)),"")</f>
        <v>980</v>
      </c>
      <c r="I35" s="44" t="n">
        <f aca="false">IF(AND(ISNUMBER(MATCH(A35,Sezoane!$C$6:$C$40,1)),A35&lt;=INDEX(Sezoane!$D$6:$D$40,MATCH(A35,Sezoane!$C$6:$C$40,1))),INDEX('Prețuri de setat'!$I$5:$I$39,MATCH(A35,Sezoane!$C$6:$C$40,1)),"")</f>
        <v>852</v>
      </c>
    </row>
    <row r="36" customFormat="false" ht="15" hidden="false" customHeight="false" outlineLevel="0" collapsed="false">
      <c r="A36" s="41" t="n">
        <f aca="false">$B$2+31</f>
        <v>46347</v>
      </c>
      <c r="B36" s="42" t="str">
        <f aca="false">CHOOSE(WEEKDAY(A36,2),"Lu","Ma","Mi","Jo","Vi","Sâ","Du")</f>
        <v>Sâ</v>
      </c>
      <c r="C36" s="42" t="str">
        <f aca="false">IF(AND(ISNUMBER(MATCH(A36,Sezoane!$C$6:$C$40,1)),A36&lt;=INDEX(Sezoane!$D$6:$D$40,MATCH(A36,Sezoane!$C$6:$C$40,1))),INDEX(Sezoane!$A$6:$A$40,MATCH(A36,Sezoane!$C$6:$C$40,1)),"⚠ fără sezon")</f>
        <v>vara-toamna-2026</v>
      </c>
      <c r="D36" s="43" t="n">
        <f aca="false">IF(AND(ISNUMBER(MATCH(A36,Sezoane!$C$6:$C$40,1)),A36&lt;=INDEX(Sezoane!$D$6:$D$40,MATCH(A36,Sezoane!$C$6:$C$40,1))),INDEX(Sezoane!$F$6:$F$40,MATCH(A36,Sezoane!$C$6:$C$40,1)),"")</f>
        <v>2</v>
      </c>
      <c r="E36" s="44" t="n">
        <f aca="false">IF(AND(ISNUMBER(MATCH(A36,Sezoane!$C$6:$C$40,1)),A36&lt;=INDEX(Sezoane!$D$6:$D$40,MATCH(A36,Sezoane!$C$6:$C$40,1))),INDEX('Prețuri de setat'!$E$5:$E$39,MATCH(A36,Sezoane!$C$6:$C$40,1)),"")</f>
        <v>900</v>
      </c>
      <c r="F36" s="44" t="n">
        <f aca="false">IF(AND(ISNUMBER(MATCH(A36,Sezoane!$C$6:$C$40,1)),A36&lt;=INDEX(Sezoane!$D$6:$D$40,MATCH(A36,Sezoane!$C$6:$C$40,1))),INDEX('Prețuri de setat'!$F$5:$F$39,MATCH(A36,Sezoane!$C$6:$C$40,1)),"")</f>
        <v>1130</v>
      </c>
      <c r="G36" s="44" t="n">
        <f aca="false">IF(AND(ISNUMBER(MATCH(A36,Sezoane!$C$6:$C$40,1)),A36&lt;=INDEX(Sezoane!$D$6:$D$40,MATCH(A36,Sezoane!$C$6:$C$40,1))),INDEX('Prețuri de setat'!$G$5:$G$39,MATCH(A36,Sezoane!$C$6:$C$40,1)),"")</f>
        <v>920</v>
      </c>
      <c r="H36" s="44" t="n">
        <f aca="false">IF(AND(ISNUMBER(MATCH(A36,Sezoane!$C$6:$C$40,1)),A36&lt;=INDEX(Sezoane!$D$6:$D$40,MATCH(A36,Sezoane!$C$6:$C$40,1))),INDEX('Prețuri de setat'!$H$5:$H$39,MATCH(A36,Sezoane!$C$6:$C$40,1)),"")</f>
        <v>980</v>
      </c>
      <c r="I36" s="44" t="n">
        <f aca="false">IF(AND(ISNUMBER(MATCH(A36,Sezoane!$C$6:$C$40,1)),A36&lt;=INDEX(Sezoane!$D$6:$D$40,MATCH(A36,Sezoane!$C$6:$C$40,1))),INDEX('Prețuri de setat'!$I$5:$I$39,MATCH(A36,Sezoane!$C$6:$C$40,1)),"")</f>
        <v>852</v>
      </c>
    </row>
    <row r="37" customFormat="false" ht="15" hidden="false" customHeight="false" outlineLevel="0" collapsed="false">
      <c r="A37" s="41" t="n">
        <f aca="false">$B$2+32</f>
        <v>46348</v>
      </c>
      <c r="B37" s="42" t="str">
        <f aca="false">CHOOSE(WEEKDAY(A37,2),"Lu","Ma","Mi","Jo","Vi","Sâ","Du")</f>
        <v>Du</v>
      </c>
      <c r="C37" s="42" t="str">
        <f aca="false">IF(AND(ISNUMBER(MATCH(A37,Sezoane!$C$6:$C$40,1)),A37&lt;=INDEX(Sezoane!$D$6:$D$40,MATCH(A37,Sezoane!$C$6:$C$40,1))),INDEX(Sezoane!$A$6:$A$40,MATCH(A37,Sezoane!$C$6:$C$40,1)),"⚠ fără sezon")</f>
        <v>vara-toamna-2026</v>
      </c>
      <c r="D37" s="43" t="n">
        <f aca="false">IF(AND(ISNUMBER(MATCH(A37,Sezoane!$C$6:$C$40,1)),A37&lt;=INDEX(Sezoane!$D$6:$D$40,MATCH(A37,Sezoane!$C$6:$C$40,1))),INDEX(Sezoane!$F$6:$F$40,MATCH(A37,Sezoane!$C$6:$C$40,1)),"")</f>
        <v>2</v>
      </c>
      <c r="E37" s="44" t="n">
        <f aca="false">IF(AND(ISNUMBER(MATCH(A37,Sezoane!$C$6:$C$40,1)),A37&lt;=INDEX(Sezoane!$D$6:$D$40,MATCH(A37,Sezoane!$C$6:$C$40,1))),INDEX('Prețuri de setat'!$E$5:$E$39,MATCH(A37,Sezoane!$C$6:$C$40,1)),"")</f>
        <v>900</v>
      </c>
      <c r="F37" s="44" t="n">
        <f aca="false">IF(AND(ISNUMBER(MATCH(A37,Sezoane!$C$6:$C$40,1)),A37&lt;=INDEX(Sezoane!$D$6:$D$40,MATCH(A37,Sezoane!$C$6:$C$40,1))),INDEX('Prețuri de setat'!$F$5:$F$39,MATCH(A37,Sezoane!$C$6:$C$40,1)),"")</f>
        <v>1130</v>
      </c>
      <c r="G37" s="44" t="n">
        <f aca="false">IF(AND(ISNUMBER(MATCH(A37,Sezoane!$C$6:$C$40,1)),A37&lt;=INDEX(Sezoane!$D$6:$D$40,MATCH(A37,Sezoane!$C$6:$C$40,1))),INDEX('Prețuri de setat'!$G$5:$G$39,MATCH(A37,Sezoane!$C$6:$C$40,1)),"")</f>
        <v>920</v>
      </c>
      <c r="H37" s="44" t="n">
        <f aca="false">IF(AND(ISNUMBER(MATCH(A37,Sezoane!$C$6:$C$40,1)),A37&lt;=INDEX(Sezoane!$D$6:$D$40,MATCH(A37,Sezoane!$C$6:$C$40,1))),INDEX('Prețuri de setat'!$H$5:$H$39,MATCH(A37,Sezoane!$C$6:$C$40,1)),"")</f>
        <v>980</v>
      </c>
      <c r="I37" s="44" t="n">
        <f aca="false">IF(AND(ISNUMBER(MATCH(A37,Sezoane!$C$6:$C$40,1)),A37&lt;=INDEX(Sezoane!$D$6:$D$40,MATCH(A37,Sezoane!$C$6:$C$40,1))),INDEX('Prețuri de setat'!$I$5:$I$39,MATCH(A37,Sezoane!$C$6:$C$40,1)),"")</f>
        <v>852</v>
      </c>
    </row>
    <row r="38" customFormat="false" ht="15" hidden="false" customHeight="false" outlineLevel="0" collapsed="false">
      <c r="A38" s="41" t="n">
        <f aca="false">$B$2+33</f>
        <v>46349</v>
      </c>
      <c r="B38" s="42" t="str">
        <f aca="false">CHOOSE(WEEKDAY(A38,2),"Lu","Ma","Mi","Jo","Vi","Sâ","Du")</f>
        <v>Lu</v>
      </c>
      <c r="C38" s="42" t="str">
        <f aca="false">IF(AND(ISNUMBER(MATCH(A38,Sezoane!$C$6:$C$40,1)),A38&lt;=INDEX(Sezoane!$D$6:$D$40,MATCH(A38,Sezoane!$C$6:$C$40,1))),INDEX(Sezoane!$A$6:$A$40,MATCH(A38,Sezoane!$C$6:$C$40,1)),"⚠ fără sezon")</f>
        <v>vara-toamna-2026</v>
      </c>
      <c r="D38" s="43" t="n">
        <f aca="false">IF(AND(ISNUMBER(MATCH(A38,Sezoane!$C$6:$C$40,1)),A38&lt;=INDEX(Sezoane!$D$6:$D$40,MATCH(A38,Sezoane!$C$6:$C$40,1))),INDEX(Sezoane!$F$6:$F$40,MATCH(A38,Sezoane!$C$6:$C$40,1)),"")</f>
        <v>2</v>
      </c>
      <c r="E38" s="44" t="n">
        <f aca="false">IF(AND(ISNUMBER(MATCH(A38,Sezoane!$C$6:$C$40,1)),A38&lt;=INDEX(Sezoane!$D$6:$D$40,MATCH(A38,Sezoane!$C$6:$C$40,1))),INDEX('Prețuri de setat'!$E$5:$E$39,MATCH(A38,Sezoane!$C$6:$C$40,1)),"")</f>
        <v>900</v>
      </c>
      <c r="F38" s="44" t="n">
        <f aca="false">IF(AND(ISNUMBER(MATCH(A38,Sezoane!$C$6:$C$40,1)),A38&lt;=INDEX(Sezoane!$D$6:$D$40,MATCH(A38,Sezoane!$C$6:$C$40,1))),INDEX('Prețuri de setat'!$F$5:$F$39,MATCH(A38,Sezoane!$C$6:$C$40,1)),"")</f>
        <v>1130</v>
      </c>
      <c r="G38" s="44" t="n">
        <f aca="false">IF(AND(ISNUMBER(MATCH(A38,Sezoane!$C$6:$C$40,1)),A38&lt;=INDEX(Sezoane!$D$6:$D$40,MATCH(A38,Sezoane!$C$6:$C$40,1))),INDEX('Prețuri de setat'!$G$5:$G$39,MATCH(A38,Sezoane!$C$6:$C$40,1)),"")</f>
        <v>920</v>
      </c>
      <c r="H38" s="44" t="n">
        <f aca="false">IF(AND(ISNUMBER(MATCH(A38,Sezoane!$C$6:$C$40,1)),A38&lt;=INDEX(Sezoane!$D$6:$D$40,MATCH(A38,Sezoane!$C$6:$C$40,1))),INDEX('Prețuri de setat'!$H$5:$H$39,MATCH(A38,Sezoane!$C$6:$C$40,1)),"")</f>
        <v>980</v>
      </c>
      <c r="I38" s="44" t="n">
        <f aca="false">IF(AND(ISNUMBER(MATCH(A38,Sezoane!$C$6:$C$40,1)),A38&lt;=INDEX(Sezoane!$D$6:$D$40,MATCH(A38,Sezoane!$C$6:$C$40,1))),INDEX('Prețuri de setat'!$I$5:$I$39,MATCH(A38,Sezoane!$C$6:$C$40,1)),"")</f>
        <v>852</v>
      </c>
    </row>
    <row r="39" customFormat="false" ht="15" hidden="false" customHeight="false" outlineLevel="0" collapsed="false">
      <c r="A39" s="41" t="n">
        <f aca="false">$B$2+34</f>
        <v>46350</v>
      </c>
      <c r="B39" s="42" t="str">
        <f aca="false">CHOOSE(WEEKDAY(A39,2),"Lu","Ma","Mi","Jo","Vi","Sâ","Du")</f>
        <v>Ma</v>
      </c>
      <c r="C39" s="42" t="str">
        <f aca="false">IF(AND(ISNUMBER(MATCH(A39,Sezoane!$C$6:$C$40,1)),A39&lt;=INDEX(Sezoane!$D$6:$D$40,MATCH(A39,Sezoane!$C$6:$C$40,1))),INDEX(Sezoane!$A$6:$A$40,MATCH(A39,Sezoane!$C$6:$C$40,1)),"⚠ fără sezon")</f>
        <v>vara-toamna-2026</v>
      </c>
      <c r="D39" s="43" t="n">
        <f aca="false">IF(AND(ISNUMBER(MATCH(A39,Sezoane!$C$6:$C$40,1)),A39&lt;=INDEX(Sezoane!$D$6:$D$40,MATCH(A39,Sezoane!$C$6:$C$40,1))),INDEX(Sezoane!$F$6:$F$40,MATCH(A39,Sezoane!$C$6:$C$40,1)),"")</f>
        <v>2</v>
      </c>
      <c r="E39" s="44" t="n">
        <f aca="false">IF(AND(ISNUMBER(MATCH(A39,Sezoane!$C$6:$C$40,1)),A39&lt;=INDEX(Sezoane!$D$6:$D$40,MATCH(A39,Sezoane!$C$6:$C$40,1))),INDEX('Prețuri de setat'!$E$5:$E$39,MATCH(A39,Sezoane!$C$6:$C$40,1)),"")</f>
        <v>900</v>
      </c>
      <c r="F39" s="44" t="n">
        <f aca="false">IF(AND(ISNUMBER(MATCH(A39,Sezoane!$C$6:$C$40,1)),A39&lt;=INDEX(Sezoane!$D$6:$D$40,MATCH(A39,Sezoane!$C$6:$C$40,1))),INDEX('Prețuri de setat'!$F$5:$F$39,MATCH(A39,Sezoane!$C$6:$C$40,1)),"")</f>
        <v>1130</v>
      </c>
      <c r="G39" s="44" t="n">
        <f aca="false">IF(AND(ISNUMBER(MATCH(A39,Sezoane!$C$6:$C$40,1)),A39&lt;=INDEX(Sezoane!$D$6:$D$40,MATCH(A39,Sezoane!$C$6:$C$40,1))),INDEX('Prețuri de setat'!$G$5:$G$39,MATCH(A39,Sezoane!$C$6:$C$40,1)),"")</f>
        <v>920</v>
      </c>
      <c r="H39" s="44" t="n">
        <f aca="false">IF(AND(ISNUMBER(MATCH(A39,Sezoane!$C$6:$C$40,1)),A39&lt;=INDEX(Sezoane!$D$6:$D$40,MATCH(A39,Sezoane!$C$6:$C$40,1))),INDEX('Prețuri de setat'!$H$5:$H$39,MATCH(A39,Sezoane!$C$6:$C$40,1)),"")</f>
        <v>980</v>
      </c>
      <c r="I39" s="44" t="n">
        <f aca="false">IF(AND(ISNUMBER(MATCH(A39,Sezoane!$C$6:$C$40,1)),A39&lt;=INDEX(Sezoane!$D$6:$D$40,MATCH(A39,Sezoane!$C$6:$C$40,1))),INDEX('Prețuri de setat'!$I$5:$I$39,MATCH(A39,Sezoane!$C$6:$C$40,1)),"")</f>
        <v>852</v>
      </c>
    </row>
    <row r="40" customFormat="false" ht="15" hidden="false" customHeight="false" outlineLevel="0" collapsed="false">
      <c r="A40" s="41" t="n">
        <f aca="false">$B$2+35</f>
        <v>46351</v>
      </c>
      <c r="B40" s="42" t="str">
        <f aca="false">CHOOSE(WEEKDAY(A40,2),"Lu","Ma","Mi","Jo","Vi","Sâ","Du")</f>
        <v>Mi</v>
      </c>
      <c r="C40" s="42" t="str">
        <f aca="false">IF(AND(ISNUMBER(MATCH(A40,Sezoane!$C$6:$C$40,1)),A40&lt;=INDEX(Sezoane!$D$6:$D$40,MATCH(A40,Sezoane!$C$6:$C$40,1))),INDEX(Sezoane!$A$6:$A$40,MATCH(A40,Sezoane!$C$6:$C$40,1)),"⚠ fără sezon")</f>
        <v>vara-toamna-2026</v>
      </c>
      <c r="D40" s="43" t="n">
        <f aca="false">IF(AND(ISNUMBER(MATCH(A40,Sezoane!$C$6:$C$40,1)),A40&lt;=INDEX(Sezoane!$D$6:$D$40,MATCH(A40,Sezoane!$C$6:$C$40,1))),INDEX(Sezoane!$F$6:$F$40,MATCH(A40,Sezoane!$C$6:$C$40,1)),"")</f>
        <v>2</v>
      </c>
      <c r="E40" s="44" t="n">
        <f aca="false">IF(AND(ISNUMBER(MATCH(A40,Sezoane!$C$6:$C$40,1)),A40&lt;=INDEX(Sezoane!$D$6:$D$40,MATCH(A40,Sezoane!$C$6:$C$40,1))),INDEX('Prețuri de setat'!$E$5:$E$39,MATCH(A40,Sezoane!$C$6:$C$40,1)),"")</f>
        <v>900</v>
      </c>
      <c r="F40" s="44" t="n">
        <f aca="false">IF(AND(ISNUMBER(MATCH(A40,Sezoane!$C$6:$C$40,1)),A40&lt;=INDEX(Sezoane!$D$6:$D$40,MATCH(A40,Sezoane!$C$6:$C$40,1))),INDEX('Prețuri de setat'!$F$5:$F$39,MATCH(A40,Sezoane!$C$6:$C$40,1)),"")</f>
        <v>1130</v>
      </c>
      <c r="G40" s="44" t="n">
        <f aca="false">IF(AND(ISNUMBER(MATCH(A40,Sezoane!$C$6:$C$40,1)),A40&lt;=INDEX(Sezoane!$D$6:$D$40,MATCH(A40,Sezoane!$C$6:$C$40,1))),INDEX('Prețuri de setat'!$G$5:$G$39,MATCH(A40,Sezoane!$C$6:$C$40,1)),"")</f>
        <v>920</v>
      </c>
      <c r="H40" s="44" t="n">
        <f aca="false">IF(AND(ISNUMBER(MATCH(A40,Sezoane!$C$6:$C$40,1)),A40&lt;=INDEX(Sezoane!$D$6:$D$40,MATCH(A40,Sezoane!$C$6:$C$40,1))),INDEX('Prețuri de setat'!$H$5:$H$39,MATCH(A40,Sezoane!$C$6:$C$40,1)),"")</f>
        <v>980</v>
      </c>
      <c r="I40" s="44" t="n">
        <f aca="false">IF(AND(ISNUMBER(MATCH(A40,Sezoane!$C$6:$C$40,1)),A40&lt;=INDEX(Sezoane!$D$6:$D$40,MATCH(A40,Sezoane!$C$6:$C$40,1))),INDEX('Prețuri de setat'!$I$5:$I$39,MATCH(A40,Sezoane!$C$6:$C$40,1)),"")</f>
        <v>852</v>
      </c>
    </row>
    <row r="41" customFormat="false" ht="15" hidden="false" customHeight="false" outlineLevel="0" collapsed="false">
      <c r="A41" s="41" t="n">
        <f aca="false">$B$2+36</f>
        <v>46352</v>
      </c>
      <c r="B41" s="42" t="str">
        <f aca="false">CHOOSE(WEEKDAY(A41,2),"Lu","Ma","Mi","Jo","Vi","Sâ","Du")</f>
        <v>Jo</v>
      </c>
      <c r="C41" s="42" t="str">
        <f aca="false">IF(AND(ISNUMBER(MATCH(A41,Sezoane!$C$6:$C$40,1)),A41&lt;=INDEX(Sezoane!$D$6:$D$40,MATCH(A41,Sezoane!$C$6:$C$40,1))),INDEX(Sezoane!$A$6:$A$40,MATCH(A41,Sezoane!$C$6:$C$40,1)),"⚠ fără sezon")</f>
        <v>vara-toamna-2026</v>
      </c>
      <c r="D41" s="43" t="n">
        <f aca="false">IF(AND(ISNUMBER(MATCH(A41,Sezoane!$C$6:$C$40,1)),A41&lt;=INDEX(Sezoane!$D$6:$D$40,MATCH(A41,Sezoane!$C$6:$C$40,1))),INDEX(Sezoane!$F$6:$F$40,MATCH(A41,Sezoane!$C$6:$C$40,1)),"")</f>
        <v>2</v>
      </c>
      <c r="E41" s="44" t="n">
        <f aca="false">IF(AND(ISNUMBER(MATCH(A41,Sezoane!$C$6:$C$40,1)),A41&lt;=INDEX(Sezoane!$D$6:$D$40,MATCH(A41,Sezoane!$C$6:$C$40,1))),INDEX('Prețuri de setat'!$E$5:$E$39,MATCH(A41,Sezoane!$C$6:$C$40,1)),"")</f>
        <v>900</v>
      </c>
      <c r="F41" s="44" t="n">
        <f aca="false">IF(AND(ISNUMBER(MATCH(A41,Sezoane!$C$6:$C$40,1)),A41&lt;=INDEX(Sezoane!$D$6:$D$40,MATCH(A41,Sezoane!$C$6:$C$40,1))),INDEX('Prețuri de setat'!$F$5:$F$39,MATCH(A41,Sezoane!$C$6:$C$40,1)),"")</f>
        <v>1130</v>
      </c>
      <c r="G41" s="44" t="n">
        <f aca="false">IF(AND(ISNUMBER(MATCH(A41,Sezoane!$C$6:$C$40,1)),A41&lt;=INDEX(Sezoane!$D$6:$D$40,MATCH(A41,Sezoane!$C$6:$C$40,1))),INDEX('Prețuri de setat'!$G$5:$G$39,MATCH(A41,Sezoane!$C$6:$C$40,1)),"")</f>
        <v>920</v>
      </c>
      <c r="H41" s="44" t="n">
        <f aca="false">IF(AND(ISNUMBER(MATCH(A41,Sezoane!$C$6:$C$40,1)),A41&lt;=INDEX(Sezoane!$D$6:$D$40,MATCH(A41,Sezoane!$C$6:$C$40,1))),INDEX('Prețuri de setat'!$H$5:$H$39,MATCH(A41,Sezoane!$C$6:$C$40,1)),"")</f>
        <v>980</v>
      </c>
      <c r="I41" s="44" t="n">
        <f aca="false">IF(AND(ISNUMBER(MATCH(A41,Sezoane!$C$6:$C$40,1)),A41&lt;=INDEX(Sezoane!$D$6:$D$40,MATCH(A41,Sezoane!$C$6:$C$40,1))),INDEX('Prețuri de setat'!$I$5:$I$39,MATCH(A41,Sezoane!$C$6:$C$40,1)),"")</f>
        <v>852</v>
      </c>
    </row>
    <row r="42" customFormat="false" ht="15" hidden="false" customHeight="false" outlineLevel="0" collapsed="false">
      <c r="A42" s="41" t="n">
        <f aca="false">$B$2+37</f>
        <v>46353</v>
      </c>
      <c r="B42" s="42" t="str">
        <f aca="false">CHOOSE(WEEKDAY(A42,2),"Lu","Ma","Mi","Jo","Vi","Sâ","Du")</f>
        <v>Vi</v>
      </c>
      <c r="C42" s="42" t="str">
        <f aca="false">IF(AND(ISNUMBER(MATCH(A42,Sezoane!$C$6:$C$40,1)),A42&lt;=INDEX(Sezoane!$D$6:$D$40,MATCH(A42,Sezoane!$C$6:$C$40,1))),INDEX(Sezoane!$A$6:$A$40,MATCH(A42,Sezoane!$C$6:$C$40,1)),"⚠ fără sezon")</f>
        <v>vara-toamna-2026</v>
      </c>
      <c r="D42" s="43" t="n">
        <f aca="false">IF(AND(ISNUMBER(MATCH(A42,Sezoane!$C$6:$C$40,1)),A42&lt;=INDEX(Sezoane!$D$6:$D$40,MATCH(A42,Sezoane!$C$6:$C$40,1))),INDEX(Sezoane!$F$6:$F$40,MATCH(A42,Sezoane!$C$6:$C$40,1)),"")</f>
        <v>2</v>
      </c>
      <c r="E42" s="44" t="n">
        <f aca="false">IF(AND(ISNUMBER(MATCH(A42,Sezoane!$C$6:$C$40,1)),A42&lt;=INDEX(Sezoane!$D$6:$D$40,MATCH(A42,Sezoane!$C$6:$C$40,1))),INDEX('Prețuri de setat'!$E$5:$E$39,MATCH(A42,Sezoane!$C$6:$C$40,1)),"")</f>
        <v>900</v>
      </c>
      <c r="F42" s="44" t="n">
        <f aca="false">IF(AND(ISNUMBER(MATCH(A42,Sezoane!$C$6:$C$40,1)),A42&lt;=INDEX(Sezoane!$D$6:$D$40,MATCH(A42,Sezoane!$C$6:$C$40,1))),INDEX('Prețuri de setat'!$F$5:$F$39,MATCH(A42,Sezoane!$C$6:$C$40,1)),"")</f>
        <v>1130</v>
      </c>
      <c r="G42" s="44" t="n">
        <f aca="false">IF(AND(ISNUMBER(MATCH(A42,Sezoane!$C$6:$C$40,1)),A42&lt;=INDEX(Sezoane!$D$6:$D$40,MATCH(A42,Sezoane!$C$6:$C$40,1))),INDEX('Prețuri de setat'!$G$5:$G$39,MATCH(A42,Sezoane!$C$6:$C$40,1)),"")</f>
        <v>920</v>
      </c>
      <c r="H42" s="44" t="n">
        <f aca="false">IF(AND(ISNUMBER(MATCH(A42,Sezoane!$C$6:$C$40,1)),A42&lt;=INDEX(Sezoane!$D$6:$D$40,MATCH(A42,Sezoane!$C$6:$C$40,1))),INDEX('Prețuri de setat'!$H$5:$H$39,MATCH(A42,Sezoane!$C$6:$C$40,1)),"")</f>
        <v>980</v>
      </c>
      <c r="I42" s="44" t="n">
        <f aca="false">IF(AND(ISNUMBER(MATCH(A42,Sezoane!$C$6:$C$40,1)),A42&lt;=INDEX(Sezoane!$D$6:$D$40,MATCH(A42,Sezoane!$C$6:$C$40,1))),INDEX('Prețuri de setat'!$I$5:$I$39,MATCH(A42,Sezoane!$C$6:$C$40,1)),"")</f>
        <v>852</v>
      </c>
    </row>
    <row r="43" customFormat="false" ht="15" hidden="false" customHeight="false" outlineLevel="0" collapsed="false">
      <c r="A43" s="41" t="n">
        <f aca="false">$B$2+38</f>
        <v>46354</v>
      </c>
      <c r="B43" s="42" t="str">
        <f aca="false">CHOOSE(WEEKDAY(A43,2),"Lu","Ma","Mi","Jo","Vi","Sâ","Du")</f>
        <v>Sâ</v>
      </c>
      <c r="C43" s="42" t="str">
        <f aca="false">IF(AND(ISNUMBER(MATCH(A43,Sezoane!$C$6:$C$40,1)),A43&lt;=INDEX(Sezoane!$D$6:$D$40,MATCH(A43,Sezoane!$C$6:$C$40,1))),INDEX(Sezoane!$A$6:$A$40,MATCH(A43,Sezoane!$C$6:$C$40,1)),"⚠ fără sezon")</f>
        <v>vara-toamna-2026</v>
      </c>
      <c r="D43" s="43" t="n">
        <f aca="false">IF(AND(ISNUMBER(MATCH(A43,Sezoane!$C$6:$C$40,1)),A43&lt;=INDEX(Sezoane!$D$6:$D$40,MATCH(A43,Sezoane!$C$6:$C$40,1))),INDEX(Sezoane!$F$6:$F$40,MATCH(A43,Sezoane!$C$6:$C$40,1)),"")</f>
        <v>2</v>
      </c>
      <c r="E43" s="44" t="n">
        <f aca="false">IF(AND(ISNUMBER(MATCH(A43,Sezoane!$C$6:$C$40,1)),A43&lt;=INDEX(Sezoane!$D$6:$D$40,MATCH(A43,Sezoane!$C$6:$C$40,1))),INDEX('Prețuri de setat'!$E$5:$E$39,MATCH(A43,Sezoane!$C$6:$C$40,1)),"")</f>
        <v>900</v>
      </c>
      <c r="F43" s="44" t="n">
        <f aca="false">IF(AND(ISNUMBER(MATCH(A43,Sezoane!$C$6:$C$40,1)),A43&lt;=INDEX(Sezoane!$D$6:$D$40,MATCH(A43,Sezoane!$C$6:$C$40,1))),INDEX('Prețuri de setat'!$F$5:$F$39,MATCH(A43,Sezoane!$C$6:$C$40,1)),"")</f>
        <v>1130</v>
      </c>
      <c r="G43" s="44" t="n">
        <f aca="false">IF(AND(ISNUMBER(MATCH(A43,Sezoane!$C$6:$C$40,1)),A43&lt;=INDEX(Sezoane!$D$6:$D$40,MATCH(A43,Sezoane!$C$6:$C$40,1))),INDEX('Prețuri de setat'!$G$5:$G$39,MATCH(A43,Sezoane!$C$6:$C$40,1)),"")</f>
        <v>920</v>
      </c>
      <c r="H43" s="44" t="n">
        <f aca="false">IF(AND(ISNUMBER(MATCH(A43,Sezoane!$C$6:$C$40,1)),A43&lt;=INDEX(Sezoane!$D$6:$D$40,MATCH(A43,Sezoane!$C$6:$C$40,1))),INDEX('Prețuri de setat'!$H$5:$H$39,MATCH(A43,Sezoane!$C$6:$C$40,1)),"")</f>
        <v>980</v>
      </c>
      <c r="I43" s="44" t="n">
        <f aca="false">IF(AND(ISNUMBER(MATCH(A43,Sezoane!$C$6:$C$40,1)),A43&lt;=INDEX(Sezoane!$D$6:$D$40,MATCH(A43,Sezoane!$C$6:$C$40,1))),INDEX('Prețuri de setat'!$I$5:$I$39,MATCH(A43,Sezoane!$C$6:$C$40,1)),"")</f>
        <v>852</v>
      </c>
    </row>
    <row r="44" customFormat="false" ht="15" hidden="false" customHeight="false" outlineLevel="0" collapsed="false">
      <c r="A44" s="41" t="n">
        <f aca="false">$B$2+39</f>
        <v>46355</v>
      </c>
      <c r="B44" s="42" t="str">
        <f aca="false">CHOOSE(WEEKDAY(A44,2),"Lu","Ma","Mi","Jo","Vi","Sâ","Du")</f>
        <v>Du</v>
      </c>
      <c r="C44" s="42" t="str">
        <f aca="false">IF(AND(ISNUMBER(MATCH(A44,Sezoane!$C$6:$C$40,1)),A44&lt;=INDEX(Sezoane!$D$6:$D$40,MATCH(A44,Sezoane!$C$6:$C$40,1))),INDEX(Sezoane!$A$6:$A$40,MATCH(A44,Sezoane!$C$6:$C$40,1)),"⚠ fără sezon")</f>
        <v>vara-toamna-2026</v>
      </c>
      <c r="D44" s="43" t="n">
        <f aca="false">IF(AND(ISNUMBER(MATCH(A44,Sezoane!$C$6:$C$40,1)),A44&lt;=INDEX(Sezoane!$D$6:$D$40,MATCH(A44,Sezoane!$C$6:$C$40,1))),INDEX(Sezoane!$F$6:$F$40,MATCH(A44,Sezoane!$C$6:$C$40,1)),"")</f>
        <v>2</v>
      </c>
      <c r="E44" s="44" t="n">
        <f aca="false">IF(AND(ISNUMBER(MATCH(A44,Sezoane!$C$6:$C$40,1)),A44&lt;=INDEX(Sezoane!$D$6:$D$40,MATCH(A44,Sezoane!$C$6:$C$40,1))),INDEX('Prețuri de setat'!$E$5:$E$39,MATCH(A44,Sezoane!$C$6:$C$40,1)),"")</f>
        <v>900</v>
      </c>
      <c r="F44" s="44" t="n">
        <f aca="false">IF(AND(ISNUMBER(MATCH(A44,Sezoane!$C$6:$C$40,1)),A44&lt;=INDEX(Sezoane!$D$6:$D$40,MATCH(A44,Sezoane!$C$6:$C$40,1))),INDEX('Prețuri de setat'!$F$5:$F$39,MATCH(A44,Sezoane!$C$6:$C$40,1)),"")</f>
        <v>1130</v>
      </c>
      <c r="G44" s="44" t="n">
        <f aca="false">IF(AND(ISNUMBER(MATCH(A44,Sezoane!$C$6:$C$40,1)),A44&lt;=INDEX(Sezoane!$D$6:$D$40,MATCH(A44,Sezoane!$C$6:$C$40,1))),INDEX('Prețuri de setat'!$G$5:$G$39,MATCH(A44,Sezoane!$C$6:$C$40,1)),"")</f>
        <v>920</v>
      </c>
      <c r="H44" s="44" t="n">
        <f aca="false">IF(AND(ISNUMBER(MATCH(A44,Sezoane!$C$6:$C$40,1)),A44&lt;=INDEX(Sezoane!$D$6:$D$40,MATCH(A44,Sezoane!$C$6:$C$40,1))),INDEX('Prețuri de setat'!$H$5:$H$39,MATCH(A44,Sezoane!$C$6:$C$40,1)),"")</f>
        <v>980</v>
      </c>
      <c r="I44" s="44" t="n">
        <f aca="false">IF(AND(ISNUMBER(MATCH(A44,Sezoane!$C$6:$C$40,1)),A44&lt;=INDEX(Sezoane!$D$6:$D$40,MATCH(A44,Sezoane!$C$6:$C$40,1))),INDEX('Prețuri de setat'!$I$5:$I$39,MATCH(A44,Sezoane!$C$6:$C$40,1)),"")</f>
        <v>852</v>
      </c>
    </row>
    <row r="45" customFormat="false" ht="15" hidden="false" customHeight="false" outlineLevel="0" collapsed="false">
      <c r="A45" s="41" t="n">
        <f aca="false">$B$2+40</f>
        <v>46356</v>
      </c>
      <c r="B45" s="42" t="str">
        <f aca="false">CHOOSE(WEEKDAY(A45,2),"Lu","Ma","Mi","Jo","Vi","Sâ","Du")</f>
        <v>Lu</v>
      </c>
      <c r="C45" s="42" t="str">
        <f aca="false">IF(AND(ISNUMBER(MATCH(A45,Sezoane!$C$6:$C$40,1)),A45&lt;=INDEX(Sezoane!$D$6:$D$40,MATCH(A45,Sezoane!$C$6:$C$40,1))),INDEX(Sezoane!$A$6:$A$40,MATCH(A45,Sezoane!$C$6:$C$40,1)),"⚠ fără sezon")</f>
        <v>vara-toamna-2026</v>
      </c>
      <c r="D45" s="43" t="n">
        <f aca="false">IF(AND(ISNUMBER(MATCH(A45,Sezoane!$C$6:$C$40,1)),A45&lt;=INDEX(Sezoane!$D$6:$D$40,MATCH(A45,Sezoane!$C$6:$C$40,1))),INDEX(Sezoane!$F$6:$F$40,MATCH(A45,Sezoane!$C$6:$C$40,1)),"")</f>
        <v>2</v>
      </c>
      <c r="E45" s="44" t="n">
        <f aca="false">IF(AND(ISNUMBER(MATCH(A45,Sezoane!$C$6:$C$40,1)),A45&lt;=INDEX(Sezoane!$D$6:$D$40,MATCH(A45,Sezoane!$C$6:$C$40,1))),INDEX('Prețuri de setat'!$E$5:$E$39,MATCH(A45,Sezoane!$C$6:$C$40,1)),"")</f>
        <v>900</v>
      </c>
      <c r="F45" s="44" t="n">
        <f aca="false">IF(AND(ISNUMBER(MATCH(A45,Sezoane!$C$6:$C$40,1)),A45&lt;=INDEX(Sezoane!$D$6:$D$40,MATCH(A45,Sezoane!$C$6:$C$40,1))),INDEX('Prețuri de setat'!$F$5:$F$39,MATCH(A45,Sezoane!$C$6:$C$40,1)),"")</f>
        <v>1130</v>
      </c>
      <c r="G45" s="44" t="n">
        <f aca="false">IF(AND(ISNUMBER(MATCH(A45,Sezoane!$C$6:$C$40,1)),A45&lt;=INDEX(Sezoane!$D$6:$D$40,MATCH(A45,Sezoane!$C$6:$C$40,1))),INDEX('Prețuri de setat'!$G$5:$G$39,MATCH(A45,Sezoane!$C$6:$C$40,1)),"")</f>
        <v>920</v>
      </c>
      <c r="H45" s="44" t="n">
        <f aca="false">IF(AND(ISNUMBER(MATCH(A45,Sezoane!$C$6:$C$40,1)),A45&lt;=INDEX(Sezoane!$D$6:$D$40,MATCH(A45,Sezoane!$C$6:$C$40,1))),INDEX('Prețuri de setat'!$H$5:$H$39,MATCH(A45,Sezoane!$C$6:$C$40,1)),"")</f>
        <v>980</v>
      </c>
      <c r="I45" s="44" t="n">
        <f aca="false">IF(AND(ISNUMBER(MATCH(A45,Sezoane!$C$6:$C$40,1)),A45&lt;=INDEX(Sezoane!$D$6:$D$40,MATCH(A45,Sezoane!$C$6:$C$40,1))),INDEX('Prețuri de setat'!$I$5:$I$39,MATCH(A45,Sezoane!$C$6:$C$40,1)),"")</f>
        <v>852</v>
      </c>
    </row>
    <row r="46" customFormat="false" ht="15" hidden="false" customHeight="false" outlineLevel="0" collapsed="false">
      <c r="A46" s="41" t="n">
        <f aca="false">$B$2+41</f>
        <v>46357</v>
      </c>
      <c r="B46" s="42" t="str">
        <f aca="false">CHOOSE(WEEKDAY(A46,2),"Lu","Ma","Mi","Jo","Vi","Sâ","Du")</f>
        <v>Ma</v>
      </c>
      <c r="C46" s="42" t="str">
        <f aca="false">IF(AND(ISNUMBER(MATCH(A46,Sezoane!$C$6:$C$40,1)),A46&lt;=INDEX(Sezoane!$D$6:$D$40,MATCH(A46,Sezoane!$C$6:$C$40,1))),INDEX(Sezoane!$A$6:$A$40,MATCH(A46,Sezoane!$C$6:$C$40,1)),"⚠ fără sezon")</f>
        <v>iarna-2026</v>
      </c>
      <c r="D46" s="43" t="n">
        <f aca="false">IF(AND(ISNUMBER(MATCH(A46,Sezoane!$C$6:$C$40,1)),A46&lt;=INDEX(Sezoane!$D$6:$D$40,MATCH(A46,Sezoane!$C$6:$C$40,1))),INDEX(Sezoane!$F$6:$F$40,MATCH(A46,Sezoane!$C$6:$C$40,1)),"")</f>
        <v>2</v>
      </c>
      <c r="E46" s="44" t="n">
        <f aca="false">IF(AND(ISNUMBER(MATCH(A46,Sezoane!$C$6:$C$40,1)),A46&lt;=INDEX(Sezoane!$D$6:$D$40,MATCH(A46,Sezoane!$C$6:$C$40,1))),INDEX('Prețuri de setat'!$E$5:$E$39,MATCH(A46,Sezoane!$C$6:$C$40,1)),"")</f>
        <v>1250</v>
      </c>
      <c r="F46" s="44" t="n">
        <f aca="false">IF(AND(ISNUMBER(MATCH(A46,Sezoane!$C$6:$C$40,1)),A46&lt;=INDEX(Sezoane!$D$6:$D$40,MATCH(A46,Sezoane!$C$6:$C$40,1))),INDEX('Prețuri de setat'!$F$5:$F$39,MATCH(A46,Sezoane!$C$6:$C$40,1)),"")</f>
        <v>1580</v>
      </c>
      <c r="G46" s="44" t="n">
        <f aca="false">IF(AND(ISNUMBER(MATCH(A46,Sezoane!$C$6:$C$40,1)),A46&lt;=INDEX(Sezoane!$D$6:$D$40,MATCH(A46,Sezoane!$C$6:$C$40,1))),INDEX('Prețuri de setat'!$G$5:$G$39,MATCH(A46,Sezoane!$C$6:$C$40,1)),"")</f>
        <v>1420</v>
      </c>
      <c r="H46" s="44" t="n">
        <f aca="false">IF(AND(ISNUMBER(MATCH(A46,Sezoane!$C$6:$C$40,1)),A46&lt;=INDEX(Sezoane!$D$6:$D$40,MATCH(A46,Sezoane!$C$6:$C$40,1))),INDEX('Prețuri de setat'!$H$5:$H$39,MATCH(A46,Sezoane!$C$6:$C$40,1)),"")</f>
        <v>1360</v>
      </c>
      <c r="I46" s="44" t="n">
        <f aca="false">IF(AND(ISNUMBER(MATCH(A46,Sezoane!$C$6:$C$40,1)),A46&lt;=INDEX(Sezoane!$D$6:$D$40,MATCH(A46,Sezoane!$C$6:$C$40,1))),INDEX('Prețuri de setat'!$I$5:$I$39,MATCH(A46,Sezoane!$C$6:$C$40,1)),"")</f>
        <v>1202</v>
      </c>
    </row>
    <row r="47" customFormat="false" ht="15" hidden="false" customHeight="false" outlineLevel="0" collapsed="false">
      <c r="A47" s="41" t="n">
        <f aca="false">$B$2+42</f>
        <v>46358</v>
      </c>
      <c r="B47" s="42" t="str">
        <f aca="false">CHOOSE(WEEKDAY(A47,2),"Lu","Ma","Mi","Jo","Vi","Sâ","Du")</f>
        <v>Mi</v>
      </c>
      <c r="C47" s="42" t="str">
        <f aca="false">IF(AND(ISNUMBER(MATCH(A47,Sezoane!$C$6:$C$40,1)),A47&lt;=INDEX(Sezoane!$D$6:$D$40,MATCH(A47,Sezoane!$C$6:$C$40,1))),INDEX(Sezoane!$A$6:$A$40,MATCH(A47,Sezoane!$C$6:$C$40,1)),"⚠ fără sezon")</f>
        <v>iarna-2026</v>
      </c>
      <c r="D47" s="43" t="n">
        <f aca="false">IF(AND(ISNUMBER(MATCH(A47,Sezoane!$C$6:$C$40,1)),A47&lt;=INDEX(Sezoane!$D$6:$D$40,MATCH(A47,Sezoane!$C$6:$C$40,1))),INDEX(Sezoane!$F$6:$F$40,MATCH(A47,Sezoane!$C$6:$C$40,1)),"")</f>
        <v>2</v>
      </c>
      <c r="E47" s="44" t="n">
        <f aca="false">IF(AND(ISNUMBER(MATCH(A47,Sezoane!$C$6:$C$40,1)),A47&lt;=INDEX(Sezoane!$D$6:$D$40,MATCH(A47,Sezoane!$C$6:$C$40,1))),INDEX('Prețuri de setat'!$E$5:$E$39,MATCH(A47,Sezoane!$C$6:$C$40,1)),"")</f>
        <v>1250</v>
      </c>
      <c r="F47" s="44" t="n">
        <f aca="false">IF(AND(ISNUMBER(MATCH(A47,Sezoane!$C$6:$C$40,1)),A47&lt;=INDEX(Sezoane!$D$6:$D$40,MATCH(A47,Sezoane!$C$6:$C$40,1))),INDEX('Prețuri de setat'!$F$5:$F$39,MATCH(A47,Sezoane!$C$6:$C$40,1)),"")</f>
        <v>1580</v>
      </c>
      <c r="G47" s="44" t="n">
        <f aca="false">IF(AND(ISNUMBER(MATCH(A47,Sezoane!$C$6:$C$40,1)),A47&lt;=INDEX(Sezoane!$D$6:$D$40,MATCH(A47,Sezoane!$C$6:$C$40,1))),INDEX('Prețuri de setat'!$G$5:$G$39,MATCH(A47,Sezoane!$C$6:$C$40,1)),"")</f>
        <v>1420</v>
      </c>
      <c r="H47" s="44" t="n">
        <f aca="false">IF(AND(ISNUMBER(MATCH(A47,Sezoane!$C$6:$C$40,1)),A47&lt;=INDEX(Sezoane!$D$6:$D$40,MATCH(A47,Sezoane!$C$6:$C$40,1))),INDEX('Prețuri de setat'!$H$5:$H$39,MATCH(A47,Sezoane!$C$6:$C$40,1)),"")</f>
        <v>1360</v>
      </c>
      <c r="I47" s="44" t="n">
        <f aca="false">IF(AND(ISNUMBER(MATCH(A47,Sezoane!$C$6:$C$40,1)),A47&lt;=INDEX(Sezoane!$D$6:$D$40,MATCH(A47,Sezoane!$C$6:$C$40,1))),INDEX('Prețuri de setat'!$I$5:$I$39,MATCH(A47,Sezoane!$C$6:$C$40,1)),"")</f>
        <v>1202</v>
      </c>
    </row>
    <row r="48" customFormat="false" ht="15" hidden="false" customHeight="false" outlineLevel="0" collapsed="false">
      <c r="A48" s="41" t="n">
        <f aca="false">$B$2+43</f>
        <v>46359</v>
      </c>
      <c r="B48" s="42" t="str">
        <f aca="false">CHOOSE(WEEKDAY(A48,2),"Lu","Ma","Mi","Jo","Vi","Sâ","Du")</f>
        <v>Jo</v>
      </c>
      <c r="C48" s="42" t="str">
        <f aca="false">IF(AND(ISNUMBER(MATCH(A48,Sezoane!$C$6:$C$40,1)),A48&lt;=INDEX(Sezoane!$D$6:$D$40,MATCH(A48,Sezoane!$C$6:$C$40,1))),INDEX(Sezoane!$A$6:$A$40,MATCH(A48,Sezoane!$C$6:$C$40,1)),"⚠ fără sezon")</f>
        <v>iarna-2026</v>
      </c>
      <c r="D48" s="43" t="n">
        <f aca="false">IF(AND(ISNUMBER(MATCH(A48,Sezoane!$C$6:$C$40,1)),A48&lt;=INDEX(Sezoane!$D$6:$D$40,MATCH(A48,Sezoane!$C$6:$C$40,1))),INDEX(Sezoane!$F$6:$F$40,MATCH(A48,Sezoane!$C$6:$C$40,1)),"")</f>
        <v>2</v>
      </c>
      <c r="E48" s="44" t="n">
        <f aca="false">IF(AND(ISNUMBER(MATCH(A48,Sezoane!$C$6:$C$40,1)),A48&lt;=INDEX(Sezoane!$D$6:$D$40,MATCH(A48,Sezoane!$C$6:$C$40,1))),INDEX('Prețuri de setat'!$E$5:$E$39,MATCH(A48,Sezoane!$C$6:$C$40,1)),"")</f>
        <v>1250</v>
      </c>
      <c r="F48" s="44" t="n">
        <f aca="false">IF(AND(ISNUMBER(MATCH(A48,Sezoane!$C$6:$C$40,1)),A48&lt;=INDEX(Sezoane!$D$6:$D$40,MATCH(A48,Sezoane!$C$6:$C$40,1))),INDEX('Prețuri de setat'!$F$5:$F$39,MATCH(A48,Sezoane!$C$6:$C$40,1)),"")</f>
        <v>1580</v>
      </c>
      <c r="G48" s="44" t="n">
        <f aca="false">IF(AND(ISNUMBER(MATCH(A48,Sezoane!$C$6:$C$40,1)),A48&lt;=INDEX(Sezoane!$D$6:$D$40,MATCH(A48,Sezoane!$C$6:$C$40,1))),INDEX('Prețuri de setat'!$G$5:$G$39,MATCH(A48,Sezoane!$C$6:$C$40,1)),"")</f>
        <v>1420</v>
      </c>
      <c r="H48" s="44" t="n">
        <f aca="false">IF(AND(ISNUMBER(MATCH(A48,Sezoane!$C$6:$C$40,1)),A48&lt;=INDEX(Sezoane!$D$6:$D$40,MATCH(A48,Sezoane!$C$6:$C$40,1))),INDEX('Prețuri de setat'!$H$5:$H$39,MATCH(A48,Sezoane!$C$6:$C$40,1)),"")</f>
        <v>1360</v>
      </c>
      <c r="I48" s="44" t="n">
        <f aca="false">IF(AND(ISNUMBER(MATCH(A48,Sezoane!$C$6:$C$40,1)),A48&lt;=INDEX(Sezoane!$D$6:$D$40,MATCH(A48,Sezoane!$C$6:$C$40,1))),INDEX('Prețuri de setat'!$I$5:$I$39,MATCH(A48,Sezoane!$C$6:$C$40,1)),"")</f>
        <v>1202</v>
      </c>
    </row>
    <row r="49" customFormat="false" ht="15" hidden="false" customHeight="false" outlineLevel="0" collapsed="false">
      <c r="A49" s="41" t="n">
        <f aca="false">$B$2+44</f>
        <v>46360</v>
      </c>
      <c r="B49" s="42" t="str">
        <f aca="false">CHOOSE(WEEKDAY(A49,2),"Lu","Ma","Mi","Jo","Vi","Sâ","Du")</f>
        <v>Vi</v>
      </c>
      <c r="C49" s="42" t="str">
        <f aca="false">IF(AND(ISNUMBER(MATCH(A49,Sezoane!$C$6:$C$40,1)),A49&lt;=INDEX(Sezoane!$D$6:$D$40,MATCH(A49,Sezoane!$C$6:$C$40,1))),INDEX(Sezoane!$A$6:$A$40,MATCH(A49,Sezoane!$C$6:$C$40,1)),"⚠ fără sezon")</f>
        <v>iarna-2026</v>
      </c>
      <c r="D49" s="43" t="n">
        <f aca="false">IF(AND(ISNUMBER(MATCH(A49,Sezoane!$C$6:$C$40,1)),A49&lt;=INDEX(Sezoane!$D$6:$D$40,MATCH(A49,Sezoane!$C$6:$C$40,1))),INDEX(Sezoane!$F$6:$F$40,MATCH(A49,Sezoane!$C$6:$C$40,1)),"")</f>
        <v>2</v>
      </c>
      <c r="E49" s="44" t="n">
        <f aca="false">IF(AND(ISNUMBER(MATCH(A49,Sezoane!$C$6:$C$40,1)),A49&lt;=INDEX(Sezoane!$D$6:$D$40,MATCH(A49,Sezoane!$C$6:$C$40,1))),INDEX('Prețuri de setat'!$E$5:$E$39,MATCH(A49,Sezoane!$C$6:$C$40,1)),"")</f>
        <v>1250</v>
      </c>
      <c r="F49" s="44" t="n">
        <f aca="false">IF(AND(ISNUMBER(MATCH(A49,Sezoane!$C$6:$C$40,1)),A49&lt;=INDEX(Sezoane!$D$6:$D$40,MATCH(A49,Sezoane!$C$6:$C$40,1))),INDEX('Prețuri de setat'!$F$5:$F$39,MATCH(A49,Sezoane!$C$6:$C$40,1)),"")</f>
        <v>1580</v>
      </c>
      <c r="G49" s="44" t="n">
        <f aca="false">IF(AND(ISNUMBER(MATCH(A49,Sezoane!$C$6:$C$40,1)),A49&lt;=INDEX(Sezoane!$D$6:$D$40,MATCH(A49,Sezoane!$C$6:$C$40,1))),INDEX('Prețuri de setat'!$G$5:$G$39,MATCH(A49,Sezoane!$C$6:$C$40,1)),"")</f>
        <v>1420</v>
      </c>
      <c r="H49" s="44" t="n">
        <f aca="false">IF(AND(ISNUMBER(MATCH(A49,Sezoane!$C$6:$C$40,1)),A49&lt;=INDEX(Sezoane!$D$6:$D$40,MATCH(A49,Sezoane!$C$6:$C$40,1))),INDEX('Prețuri de setat'!$H$5:$H$39,MATCH(A49,Sezoane!$C$6:$C$40,1)),"")</f>
        <v>1360</v>
      </c>
      <c r="I49" s="44" t="n">
        <f aca="false">IF(AND(ISNUMBER(MATCH(A49,Sezoane!$C$6:$C$40,1)),A49&lt;=INDEX(Sezoane!$D$6:$D$40,MATCH(A49,Sezoane!$C$6:$C$40,1))),INDEX('Prețuri de setat'!$I$5:$I$39,MATCH(A49,Sezoane!$C$6:$C$40,1)),"")</f>
        <v>1202</v>
      </c>
    </row>
    <row r="50" customFormat="false" ht="15" hidden="false" customHeight="false" outlineLevel="0" collapsed="false">
      <c r="A50" s="41" t="n">
        <f aca="false">$B$2+45</f>
        <v>46361</v>
      </c>
      <c r="B50" s="42" t="str">
        <f aca="false">CHOOSE(WEEKDAY(A50,2),"Lu","Ma","Mi","Jo","Vi","Sâ","Du")</f>
        <v>Sâ</v>
      </c>
      <c r="C50" s="42" t="str">
        <f aca="false">IF(AND(ISNUMBER(MATCH(A50,Sezoane!$C$6:$C$40,1)),A50&lt;=INDEX(Sezoane!$D$6:$D$40,MATCH(A50,Sezoane!$C$6:$C$40,1))),INDEX(Sezoane!$A$6:$A$40,MATCH(A50,Sezoane!$C$6:$C$40,1)),"⚠ fără sezon")</f>
        <v>iarna-2026</v>
      </c>
      <c r="D50" s="43" t="n">
        <f aca="false">IF(AND(ISNUMBER(MATCH(A50,Sezoane!$C$6:$C$40,1)),A50&lt;=INDEX(Sezoane!$D$6:$D$40,MATCH(A50,Sezoane!$C$6:$C$40,1))),INDEX(Sezoane!$F$6:$F$40,MATCH(A50,Sezoane!$C$6:$C$40,1)),"")</f>
        <v>2</v>
      </c>
      <c r="E50" s="44" t="n">
        <f aca="false">IF(AND(ISNUMBER(MATCH(A50,Sezoane!$C$6:$C$40,1)),A50&lt;=INDEX(Sezoane!$D$6:$D$40,MATCH(A50,Sezoane!$C$6:$C$40,1))),INDEX('Prețuri de setat'!$E$5:$E$39,MATCH(A50,Sezoane!$C$6:$C$40,1)),"")</f>
        <v>1250</v>
      </c>
      <c r="F50" s="44" t="n">
        <f aca="false">IF(AND(ISNUMBER(MATCH(A50,Sezoane!$C$6:$C$40,1)),A50&lt;=INDEX(Sezoane!$D$6:$D$40,MATCH(A50,Sezoane!$C$6:$C$40,1))),INDEX('Prețuri de setat'!$F$5:$F$39,MATCH(A50,Sezoane!$C$6:$C$40,1)),"")</f>
        <v>1580</v>
      </c>
      <c r="G50" s="44" t="n">
        <f aca="false">IF(AND(ISNUMBER(MATCH(A50,Sezoane!$C$6:$C$40,1)),A50&lt;=INDEX(Sezoane!$D$6:$D$40,MATCH(A50,Sezoane!$C$6:$C$40,1))),INDEX('Prețuri de setat'!$G$5:$G$39,MATCH(A50,Sezoane!$C$6:$C$40,1)),"")</f>
        <v>1420</v>
      </c>
      <c r="H50" s="44" t="n">
        <f aca="false">IF(AND(ISNUMBER(MATCH(A50,Sezoane!$C$6:$C$40,1)),A50&lt;=INDEX(Sezoane!$D$6:$D$40,MATCH(A50,Sezoane!$C$6:$C$40,1))),INDEX('Prețuri de setat'!$H$5:$H$39,MATCH(A50,Sezoane!$C$6:$C$40,1)),"")</f>
        <v>1360</v>
      </c>
      <c r="I50" s="44" t="n">
        <f aca="false">IF(AND(ISNUMBER(MATCH(A50,Sezoane!$C$6:$C$40,1)),A50&lt;=INDEX(Sezoane!$D$6:$D$40,MATCH(A50,Sezoane!$C$6:$C$40,1))),INDEX('Prețuri de setat'!$I$5:$I$39,MATCH(A50,Sezoane!$C$6:$C$40,1)),"")</f>
        <v>1202</v>
      </c>
    </row>
    <row r="51" customFormat="false" ht="15" hidden="false" customHeight="false" outlineLevel="0" collapsed="false">
      <c r="A51" s="41" t="n">
        <f aca="false">$B$2+46</f>
        <v>46362</v>
      </c>
      <c r="B51" s="42" t="str">
        <f aca="false">CHOOSE(WEEKDAY(A51,2),"Lu","Ma","Mi","Jo","Vi","Sâ","Du")</f>
        <v>Du</v>
      </c>
      <c r="C51" s="42" t="str">
        <f aca="false">IF(AND(ISNUMBER(MATCH(A51,Sezoane!$C$6:$C$40,1)),A51&lt;=INDEX(Sezoane!$D$6:$D$40,MATCH(A51,Sezoane!$C$6:$C$40,1))),INDEX(Sezoane!$A$6:$A$40,MATCH(A51,Sezoane!$C$6:$C$40,1)),"⚠ fără sezon")</f>
        <v>iarna-2026</v>
      </c>
      <c r="D51" s="43" t="n">
        <f aca="false">IF(AND(ISNUMBER(MATCH(A51,Sezoane!$C$6:$C$40,1)),A51&lt;=INDEX(Sezoane!$D$6:$D$40,MATCH(A51,Sezoane!$C$6:$C$40,1))),INDEX(Sezoane!$F$6:$F$40,MATCH(A51,Sezoane!$C$6:$C$40,1)),"")</f>
        <v>2</v>
      </c>
      <c r="E51" s="44" t="n">
        <f aca="false">IF(AND(ISNUMBER(MATCH(A51,Sezoane!$C$6:$C$40,1)),A51&lt;=INDEX(Sezoane!$D$6:$D$40,MATCH(A51,Sezoane!$C$6:$C$40,1))),INDEX('Prețuri de setat'!$E$5:$E$39,MATCH(A51,Sezoane!$C$6:$C$40,1)),"")</f>
        <v>1250</v>
      </c>
      <c r="F51" s="44" t="n">
        <f aca="false">IF(AND(ISNUMBER(MATCH(A51,Sezoane!$C$6:$C$40,1)),A51&lt;=INDEX(Sezoane!$D$6:$D$40,MATCH(A51,Sezoane!$C$6:$C$40,1))),INDEX('Prețuri de setat'!$F$5:$F$39,MATCH(A51,Sezoane!$C$6:$C$40,1)),"")</f>
        <v>1580</v>
      </c>
      <c r="G51" s="44" t="n">
        <f aca="false">IF(AND(ISNUMBER(MATCH(A51,Sezoane!$C$6:$C$40,1)),A51&lt;=INDEX(Sezoane!$D$6:$D$40,MATCH(A51,Sezoane!$C$6:$C$40,1))),INDEX('Prețuri de setat'!$G$5:$G$39,MATCH(A51,Sezoane!$C$6:$C$40,1)),"")</f>
        <v>1420</v>
      </c>
      <c r="H51" s="44" t="n">
        <f aca="false">IF(AND(ISNUMBER(MATCH(A51,Sezoane!$C$6:$C$40,1)),A51&lt;=INDEX(Sezoane!$D$6:$D$40,MATCH(A51,Sezoane!$C$6:$C$40,1))),INDEX('Prețuri de setat'!$H$5:$H$39,MATCH(A51,Sezoane!$C$6:$C$40,1)),"")</f>
        <v>1360</v>
      </c>
      <c r="I51" s="44" t="n">
        <f aca="false">IF(AND(ISNUMBER(MATCH(A51,Sezoane!$C$6:$C$40,1)),A51&lt;=INDEX(Sezoane!$D$6:$D$40,MATCH(A51,Sezoane!$C$6:$C$40,1))),INDEX('Prețuri de setat'!$I$5:$I$39,MATCH(A51,Sezoane!$C$6:$C$40,1)),"")</f>
        <v>1202</v>
      </c>
    </row>
    <row r="52" customFormat="false" ht="15" hidden="false" customHeight="false" outlineLevel="0" collapsed="false">
      <c r="A52" s="41" t="n">
        <f aca="false">$B$2+47</f>
        <v>46363</v>
      </c>
      <c r="B52" s="42" t="str">
        <f aca="false">CHOOSE(WEEKDAY(A52,2),"Lu","Ma","Mi","Jo","Vi","Sâ","Du")</f>
        <v>Lu</v>
      </c>
      <c r="C52" s="42" t="str">
        <f aca="false">IF(AND(ISNUMBER(MATCH(A52,Sezoane!$C$6:$C$40,1)),A52&lt;=INDEX(Sezoane!$D$6:$D$40,MATCH(A52,Sezoane!$C$6:$C$40,1))),INDEX(Sezoane!$A$6:$A$40,MATCH(A52,Sezoane!$C$6:$C$40,1)),"⚠ fără sezon")</f>
        <v>iarna-2026</v>
      </c>
      <c r="D52" s="43" t="n">
        <f aca="false">IF(AND(ISNUMBER(MATCH(A52,Sezoane!$C$6:$C$40,1)),A52&lt;=INDEX(Sezoane!$D$6:$D$40,MATCH(A52,Sezoane!$C$6:$C$40,1))),INDEX(Sezoane!$F$6:$F$40,MATCH(A52,Sezoane!$C$6:$C$40,1)),"")</f>
        <v>2</v>
      </c>
      <c r="E52" s="44" t="n">
        <f aca="false">IF(AND(ISNUMBER(MATCH(A52,Sezoane!$C$6:$C$40,1)),A52&lt;=INDEX(Sezoane!$D$6:$D$40,MATCH(A52,Sezoane!$C$6:$C$40,1))),INDEX('Prețuri de setat'!$E$5:$E$39,MATCH(A52,Sezoane!$C$6:$C$40,1)),"")</f>
        <v>1250</v>
      </c>
      <c r="F52" s="44" t="n">
        <f aca="false">IF(AND(ISNUMBER(MATCH(A52,Sezoane!$C$6:$C$40,1)),A52&lt;=INDEX(Sezoane!$D$6:$D$40,MATCH(A52,Sezoane!$C$6:$C$40,1))),INDEX('Prețuri de setat'!$F$5:$F$39,MATCH(A52,Sezoane!$C$6:$C$40,1)),"")</f>
        <v>1580</v>
      </c>
      <c r="G52" s="44" t="n">
        <f aca="false">IF(AND(ISNUMBER(MATCH(A52,Sezoane!$C$6:$C$40,1)),A52&lt;=INDEX(Sezoane!$D$6:$D$40,MATCH(A52,Sezoane!$C$6:$C$40,1))),INDEX('Prețuri de setat'!$G$5:$G$39,MATCH(A52,Sezoane!$C$6:$C$40,1)),"")</f>
        <v>1420</v>
      </c>
      <c r="H52" s="44" t="n">
        <f aca="false">IF(AND(ISNUMBER(MATCH(A52,Sezoane!$C$6:$C$40,1)),A52&lt;=INDEX(Sezoane!$D$6:$D$40,MATCH(A52,Sezoane!$C$6:$C$40,1))),INDEX('Prețuri de setat'!$H$5:$H$39,MATCH(A52,Sezoane!$C$6:$C$40,1)),"")</f>
        <v>1360</v>
      </c>
      <c r="I52" s="44" t="n">
        <f aca="false">IF(AND(ISNUMBER(MATCH(A52,Sezoane!$C$6:$C$40,1)),A52&lt;=INDEX(Sezoane!$D$6:$D$40,MATCH(A52,Sezoane!$C$6:$C$40,1))),INDEX('Prețuri de setat'!$I$5:$I$39,MATCH(A52,Sezoane!$C$6:$C$40,1)),"")</f>
        <v>1202</v>
      </c>
    </row>
    <row r="53" customFormat="false" ht="15" hidden="false" customHeight="false" outlineLevel="0" collapsed="false">
      <c r="A53" s="41" t="n">
        <f aca="false">$B$2+48</f>
        <v>46364</v>
      </c>
      <c r="B53" s="42" t="str">
        <f aca="false">CHOOSE(WEEKDAY(A53,2),"Lu","Ma","Mi","Jo","Vi","Sâ","Du")</f>
        <v>Ma</v>
      </c>
      <c r="C53" s="42" t="str">
        <f aca="false">IF(AND(ISNUMBER(MATCH(A53,Sezoane!$C$6:$C$40,1)),A53&lt;=INDEX(Sezoane!$D$6:$D$40,MATCH(A53,Sezoane!$C$6:$C$40,1))),INDEX(Sezoane!$A$6:$A$40,MATCH(A53,Sezoane!$C$6:$C$40,1)),"⚠ fără sezon")</f>
        <v>iarna-2026</v>
      </c>
      <c r="D53" s="43" t="n">
        <f aca="false">IF(AND(ISNUMBER(MATCH(A53,Sezoane!$C$6:$C$40,1)),A53&lt;=INDEX(Sezoane!$D$6:$D$40,MATCH(A53,Sezoane!$C$6:$C$40,1))),INDEX(Sezoane!$F$6:$F$40,MATCH(A53,Sezoane!$C$6:$C$40,1)),"")</f>
        <v>2</v>
      </c>
      <c r="E53" s="44" t="n">
        <f aca="false">IF(AND(ISNUMBER(MATCH(A53,Sezoane!$C$6:$C$40,1)),A53&lt;=INDEX(Sezoane!$D$6:$D$40,MATCH(A53,Sezoane!$C$6:$C$40,1))),INDEX('Prețuri de setat'!$E$5:$E$39,MATCH(A53,Sezoane!$C$6:$C$40,1)),"")</f>
        <v>1250</v>
      </c>
      <c r="F53" s="44" t="n">
        <f aca="false">IF(AND(ISNUMBER(MATCH(A53,Sezoane!$C$6:$C$40,1)),A53&lt;=INDEX(Sezoane!$D$6:$D$40,MATCH(A53,Sezoane!$C$6:$C$40,1))),INDEX('Prețuri de setat'!$F$5:$F$39,MATCH(A53,Sezoane!$C$6:$C$40,1)),"")</f>
        <v>1580</v>
      </c>
      <c r="G53" s="44" t="n">
        <f aca="false">IF(AND(ISNUMBER(MATCH(A53,Sezoane!$C$6:$C$40,1)),A53&lt;=INDEX(Sezoane!$D$6:$D$40,MATCH(A53,Sezoane!$C$6:$C$40,1))),INDEX('Prețuri de setat'!$G$5:$G$39,MATCH(A53,Sezoane!$C$6:$C$40,1)),"")</f>
        <v>1420</v>
      </c>
      <c r="H53" s="44" t="n">
        <f aca="false">IF(AND(ISNUMBER(MATCH(A53,Sezoane!$C$6:$C$40,1)),A53&lt;=INDEX(Sezoane!$D$6:$D$40,MATCH(A53,Sezoane!$C$6:$C$40,1))),INDEX('Prețuri de setat'!$H$5:$H$39,MATCH(A53,Sezoane!$C$6:$C$40,1)),"")</f>
        <v>1360</v>
      </c>
      <c r="I53" s="44" t="n">
        <f aca="false">IF(AND(ISNUMBER(MATCH(A53,Sezoane!$C$6:$C$40,1)),A53&lt;=INDEX(Sezoane!$D$6:$D$40,MATCH(A53,Sezoane!$C$6:$C$40,1))),INDEX('Prețuri de setat'!$I$5:$I$39,MATCH(A53,Sezoane!$C$6:$C$40,1)),"")</f>
        <v>1202</v>
      </c>
    </row>
    <row r="54" customFormat="false" ht="15" hidden="false" customHeight="false" outlineLevel="0" collapsed="false">
      <c r="A54" s="41" t="n">
        <f aca="false">$B$2+49</f>
        <v>46365</v>
      </c>
      <c r="B54" s="42" t="str">
        <f aca="false">CHOOSE(WEEKDAY(A54,2),"Lu","Ma","Mi","Jo","Vi","Sâ","Du")</f>
        <v>Mi</v>
      </c>
      <c r="C54" s="42" t="str">
        <f aca="false">IF(AND(ISNUMBER(MATCH(A54,Sezoane!$C$6:$C$40,1)),A54&lt;=INDEX(Sezoane!$D$6:$D$40,MATCH(A54,Sezoane!$C$6:$C$40,1))),INDEX(Sezoane!$A$6:$A$40,MATCH(A54,Sezoane!$C$6:$C$40,1)),"⚠ fără sezon")</f>
        <v>iarna-2026</v>
      </c>
      <c r="D54" s="43" t="n">
        <f aca="false">IF(AND(ISNUMBER(MATCH(A54,Sezoane!$C$6:$C$40,1)),A54&lt;=INDEX(Sezoane!$D$6:$D$40,MATCH(A54,Sezoane!$C$6:$C$40,1))),INDEX(Sezoane!$F$6:$F$40,MATCH(A54,Sezoane!$C$6:$C$40,1)),"")</f>
        <v>2</v>
      </c>
      <c r="E54" s="44" t="n">
        <f aca="false">IF(AND(ISNUMBER(MATCH(A54,Sezoane!$C$6:$C$40,1)),A54&lt;=INDEX(Sezoane!$D$6:$D$40,MATCH(A54,Sezoane!$C$6:$C$40,1))),INDEX('Prețuri de setat'!$E$5:$E$39,MATCH(A54,Sezoane!$C$6:$C$40,1)),"")</f>
        <v>1250</v>
      </c>
      <c r="F54" s="44" t="n">
        <f aca="false">IF(AND(ISNUMBER(MATCH(A54,Sezoane!$C$6:$C$40,1)),A54&lt;=INDEX(Sezoane!$D$6:$D$40,MATCH(A54,Sezoane!$C$6:$C$40,1))),INDEX('Prețuri de setat'!$F$5:$F$39,MATCH(A54,Sezoane!$C$6:$C$40,1)),"")</f>
        <v>1580</v>
      </c>
      <c r="G54" s="44" t="n">
        <f aca="false">IF(AND(ISNUMBER(MATCH(A54,Sezoane!$C$6:$C$40,1)),A54&lt;=INDEX(Sezoane!$D$6:$D$40,MATCH(A54,Sezoane!$C$6:$C$40,1))),INDEX('Prețuri de setat'!$G$5:$G$39,MATCH(A54,Sezoane!$C$6:$C$40,1)),"")</f>
        <v>1420</v>
      </c>
      <c r="H54" s="44" t="n">
        <f aca="false">IF(AND(ISNUMBER(MATCH(A54,Sezoane!$C$6:$C$40,1)),A54&lt;=INDEX(Sezoane!$D$6:$D$40,MATCH(A54,Sezoane!$C$6:$C$40,1))),INDEX('Prețuri de setat'!$H$5:$H$39,MATCH(A54,Sezoane!$C$6:$C$40,1)),"")</f>
        <v>1360</v>
      </c>
      <c r="I54" s="44" t="n">
        <f aca="false">IF(AND(ISNUMBER(MATCH(A54,Sezoane!$C$6:$C$40,1)),A54&lt;=INDEX(Sezoane!$D$6:$D$40,MATCH(A54,Sezoane!$C$6:$C$40,1))),INDEX('Prețuri de setat'!$I$5:$I$39,MATCH(A54,Sezoane!$C$6:$C$40,1)),"")</f>
        <v>1202</v>
      </c>
    </row>
    <row r="55" customFormat="false" ht="15" hidden="false" customHeight="false" outlineLevel="0" collapsed="false">
      <c r="A55" s="41" t="n">
        <f aca="false">$B$2+50</f>
        <v>46366</v>
      </c>
      <c r="B55" s="42" t="str">
        <f aca="false">CHOOSE(WEEKDAY(A55,2),"Lu","Ma","Mi","Jo","Vi","Sâ","Du")</f>
        <v>Jo</v>
      </c>
      <c r="C55" s="42" t="str">
        <f aca="false">IF(AND(ISNUMBER(MATCH(A55,Sezoane!$C$6:$C$40,1)),A55&lt;=INDEX(Sezoane!$D$6:$D$40,MATCH(A55,Sezoane!$C$6:$C$40,1))),INDEX(Sezoane!$A$6:$A$40,MATCH(A55,Sezoane!$C$6:$C$40,1)),"⚠ fără sezon")</f>
        <v>iarna-2026</v>
      </c>
      <c r="D55" s="43" t="n">
        <f aca="false">IF(AND(ISNUMBER(MATCH(A55,Sezoane!$C$6:$C$40,1)),A55&lt;=INDEX(Sezoane!$D$6:$D$40,MATCH(A55,Sezoane!$C$6:$C$40,1))),INDEX(Sezoane!$F$6:$F$40,MATCH(A55,Sezoane!$C$6:$C$40,1)),"")</f>
        <v>2</v>
      </c>
      <c r="E55" s="44" t="n">
        <f aca="false">IF(AND(ISNUMBER(MATCH(A55,Sezoane!$C$6:$C$40,1)),A55&lt;=INDEX(Sezoane!$D$6:$D$40,MATCH(A55,Sezoane!$C$6:$C$40,1))),INDEX('Prețuri de setat'!$E$5:$E$39,MATCH(A55,Sezoane!$C$6:$C$40,1)),"")</f>
        <v>1250</v>
      </c>
      <c r="F55" s="44" t="n">
        <f aca="false">IF(AND(ISNUMBER(MATCH(A55,Sezoane!$C$6:$C$40,1)),A55&lt;=INDEX(Sezoane!$D$6:$D$40,MATCH(A55,Sezoane!$C$6:$C$40,1))),INDEX('Prețuri de setat'!$F$5:$F$39,MATCH(A55,Sezoane!$C$6:$C$40,1)),"")</f>
        <v>1580</v>
      </c>
      <c r="G55" s="44" t="n">
        <f aca="false">IF(AND(ISNUMBER(MATCH(A55,Sezoane!$C$6:$C$40,1)),A55&lt;=INDEX(Sezoane!$D$6:$D$40,MATCH(A55,Sezoane!$C$6:$C$40,1))),INDEX('Prețuri de setat'!$G$5:$G$39,MATCH(A55,Sezoane!$C$6:$C$40,1)),"")</f>
        <v>1420</v>
      </c>
      <c r="H55" s="44" t="n">
        <f aca="false">IF(AND(ISNUMBER(MATCH(A55,Sezoane!$C$6:$C$40,1)),A55&lt;=INDEX(Sezoane!$D$6:$D$40,MATCH(A55,Sezoane!$C$6:$C$40,1))),INDEX('Prețuri de setat'!$H$5:$H$39,MATCH(A55,Sezoane!$C$6:$C$40,1)),"")</f>
        <v>1360</v>
      </c>
      <c r="I55" s="44" t="n">
        <f aca="false">IF(AND(ISNUMBER(MATCH(A55,Sezoane!$C$6:$C$40,1)),A55&lt;=INDEX(Sezoane!$D$6:$D$40,MATCH(A55,Sezoane!$C$6:$C$40,1))),INDEX('Prețuri de setat'!$I$5:$I$39,MATCH(A55,Sezoane!$C$6:$C$40,1)),"")</f>
        <v>1202</v>
      </c>
    </row>
    <row r="56" customFormat="false" ht="15" hidden="false" customHeight="false" outlineLevel="0" collapsed="false">
      <c r="A56" s="41" t="n">
        <f aca="false">$B$2+51</f>
        <v>46367</v>
      </c>
      <c r="B56" s="42" t="str">
        <f aca="false">CHOOSE(WEEKDAY(A56,2),"Lu","Ma","Mi","Jo","Vi","Sâ","Du")</f>
        <v>Vi</v>
      </c>
      <c r="C56" s="42" t="str">
        <f aca="false">IF(AND(ISNUMBER(MATCH(A56,Sezoane!$C$6:$C$40,1)),A56&lt;=INDEX(Sezoane!$D$6:$D$40,MATCH(A56,Sezoane!$C$6:$C$40,1))),INDEX(Sezoane!$A$6:$A$40,MATCH(A56,Sezoane!$C$6:$C$40,1)),"⚠ fără sezon")</f>
        <v>iarna-2026</v>
      </c>
      <c r="D56" s="43" t="n">
        <f aca="false">IF(AND(ISNUMBER(MATCH(A56,Sezoane!$C$6:$C$40,1)),A56&lt;=INDEX(Sezoane!$D$6:$D$40,MATCH(A56,Sezoane!$C$6:$C$40,1))),INDEX(Sezoane!$F$6:$F$40,MATCH(A56,Sezoane!$C$6:$C$40,1)),"")</f>
        <v>2</v>
      </c>
      <c r="E56" s="44" t="n">
        <f aca="false">IF(AND(ISNUMBER(MATCH(A56,Sezoane!$C$6:$C$40,1)),A56&lt;=INDEX(Sezoane!$D$6:$D$40,MATCH(A56,Sezoane!$C$6:$C$40,1))),INDEX('Prețuri de setat'!$E$5:$E$39,MATCH(A56,Sezoane!$C$6:$C$40,1)),"")</f>
        <v>1250</v>
      </c>
      <c r="F56" s="44" t="n">
        <f aca="false">IF(AND(ISNUMBER(MATCH(A56,Sezoane!$C$6:$C$40,1)),A56&lt;=INDEX(Sezoane!$D$6:$D$40,MATCH(A56,Sezoane!$C$6:$C$40,1))),INDEX('Prețuri de setat'!$F$5:$F$39,MATCH(A56,Sezoane!$C$6:$C$40,1)),"")</f>
        <v>1580</v>
      </c>
      <c r="G56" s="44" t="n">
        <f aca="false">IF(AND(ISNUMBER(MATCH(A56,Sezoane!$C$6:$C$40,1)),A56&lt;=INDEX(Sezoane!$D$6:$D$40,MATCH(A56,Sezoane!$C$6:$C$40,1))),INDEX('Prețuri de setat'!$G$5:$G$39,MATCH(A56,Sezoane!$C$6:$C$40,1)),"")</f>
        <v>1420</v>
      </c>
      <c r="H56" s="44" t="n">
        <f aca="false">IF(AND(ISNUMBER(MATCH(A56,Sezoane!$C$6:$C$40,1)),A56&lt;=INDEX(Sezoane!$D$6:$D$40,MATCH(A56,Sezoane!$C$6:$C$40,1))),INDEX('Prețuri de setat'!$H$5:$H$39,MATCH(A56,Sezoane!$C$6:$C$40,1)),"")</f>
        <v>1360</v>
      </c>
      <c r="I56" s="44" t="n">
        <f aca="false">IF(AND(ISNUMBER(MATCH(A56,Sezoane!$C$6:$C$40,1)),A56&lt;=INDEX(Sezoane!$D$6:$D$40,MATCH(A56,Sezoane!$C$6:$C$40,1))),INDEX('Prețuri de setat'!$I$5:$I$39,MATCH(A56,Sezoane!$C$6:$C$40,1)),"")</f>
        <v>1202</v>
      </c>
    </row>
    <row r="57" customFormat="false" ht="15" hidden="false" customHeight="false" outlineLevel="0" collapsed="false">
      <c r="A57" s="41" t="n">
        <f aca="false">$B$2+52</f>
        <v>46368</v>
      </c>
      <c r="B57" s="42" t="str">
        <f aca="false">CHOOSE(WEEKDAY(A57,2),"Lu","Ma","Mi","Jo","Vi","Sâ","Du")</f>
        <v>Sâ</v>
      </c>
      <c r="C57" s="42" t="str">
        <f aca="false">IF(AND(ISNUMBER(MATCH(A57,Sezoane!$C$6:$C$40,1)),A57&lt;=INDEX(Sezoane!$D$6:$D$40,MATCH(A57,Sezoane!$C$6:$C$40,1))),INDEX(Sezoane!$A$6:$A$40,MATCH(A57,Sezoane!$C$6:$C$40,1)),"⚠ fără sezon")</f>
        <v>iarna-2026</v>
      </c>
      <c r="D57" s="43" t="n">
        <f aca="false">IF(AND(ISNUMBER(MATCH(A57,Sezoane!$C$6:$C$40,1)),A57&lt;=INDEX(Sezoane!$D$6:$D$40,MATCH(A57,Sezoane!$C$6:$C$40,1))),INDEX(Sezoane!$F$6:$F$40,MATCH(A57,Sezoane!$C$6:$C$40,1)),"")</f>
        <v>2</v>
      </c>
      <c r="E57" s="44" t="n">
        <f aca="false">IF(AND(ISNUMBER(MATCH(A57,Sezoane!$C$6:$C$40,1)),A57&lt;=INDEX(Sezoane!$D$6:$D$40,MATCH(A57,Sezoane!$C$6:$C$40,1))),INDEX('Prețuri de setat'!$E$5:$E$39,MATCH(A57,Sezoane!$C$6:$C$40,1)),"")</f>
        <v>1250</v>
      </c>
      <c r="F57" s="44" t="n">
        <f aca="false">IF(AND(ISNUMBER(MATCH(A57,Sezoane!$C$6:$C$40,1)),A57&lt;=INDEX(Sezoane!$D$6:$D$40,MATCH(A57,Sezoane!$C$6:$C$40,1))),INDEX('Prețuri de setat'!$F$5:$F$39,MATCH(A57,Sezoane!$C$6:$C$40,1)),"")</f>
        <v>1580</v>
      </c>
      <c r="G57" s="44" t="n">
        <f aca="false">IF(AND(ISNUMBER(MATCH(A57,Sezoane!$C$6:$C$40,1)),A57&lt;=INDEX(Sezoane!$D$6:$D$40,MATCH(A57,Sezoane!$C$6:$C$40,1))),INDEX('Prețuri de setat'!$G$5:$G$39,MATCH(A57,Sezoane!$C$6:$C$40,1)),"")</f>
        <v>1420</v>
      </c>
      <c r="H57" s="44" t="n">
        <f aca="false">IF(AND(ISNUMBER(MATCH(A57,Sezoane!$C$6:$C$40,1)),A57&lt;=INDEX(Sezoane!$D$6:$D$40,MATCH(A57,Sezoane!$C$6:$C$40,1))),INDEX('Prețuri de setat'!$H$5:$H$39,MATCH(A57,Sezoane!$C$6:$C$40,1)),"")</f>
        <v>1360</v>
      </c>
      <c r="I57" s="44" t="n">
        <f aca="false">IF(AND(ISNUMBER(MATCH(A57,Sezoane!$C$6:$C$40,1)),A57&lt;=INDEX(Sezoane!$D$6:$D$40,MATCH(A57,Sezoane!$C$6:$C$40,1))),INDEX('Prețuri de setat'!$I$5:$I$39,MATCH(A57,Sezoane!$C$6:$C$40,1)),"")</f>
        <v>1202</v>
      </c>
    </row>
    <row r="58" customFormat="false" ht="15" hidden="false" customHeight="false" outlineLevel="0" collapsed="false">
      <c r="A58" s="41" t="n">
        <f aca="false">$B$2+53</f>
        <v>46369</v>
      </c>
      <c r="B58" s="42" t="str">
        <f aca="false">CHOOSE(WEEKDAY(A58,2),"Lu","Ma","Mi","Jo","Vi","Sâ","Du")</f>
        <v>Du</v>
      </c>
      <c r="C58" s="42" t="str">
        <f aca="false">IF(AND(ISNUMBER(MATCH(A58,Sezoane!$C$6:$C$40,1)),A58&lt;=INDEX(Sezoane!$D$6:$D$40,MATCH(A58,Sezoane!$C$6:$C$40,1))),INDEX(Sezoane!$A$6:$A$40,MATCH(A58,Sezoane!$C$6:$C$40,1)),"⚠ fără sezon")</f>
        <v>iarna-2026</v>
      </c>
      <c r="D58" s="43" t="n">
        <f aca="false">IF(AND(ISNUMBER(MATCH(A58,Sezoane!$C$6:$C$40,1)),A58&lt;=INDEX(Sezoane!$D$6:$D$40,MATCH(A58,Sezoane!$C$6:$C$40,1))),INDEX(Sezoane!$F$6:$F$40,MATCH(A58,Sezoane!$C$6:$C$40,1)),"")</f>
        <v>2</v>
      </c>
      <c r="E58" s="44" t="n">
        <f aca="false">IF(AND(ISNUMBER(MATCH(A58,Sezoane!$C$6:$C$40,1)),A58&lt;=INDEX(Sezoane!$D$6:$D$40,MATCH(A58,Sezoane!$C$6:$C$40,1))),INDEX('Prețuri de setat'!$E$5:$E$39,MATCH(A58,Sezoane!$C$6:$C$40,1)),"")</f>
        <v>1250</v>
      </c>
      <c r="F58" s="44" t="n">
        <f aca="false">IF(AND(ISNUMBER(MATCH(A58,Sezoane!$C$6:$C$40,1)),A58&lt;=INDEX(Sezoane!$D$6:$D$40,MATCH(A58,Sezoane!$C$6:$C$40,1))),INDEX('Prețuri de setat'!$F$5:$F$39,MATCH(A58,Sezoane!$C$6:$C$40,1)),"")</f>
        <v>1580</v>
      </c>
      <c r="G58" s="44" t="n">
        <f aca="false">IF(AND(ISNUMBER(MATCH(A58,Sezoane!$C$6:$C$40,1)),A58&lt;=INDEX(Sezoane!$D$6:$D$40,MATCH(A58,Sezoane!$C$6:$C$40,1))),INDEX('Prețuri de setat'!$G$5:$G$39,MATCH(A58,Sezoane!$C$6:$C$40,1)),"")</f>
        <v>1420</v>
      </c>
      <c r="H58" s="44" t="n">
        <f aca="false">IF(AND(ISNUMBER(MATCH(A58,Sezoane!$C$6:$C$40,1)),A58&lt;=INDEX(Sezoane!$D$6:$D$40,MATCH(A58,Sezoane!$C$6:$C$40,1))),INDEX('Prețuri de setat'!$H$5:$H$39,MATCH(A58,Sezoane!$C$6:$C$40,1)),"")</f>
        <v>1360</v>
      </c>
      <c r="I58" s="44" t="n">
        <f aca="false">IF(AND(ISNUMBER(MATCH(A58,Sezoane!$C$6:$C$40,1)),A58&lt;=INDEX(Sezoane!$D$6:$D$40,MATCH(A58,Sezoane!$C$6:$C$40,1))),INDEX('Prețuri de setat'!$I$5:$I$39,MATCH(A58,Sezoane!$C$6:$C$40,1)),"")</f>
        <v>1202</v>
      </c>
    </row>
    <row r="59" customFormat="false" ht="15" hidden="false" customHeight="false" outlineLevel="0" collapsed="false">
      <c r="A59" s="41" t="n">
        <f aca="false">$B$2+54</f>
        <v>46370</v>
      </c>
      <c r="B59" s="42" t="str">
        <f aca="false">CHOOSE(WEEKDAY(A59,2),"Lu","Ma","Mi","Jo","Vi","Sâ","Du")</f>
        <v>Lu</v>
      </c>
      <c r="C59" s="42" t="str">
        <f aca="false">IF(AND(ISNUMBER(MATCH(A59,Sezoane!$C$6:$C$40,1)),A59&lt;=INDEX(Sezoane!$D$6:$D$40,MATCH(A59,Sezoane!$C$6:$C$40,1))),INDEX(Sezoane!$A$6:$A$40,MATCH(A59,Sezoane!$C$6:$C$40,1)),"⚠ fără sezon")</f>
        <v>iarna-2026</v>
      </c>
      <c r="D59" s="43" t="n">
        <f aca="false">IF(AND(ISNUMBER(MATCH(A59,Sezoane!$C$6:$C$40,1)),A59&lt;=INDEX(Sezoane!$D$6:$D$40,MATCH(A59,Sezoane!$C$6:$C$40,1))),INDEX(Sezoane!$F$6:$F$40,MATCH(A59,Sezoane!$C$6:$C$40,1)),"")</f>
        <v>2</v>
      </c>
      <c r="E59" s="44" t="n">
        <f aca="false">IF(AND(ISNUMBER(MATCH(A59,Sezoane!$C$6:$C$40,1)),A59&lt;=INDEX(Sezoane!$D$6:$D$40,MATCH(A59,Sezoane!$C$6:$C$40,1))),INDEX('Prețuri de setat'!$E$5:$E$39,MATCH(A59,Sezoane!$C$6:$C$40,1)),"")</f>
        <v>1250</v>
      </c>
      <c r="F59" s="44" t="n">
        <f aca="false">IF(AND(ISNUMBER(MATCH(A59,Sezoane!$C$6:$C$40,1)),A59&lt;=INDEX(Sezoane!$D$6:$D$40,MATCH(A59,Sezoane!$C$6:$C$40,1))),INDEX('Prețuri de setat'!$F$5:$F$39,MATCH(A59,Sezoane!$C$6:$C$40,1)),"")</f>
        <v>1580</v>
      </c>
      <c r="G59" s="44" t="n">
        <f aca="false">IF(AND(ISNUMBER(MATCH(A59,Sezoane!$C$6:$C$40,1)),A59&lt;=INDEX(Sezoane!$D$6:$D$40,MATCH(A59,Sezoane!$C$6:$C$40,1))),INDEX('Prețuri de setat'!$G$5:$G$39,MATCH(A59,Sezoane!$C$6:$C$40,1)),"")</f>
        <v>1420</v>
      </c>
      <c r="H59" s="44" t="n">
        <f aca="false">IF(AND(ISNUMBER(MATCH(A59,Sezoane!$C$6:$C$40,1)),A59&lt;=INDEX(Sezoane!$D$6:$D$40,MATCH(A59,Sezoane!$C$6:$C$40,1))),INDEX('Prețuri de setat'!$H$5:$H$39,MATCH(A59,Sezoane!$C$6:$C$40,1)),"")</f>
        <v>1360</v>
      </c>
      <c r="I59" s="44" t="n">
        <f aca="false">IF(AND(ISNUMBER(MATCH(A59,Sezoane!$C$6:$C$40,1)),A59&lt;=INDEX(Sezoane!$D$6:$D$40,MATCH(A59,Sezoane!$C$6:$C$40,1))),INDEX('Prețuri de setat'!$I$5:$I$39,MATCH(A59,Sezoane!$C$6:$C$40,1)),"")</f>
        <v>1202</v>
      </c>
    </row>
    <row r="60" customFormat="false" ht="15" hidden="false" customHeight="false" outlineLevel="0" collapsed="false">
      <c r="A60" s="41" t="n">
        <f aca="false">$B$2+55</f>
        <v>46371</v>
      </c>
      <c r="B60" s="42" t="str">
        <f aca="false">CHOOSE(WEEKDAY(A60,2),"Lu","Ma","Mi","Jo","Vi","Sâ","Du")</f>
        <v>Ma</v>
      </c>
      <c r="C60" s="42" t="str">
        <f aca="false">IF(AND(ISNUMBER(MATCH(A60,Sezoane!$C$6:$C$40,1)),A60&lt;=INDEX(Sezoane!$D$6:$D$40,MATCH(A60,Sezoane!$C$6:$C$40,1))),INDEX(Sezoane!$A$6:$A$40,MATCH(A60,Sezoane!$C$6:$C$40,1)),"⚠ fără sezon")</f>
        <v>iarna-2026</v>
      </c>
      <c r="D60" s="43" t="n">
        <f aca="false">IF(AND(ISNUMBER(MATCH(A60,Sezoane!$C$6:$C$40,1)),A60&lt;=INDEX(Sezoane!$D$6:$D$40,MATCH(A60,Sezoane!$C$6:$C$40,1))),INDEX(Sezoane!$F$6:$F$40,MATCH(A60,Sezoane!$C$6:$C$40,1)),"")</f>
        <v>2</v>
      </c>
      <c r="E60" s="44" t="n">
        <f aca="false">IF(AND(ISNUMBER(MATCH(A60,Sezoane!$C$6:$C$40,1)),A60&lt;=INDEX(Sezoane!$D$6:$D$40,MATCH(A60,Sezoane!$C$6:$C$40,1))),INDEX('Prețuri de setat'!$E$5:$E$39,MATCH(A60,Sezoane!$C$6:$C$40,1)),"")</f>
        <v>1250</v>
      </c>
      <c r="F60" s="44" t="n">
        <f aca="false">IF(AND(ISNUMBER(MATCH(A60,Sezoane!$C$6:$C$40,1)),A60&lt;=INDEX(Sezoane!$D$6:$D$40,MATCH(A60,Sezoane!$C$6:$C$40,1))),INDEX('Prețuri de setat'!$F$5:$F$39,MATCH(A60,Sezoane!$C$6:$C$40,1)),"")</f>
        <v>1580</v>
      </c>
      <c r="G60" s="44" t="n">
        <f aca="false">IF(AND(ISNUMBER(MATCH(A60,Sezoane!$C$6:$C$40,1)),A60&lt;=INDEX(Sezoane!$D$6:$D$40,MATCH(A60,Sezoane!$C$6:$C$40,1))),INDEX('Prețuri de setat'!$G$5:$G$39,MATCH(A60,Sezoane!$C$6:$C$40,1)),"")</f>
        <v>1420</v>
      </c>
      <c r="H60" s="44" t="n">
        <f aca="false">IF(AND(ISNUMBER(MATCH(A60,Sezoane!$C$6:$C$40,1)),A60&lt;=INDEX(Sezoane!$D$6:$D$40,MATCH(A60,Sezoane!$C$6:$C$40,1))),INDEX('Prețuri de setat'!$H$5:$H$39,MATCH(A60,Sezoane!$C$6:$C$40,1)),"")</f>
        <v>1360</v>
      </c>
      <c r="I60" s="44" t="n">
        <f aca="false">IF(AND(ISNUMBER(MATCH(A60,Sezoane!$C$6:$C$40,1)),A60&lt;=INDEX(Sezoane!$D$6:$D$40,MATCH(A60,Sezoane!$C$6:$C$40,1))),INDEX('Prețuri de setat'!$I$5:$I$39,MATCH(A60,Sezoane!$C$6:$C$40,1)),"")</f>
        <v>1202</v>
      </c>
    </row>
    <row r="61" customFormat="false" ht="15" hidden="false" customHeight="false" outlineLevel="0" collapsed="false">
      <c r="A61" s="41" t="n">
        <f aca="false">$B$2+56</f>
        <v>46372</v>
      </c>
      <c r="B61" s="42" t="str">
        <f aca="false">CHOOSE(WEEKDAY(A61,2),"Lu","Ma","Mi","Jo","Vi","Sâ","Du")</f>
        <v>Mi</v>
      </c>
      <c r="C61" s="42" t="str">
        <f aca="false">IF(AND(ISNUMBER(MATCH(A61,Sezoane!$C$6:$C$40,1)),A61&lt;=INDEX(Sezoane!$D$6:$D$40,MATCH(A61,Sezoane!$C$6:$C$40,1))),INDEX(Sezoane!$A$6:$A$40,MATCH(A61,Sezoane!$C$6:$C$40,1)),"⚠ fără sezon")</f>
        <v>iarna-2026</v>
      </c>
      <c r="D61" s="43" t="n">
        <f aca="false">IF(AND(ISNUMBER(MATCH(A61,Sezoane!$C$6:$C$40,1)),A61&lt;=INDEX(Sezoane!$D$6:$D$40,MATCH(A61,Sezoane!$C$6:$C$40,1))),INDEX(Sezoane!$F$6:$F$40,MATCH(A61,Sezoane!$C$6:$C$40,1)),"")</f>
        <v>2</v>
      </c>
      <c r="E61" s="44" t="n">
        <f aca="false">IF(AND(ISNUMBER(MATCH(A61,Sezoane!$C$6:$C$40,1)),A61&lt;=INDEX(Sezoane!$D$6:$D$40,MATCH(A61,Sezoane!$C$6:$C$40,1))),INDEX('Prețuri de setat'!$E$5:$E$39,MATCH(A61,Sezoane!$C$6:$C$40,1)),"")</f>
        <v>1250</v>
      </c>
      <c r="F61" s="44" t="n">
        <f aca="false">IF(AND(ISNUMBER(MATCH(A61,Sezoane!$C$6:$C$40,1)),A61&lt;=INDEX(Sezoane!$D$6:$D$40,MATCH(A61,Sezoane!$C$6:$C$40,1))),INDEX('Prețuri de setat'!$F$5:$F$39,MATCH(A61,Sezoane!$C$6:$C$40,1)),"")</f>
        <v>1580</v>
      </c>
      <c r="G61" s="44" t="n">
        <f aca="false">IF(AND(ISNUMBER(MATCH(A61,Sezoane!$C$6:$C$40,1)),A61&lt;=INDEX(Sezoane!$D$6:$D$40,MATCH(A61,Sezoane!$C$6:$C$40,1))),INDEX('Prețuri de setat'!$G$5:$G$39,MATCH(A61,Sezoane!$C$6:$C$40,1)),"")</f>
        <v>1420</v>
      </c>
      <c r="H61" s="44" t="n">
        <f aca="false">IF(AND(ISNUMBER(MATCH(A61,Sezoane!$C$6:$C$40,1)),A61&lt;=INDEX(Sezoane!$D$6:$D$40,MATCH(A61,Sezoane!$C$6:$C$40,1))),INDEX('Prețuri de setat'!$H$5:$H$39,MATCH(A61,Sezoane!$C$6:$C$40,1)),"")</f>
        <v>1360</v>
      </c>
      <c r="I61" s="44" t="n">
        <f aca="false">IF(AND(ISNUMBER(MATCH(A61,Sezoane!$C$6:$C$40,1)),A61&lt;=INDEX(Sezoane!$D$6:$D$40,MATCH(A61,Sezoane!$C$6:$C$40,1))),INDEX('Prețuri de setat'!$I$5:$I$39,MATCH(A61,Sezoane!$C$6:$C$40,1)),"")</f>
        <v>1202</v>
      </c>
    </row>
    <row r="62" customFormat="false" ht="15" hidden="false" customHeight="false" outlineLevel="0" collapsed="false">
      <c r="A62" s="41" t="n">
        <f aca="false">$B$2+57</f>
        <v>46373</v>
      </c>
      <c r="B62" s="42" t="str">
        <f aca="false">CHOOSE(WEEKDAY(A62,2),"Lu","Ma","Mi","Jo","Vi","Sâ","Du")</f>
        <v>Jo</v>
      </c>
      <c r="C62" s="42" t="str">
        <f aca="false">IF(AND(ISNUMBER(MATCH(A62,Sezoane!$C$6:$C$40,1)),A62&lt;=INDEX(Sezoane!$D$6:$D$40,MATCH(A62,Sezoane!$C$6:$C$40,1))),INDEX(Sezoane!$A$6:$A$40,MATCH(A62,Sezoane!$C$6:$C$40,1)),"⚠ fără sezon")</f>
        <v>iarna-2026</v>
      </c>
      <c r="D62" s="43" t="n">
        <f aca="false">IF(AND(ISNUMBER(MATCH(A62,Sezoane!$C$6:$C$40,1)),A62&lt;=INDEX(Sezoane!$D$6:$D$40,MATCH(A62,Sezoane!$C$6:$C$40,1))),INDEX(Sezoane!$F$6:$F$40,MATCH(A62,Sezoane!$C$6:$C$40,1)),"")</f>
        <v>2</v>
      </c>
      <c r="E62" s="44" t="n">
        <f aca="false">IF(AND(ISNUMBER(MATCH(A62,Sezoane!$C$6:$C$40,1)),A62&lt;=INDEX(Sezoane!$D$6:$D$40,MATCH(A62,Sezoane!$C$6:$C$40,1))),INDEX('Prețuri de setat'!$E$5:$E$39,MATCH(A62,Sezoane!$C$6:$C$40,1)),"")</f>
        <v>1250</v>
      </c>
      <c r="F62" s="44" t="n">
        <f aca="false">IF(AND(ISNUMBER(MATCH(A62,Sezoane!$C$6:$C$40,1)),A62&lt;=INDEX(Sezoane!$D$6:$D$40,MATCH(A62,Sezoane!$C$6:$C$40,1))),INDEX('Prețuri de setat'!$F$5:$F$39,MATCH(A62,Sezoane!$C$6:$C$40,1)),"")</f>
        <v>1580</v>
      </c>
      <c r="G62" s="44" t="n">
        <f aca="false">IF(AND(ISNUMBER(MATCH(A62,Sezoane!$C$6:$C$40,1)),A62&lt;=INDEX(Sezoane!$D$6:$D$40,MATCH(A62,Sezoane!$C$6:$C$40,1))),INDEX('Prețuri de setat'!$G$5:$G$39,MATCH(A62,Sezoane!$C$6:$C$40,1)),"")</f>
        <v>1420</v>
      </c>
      <c r="H62" s="44" t="n">
        <f aca="false">IF(AND(ISNUMBER(MATCH(A62,Sezoane!$C$6:$C$40,1)),A62&lt;=INDEX(Sezoane!$D$6:$D$40,MATCH(A62,Sezoane!$C$6:$C$40,1))),INDEX('Prețuri de setat'!$H$5:$H$39,MATCH(A62,Sezoane!$C$6:$C$40,1)),"")</f>
        <v>1360</v>
      </c>
      <c r="I62" s="44" t="n">
        <f aca="false">IF(AND(ISNUMBER(MATCH(A62,Sezoane!$C$6:$C$40,1)),A62&lt;=INDEX(Sezoane!$D$6:$D$40,MATCH(A62,Sezoane!$C$6:$C$40,1))),INDEX('Prețuri de setat'!$I$5:$I$39,MATCH(A62,Sezoane!$C$6:$C$40,1)),"")</f>
        <v>1202</v>
      </c>
    </row>
    <row r="63" customFormat="false" ht="15" hidden="false" customHeight="false" outlineLevel="0" collapsed="false">
      <c r="A63" s="41" t="n">
        <f aca="false">$B$2+58</f>
        <v>46374</v>
      </c>
      <c r="B63" s="42" t="str">
        <f aca="false">CHOOSE(WEEKDAY(A63,2),"Lu","Ma","Mi","Jo","Vi","Sâ","Du")</f>
        <v>Vi</v>
      </c>
      <c r="C63" s="42" t="str">
        <f aca="false">IF(AND(ISNUMBER(MATCH(A63,Sezoane!$C$6:$C$40,1)),A63&lt;=INDEX(Sezoane!$D$6:$D$40,MATCH(A63,Sezoane!$C$6:$C$40,1))),INDEX(Sezoane!$A$6:$A$40,MATCH(A63,Sezoane!$C$6:$C$40,1)),"⚠ fără sezon")</f>
        <v>iarna-2026</v>
      </c>
      <c r="D63" s="43" t="n">
        <f aca="false">IF(AND(ISNUMBER(MATCH(A63,Sezoane!$C$6:$C$40,1)),A63&lt;=INDEX(Sezoane!$D$6:$D$40,MATCH(A63,Sezoane!$C$6:$C$40,1))),INDEX(Sezoane!$F$6:$F$40,MATCH(A63,Sezoane!$C$6:$C$40,1)),"")</f>
        <v>2</v>
      </c>
      <c r="E63" s="44" t="n">
        <f aca="false">IF(AND(ISNUMBER(MATCH(A63,Sezoane!$C$6:$C$40,1)),A63&lt;=INDEX(Sezoane!$D$6:$D$40,MATCH(A63,Sezoane!$C$6:$C$40,1))),INDEX('Prețuri de setat'!$E$5:$E$39,MATCH(A63,Sezoane!$C$6:$C$40,1)),"")</f>
        <v>1250</v>
      </c>
      <c r="F63" s="44" t="n">
        <f aca="false">IF(AND(ISNUMBER(MATCH(A63,Sezoane!$C$6:$C$40,1)),A63&lt;=INDEX(Sezoane!$D$6:$D$40,MATCH(A63,Sezoane!$C$6:$C$40,1))),INDEX('Prețuri de setat'!$F$5:$F$39,MATCH(A63,Sezoane!$C$6:$C$40,1)),"")</f>
        <v>1580</v>
      </c>
      <c r="G63" s="44" t="n">
        <f aca="false">IF(AND(ISNUMBER(MATCH(A63,Sezoane!$C$6:$C$40,1)),A63&lt;=INDEX(Sezoane!$D$6:$D$40,MATCH(A63,Sezoane!$C$6:$C$40,1))),INDEX('Prețuri de setat'!$G$5:$G$39,MATCH(A63,Sezoane!$C$6:$C$40,1)),"")</f>
        <v>1420</v>
      </c>
      <c r="H63" s="44" t="n">
        <f aca="false">IF(AND(ISNUMBER(MATCH(A63,Sezoane!$C$6:$C$40,1)),A63&lt;=INDEX(Sezoane!$D$6:$D$40,MATCH(A63,Sezoane!$C$6:$C$40,1))),INDEX('Prețuri de setat'!$H$5:$H$39,MATCH(A63,Sezoane!$C$6:$C$40,1)),"")</f>
        <v>1360</v>
      </c>
      <c r="I63" s="44" t="n">
        <f aca="false">IF(AND(ISNUMBER(MATCH(A63,Sezoane!$C$6:$C$40,1)),A63&lt;=INDEX(Sezoane!$D$6:$D$40,MATCH(A63,Sezoane!$C$6:$C$40,1))),INDEX('Prețuri de setat'!$I$5:$I$39,MATCH(A63,Sezoane!$C$6:$C$40,1)),"")</f>
        <v>1202</v>
      </c>
    </row>
    <row r="64" customFormat="false" ht="15" hidden="false" customHeight="false" outlineLevel="0" collapsed="false">
      <c r="A64" s="41" t="n">
        <f aca="false">$B$2+59</f>
        <v>46375</v>
      </c>
      <c r="B64" s="42" t="str">
        <f aca="false">CHOOSE(WEEKDAY(A64,2),"Lu","Ma","Mi","Jo","Vi","Sâ","Du")</f>
        <v>Sâ</v>
      </c>
      <c r="C64" s="42" t="str">
        <f aca="false">IF(AND(ISNUMBER(MATCH(A64,Sezoane!$C$6:$C$40,1)),A64&lt;=INDEX(Sezoane!$D$6:$D$40,MATCH(A64,Sezoane!$C$6:$C$40,1))),INDEX(Sezoane!$A$6:$A$40,MATCH(A64,Sezoane!$C$6:$C$40,1)),"⚠ fără sezon")</f>
        <v>iarna-2026</v>
      </c>
      <c r="D64" s="43" t="n">
        <f aca="false">IF(AND(ISNUMBER(MATCH(A64,Sezoane!$C$6:$C$40,1)),A64&lt;=INDEX(Sezoane!$D$6:$D$40,MATCH(A64,Sezoane!$C$6:$C$40,1))),INDEX(Sezoane!$F$6:$F$40,MATCH(A64,Sezoane!$C$6:$C$40,1)),"")</f>
        <v>2</v>
      </c>
      <c r="E64" s="44" t="n">
        <f aca="false">IF(AND(ISNUMBER(MATCH(A64,Sezoane!$C$6:$C$40,1)),A64&lt;=INDEX(Sezoane!$D$6:$D$40,MATCH(A64,Sezoane!$C$6:$C$40,1))),INDEX('Prețuri de setat'!$E$5:$E$39,MATCH(A64,Sezoane!$C$6:$C$40,1)),"")</f>
        <v>1250</v>
      </c>
      <c r="F64" s="44" t="n">
        <f aca="false">IF(AND(ISNUMBER(MATCH(A64,Sezoane!$C$6:$C$40,1)),A64&lt;=INDEX(Sezoane!$D$6:$D$40,MATCH(A64,Sezoane!$C$6:$C$40,1))),INDEX('Prețuri de setat'!$F$5:$F$39,MATCH(A64,Sezoane!$C$6:$C$40,1)),"")</f>
        <v>1580</v>
      </c>
      <c r="G64" s="44" t="n">
        <f aca="false">IF(AND(ISNUMBER(MATCH(A64,Sezoane!$C$6:$C$40,1)),A64&lt;=INDEX(Sezoane!$D$6:$D$40,MATCH(A64,Sezoane!$C$6:$C$40,1))),INDEX('Prețuri de setat'!$G$5:$G$39,MATCH(A64,Sezoane!$C$6:$C$40,1)),"")</f>
        <v>1420</v>
      </c>
      <c r="H64" s="44" t="n">
        <f aca="false">IF(AND(ISNUMBER(MATCH(A64,Sezoane!$C$6:$C$40,1)),A64&lt;=INDEX(Sezoane!$D$6:$D$40,MATCH(A64,Sezoane!$C$6:$C$40,1))),INDEX('Prețuri de setat'!$H$5:$H$39,MATCH(A64,Sezoane!$C$6:$C$40,1)),"")</f>
        <v>1360</v>
      </c>
      <c r="I64" s="44" t="n">
        <f aca="false">IF(AND(ISNUMBER(MATCH(A64,Sezoane!$C$6:$C$40,1)),A64&lt;=INDEX(Sezoane!$D$6:$D$40,MATCH(A64,Sezoane!$C$6:$C$40,1))),INDEX('Prețuri de setat'!$I$5:$I$39,MATCH(A64,Sezoane!$C$6:$C$40,1)),"")</f>
        <v>1202</v>
      </c>
    </row>
    <row r="65" customFormat="false" ht="15" hidden="false" customHeight="false" outlineLevel="0" collapsed="false">
      <c r="A65" s="41" t="n">
        <f aca="false">$B$2+60</f>
        <v>46376</v>
      </c>
      <c r="B65" s="42" t="str">
        <f aca="false">CHOOSE(WEEKDAY(A65,2),"Lu","Ma","Mi","Jo","Vi","Sâ","Du")</f>
        <v>Du</v>
      </c>
      <c r="C65" s="42" t="str">
        <f aca="false">IF(AND(ISNUMBER(MATCH(A65,Sezoane!$C$6:$C$40,1)),A65&lt;=INDEX(Sezoane!$D$6:$D$40,MATCH(A65,Sezoane!$C$6:$C$40,1))),INDEX(Sezoane!$A$6:$A$40,MATCH(A65,Sezoane!$C$6:$C$40,1)),"⚠ fără sezon")</f>
        <v>iarna-2026</v>
      </c>
      <c r="D65" s="43" t="n">
        <f aca="false">IF(AND(ISNUMBER(MATCH(A65,Sezoane!$C$6:$C$40,1)),A65&lt;=INDEX(Sezoane!$D$6:$D$40,MATCH(A65,Sezoane!$C$6:$C$40,1))),INDEX(Sezoane!$F$6:$F$40,MATCH(A65,Sezoane!$C$6:$C$40,1)),"")</f>
        <v>2</v>
      </c>
      <c r="E65" s="44" t="n">
        <f aca="false">IF(AND(ISNUMBER(MATCH(A65,Sezoane!$C$6:$C$40,1)),A65&lt;=INDEX(Sezoane!$D$6:$D$40,MATCH(A65,Sezoane!$C$6:$C$40,1))),INDEX('Prețuri de setat'!$E$5:$E$39,MATCH(A65,Sezoane!$C$6:$C$40,1)),"")</f>
        <v>1250</v>
      </c>
      <c r="F65" s="44" t="n">
        <f aca="false">IF(AND(ISNUMBER(MATCH(A65,Sezoane!$C$6:$C$40,1)),A65&lt;=INDEX(Sezoane!$D$6:$D$40,MATCH(A65,Sezoane!$C$6:$C$40,1))),INDEX('Prețuri de setat'!$F$5:$F$39,MATCH(A65,Sezoane!$C$6:$C$40,1)),"")</f>
        <v>1580</v>
      </c>
      <c r="G65" s="44" t="n">
        <f aca="false">IF(AND(ISNUMBER(MATCH(A65,Sezoane!$C$6:$C$40,1)),A65&lt;=INDEX(Sezoane!$D$6:$D$40,MATCH(A65,Sezoane!$C$6:$C$40,1))),INDEX('Prețuri de setat'!$G$5:$G$39,MATCH(A65,Sezoane!$C$6:$C$40,1)),"")</f>
        <v>1420</v>
      </c>
      <c r="H65" s="44" t="n">
        <f aca="false">IF(AND(ISNUMBER(MATCH(A65,Sezoane!$C$6:$C$40,1)),A65&lt;=INDEX(Sezoane!$D$6:$D$40,MATCH(A65,Sezoane!$C$6:$C$40,1))),INDEX('Prețuri de setat'!$H$5:$H$39,MATCH(A65,Sezoane!$C$6:$C$40,1)),"")</f>
        <v>1360</v>
      </c>
      <c r="I65" s="44" t="n">
        <f aca="false">IF(AND(ISNUMBER(MATCH(A65,Sezoane!$C$6:$C$40,1)),A65&lt;=INDEX(Sezoane!$D$6:$D$40,MATCH(A65,Sezoane!$C$6:$C$40,1))),INDEX('Prețuri de setat'!$I$5:$I$39,MATCH(A65,Sezoane!$C$6:$C$40,1)),"")</f>
        <v>1202</v>
      </c>
    </row>
    <row r="66" customFormat="false" ht="15" hidden="false" customHeight="false" outlineLevel="0" collapsed="false">
      <c r="A66" s="41" t="n">
        <f aca="false">$B$2+61</f>
        <v>46377</v>
      </c>
      <c r="B66" s="42" t="str">
        <f aca="false">CHOOSE(WEEKDAY(A66,2),"Lu","Ma","Mi","Jo","Vi","Sâ","Du")</f>
        <v>Lu</v>
      </c>
      <c r="C66" s="42" t="str">
        <f aca="false">IF(AND(ISNUMBER(MATCH(A66,Sezoane!$C$6:$C$40,1)),A66&lt;=INDEX(Sezoane!$D$6:$D$40,MATCH(A66,Sezoane!$C$6:$C$40,1))),INDEX(Sezoane!$A$6:$A$40,MATCH(A66,Sezoane!$C$6:$C$40,1)),"⚠ fără sezon")</f>
        <v>Craciun-2026</v>
      </c>
      <c r="D66" s="43" t="n">
        <f aca="false">IF(AND(ISNUMBER(MATCH(A66,Sezoane!$C$6:$C$40,1)),A66&lt;=INDEX(Sezoane!$D$6:$D$40,MATCH(A66,Sezoane!$C$6:$C$40,1))),INDEX(Sezoane!$F$6:$F$40,MATCH(A66,Sezoane!$C$6:$C$40,1)),"")</f>
        <v>3</v>
      </c>
      <c r="E66" s="44" t="n">
        <f aca="false">IF(AND(ISNUMBER(MATCH(A66,Sezoane!$C$6:$C$40,1)),A66&lt;=INDEX(Sezoane!$D$6:$D$40,MATCH(A66,Sezoane!$C$6:$C$40,1))),INDEX('Prețuri de setat'!$E$5:$E$39,MATCH(A66,Sezoane!$C$6:$C$40,1)),"")</f>
        <v>1500</v>
      </c>
      <c r="F66" s="44" t="n">
        <f aca="false">IF(AND(ISNUMBER(MATCH(A66,Sezoane!$C$6:$C$40,1)),A66&lt;=INDEX(Sezoane!$D$6:$D$40,MATCH(A66,Sezoane!$C$6:$C$40,1))),INDEX('Prețuri de setat'!$F$5:$F$39,MATCH(A66,Sezoane!$C$6:$C$40,1)),"")</f>
        <v>1890</v>
      </c>
      <c r="G66" s="44" t="n">
        <f aca="false">IF(AND(ISNUMBER(MATCH(A66,Sezoane!$C$6:$C$40,1)),A66&lt;=INDEX(Sezoane!$D$6:$D$40,MATCH(A66,Sezoane!$C$6:$C$40,1))),INDEX('Prețuri de setat'!$G$5:$G$39,MATCH(A66,Sezoane!$C$6:$C$40,1)),"")</f>
        <v>1700</v>
      </c>
      <c r="H66" s="44" t="n">
        <f aca="false">IF(AND(ISNUMBER(MATCH(A66,Sezoane!$C$6:$C$40,1)),A66&lt;=INDEX(Sezoane!$D$6:$D$40,MATCH(A66,Sezoane!$C$6:$C$40,1))),INDEX('Prețuri de setat'!$H$5:$H$39,MATCH(A66,Sezoane!$C$6:$C$40,1)),"")</f>
        <v>1630</v>
      </c>
      <c r="I66" s="44" t="n">
        <f aca="false">IF(AND(ISNUMBER(MATCH(A66,Sezoane!$C$6:$C$40,1)),A66&lt;=INDEX(Sezoane!$D$6:$D$40,MATCH(A66,Sezoane!$C$6:$C$40,1))),INDEX('Prețuri de setat'!$I$5:$I$39,MATCH(A66,Sezoane!$C$6:$C$40,1)),"")</f>
        <v>1452</v>
      </c>
    </row>
    <row r="67" customFormat="false" ht="15" hidden="false" customHeight="false" outlineLevel="0" collapsed="false">
      <c r="A67" s="41" t="n">
        <f aca="false">$B$2+62</f>
        <v>46378</v>
      </c>
      <c r="B67" s="42" t="str">
        <f aca="false">CHOOSE(WEEKDAY(A67,2),"Lu","Ma","Mi","Jo","Vi","Sâ","Du")</f>
        <v>Ma</v>
      </c>
      <c r="C67" s="42" t="str">
        <f aca="false">IF(AND(ISNUMBER(MATCH(A67,Sezoane!$C$6:$C$40,1)),A67&lt;=INDEX(Sezoane!$D$6:$D$40,MATCH(A67,Sezoane!$C$6:$C$40,1))),INDEX(Sezoane!$A$6:$A$40,MATCH(A67,Sezoane!$C$6:$C$40,1)),"⚠ fără sezon")</f>
        <v>Craciun-2026</v>
      </c>
      <c r="D67" s="43" t="n">
        <f aca="false">IF(AND(ISNUMBER(MATCH(A67,Sezoane!$C$6:$C$40,1)),A67&lt;=INDEX(Sezoane!$D$6:$D$40,MATCH(A67,Sezoane!$C$6:$C$40,1))),INDEX(Sezoane!$F$6:$F$40,MATCH(A67,Sezoane!$C$6:$C$40,1)),"")</f>
        <v>3</v>
      </c>
      <c r="E67" s="44" t="n">
        <f aca="false">IF(AND(ISNUMBER(MATCH(A67,Sezoane!$C$6:$C$40,1)),A67&lt;=INDEX(Sezoane!$D$6:$D$40,MATCH(A67,Sezoane!$C$6:$C$40,1))),INDEX('Prețuri de setat'!$E$5:$E$39,MATCH(A67,Sezoane!$C$6:$C$40,1)),"")</f>
        <v>1500</v>
      </c>
      <c r="F67" s="44" t="n">
        <f aca="false">IF(AND(ISNUMBER(MATCH(A67,Sezoane!$C$6:$C$40,1)),A67&lt;=INDEX(Sezoane!$D$6:$D$40,MATCH(A67,Sezoane!$C$6:$C$40,1))),INDEX('Prețuri de setat'!$F$5:$F$39,MATCH(A67,Sezoane!$C$6:$C$40,1)),"")</f>
        <v>1890</v>
      </c>
      <c r="G67" s="44" t="n">
        <f aca="false">IF(AND(ISNUMBER(MATCH(A67,Sezoane!$C$6:$C$40,1)),A67&lt;=INDEX(Sezoane!$D$6:$D$40,MATCH(A67,Sezoane!$C$6:$C$40,1))),INDEX('Prețuri de setat'!$G$5:$G$39,MATCH(A67,Sezoane!$C$6:$C$40,1)),"")</f>
        <v>1700</v>
      </c>
      <c r="H67" s="44" t="n">
        <f aca="false">IF(AND(ISNUMBER(MATCH(A67,Sezoane!$C$6:$C$40,1)),A67&lt;=INDEX(Sezoane!$D$6:$D$40,MATCH(A67,Sezoane!$C$6:$C$40,1))),INDEX('Prețuri de setat'!$H$5:$H$39,MATCH(A67,Sezoane!$C$6:$C$40,1)),"")</f>
        <v>1630</v>
      </c>
      <c r="I67" s="44" t="n">
        <f aca="false">IF(AND(ISNUMBER(MATCH(A67,Sezoane!$C$6:$C$40,1)),A67&lt;=INDEX(Sezoane!$D$6:$D$40,MATCH(A67,Sezoane!$C$6:$C$40,1))),INDEX('Prețuri de setat'!$I$5:$I$39,MATCH(A67,Sezoane!$C$6:$C$40,1)),"")</f>
        <v>1452</v>
      </c>
    </row>
    <row r="68" customFormat="false" ht="15" hidden="false" customHeight="false" outlineLevel="0" collapsed="false">
      <c r="A68" s="41" t="n">
        <f aca="false">$B$2+63</f>
        <v>46379</v>
      </c>
      <c r="B68" s="42" t="str">
        <f aca="false">CHOOSE(WEEKDAY(A68,2),"Lu","Ma","Mi","Jo","Vi","Sâ","Du")</f>
        <v>Mi</v>
      </c>
      <c r="C68" s="42" t="str">
        <f aca="false">IF(AND(ISNUMBER(MATCH(A68,Sezoane!$C$6:$C$40,1)),A68&lt;=INDEX(Sezoane!$D$6:$D$40,MATCH(A68,Sezoane!$C$6:$C$40,1))),INDEX(Sezoane!$A$6:$A$40,MATCH(A68,Sezoane!$C$6:$C$40,1)),"⚠ fără sezon")</f>
        <v>Craciun-2026</v>
      </c>
      <c r="D68" s="43" t="n">
        <f aca="false">IF(AND(ISNUMBER(MATCH(A68,Sezoane!$C$6:$C$40,1)),A68&lt;=INDEX(Sezoane!$D$6:$D$40,MATCH(A68,Sezoane!$C$6:$C$40,1))),INDEX(Sezoane!$F$6:$F$40,MATCH(A68,Sezoane!$C$6:$C$40,1)),"")</f>
        <v>3</v>
      </c>
      <c r="E68" s="44" t="n">
        <f aca="false">IF(AND(ISNUMBER(MATCH(A68,Sezoane!$C$6:$C$40,1)),A68&lt;=INDEX(Sezoane!$D$6:$D$40,MATCH(A68,Sezoane!$C$6:$C$40,1))),INDEX('Prețuri de setat'!$E$5:$E$39,MATCH(A68,Sezoane!$C$6:$C$40,1)),"")</f>
        <v>1500</v>
      </c>
      <c r="F68" s="44" t="n">
        <f aca="false">IF(AND(ISNUMBER(MATCH(A68,Sezoane!$C$6:$C$40,1)),A68&lt;=INDEX(Sezoane!$D$6:$D$40,MATCH(A68,Sezoane!$C$6:$C$40,1))),INDEX('Prețuri de setat'!$F$5:$F$39,MATCH(A68,Sezoane!$C$6:$C$40,1)),"")</f>
        <v>1890</v>
      </c>
      <c r="G68" s="44" t="n">
        <f aca="false">IF(AND(ISNUMBER(MATCH(A68,Sezoane!$C$6:$C$40,1)),A68&lt;=INDEX(Sezoane!$D$6:$D$40,MATCH(A68,Sezoane!$C$6:$C$40,1))),INDEX('Prețuri de setat'!$G$5:$G$39,MATCH(A68,Sezoane!$C$6:$C$40,1)),"")</f>
        <v>1700</v>
      </c>
      <c r="H68" s="44" t="n">
        <f aca="false">IF(AND(ISNUMBER(MATCH(A68,Sezoane!$C$6:$C$40,1)),A68&lt;=INDEX(Sezoane!$D$6:$D$40,MATCH(A68,Sezoane!$C$6:$C$40,1))),INDEX('Prețuri de setat'!$H$5:$H$39,MATCH(A68,Sezoane!$C$6:$C$40,1)),"")</f>
        <v>1630</v>
      </c>
      <c r="I68" s="44" t="n">
        <f aca="false">IF(AND(ISNUMBER(MATCH(A68,Sezoane!$C$6:$C$40,1)),A68&lt;=INDEX(Sezoane!$D$6:$D$40,MATCH(A68,Sezoane!$C$6:$C$40,1))),INDEX('Prețuri de setat'!$I$5:$I$39,MATCH(A68,Sezoane!$C$6:$C$40,1)),"")</f>
        <v>1452</v>
      </c>
    </row>
    <row r="69" customFormat="false" ht="15" hidden="false" customHeight="false" outlineLevel="0" collapsed="false">
      <c r="A69" s="41" t="n">
        <f aca="false">$B$2+64</f>
        <v>46380</v>
      </c>
      <c r="B69" s="42" t="str">
        <f aca="false">CHOOSE(WEEKDAY(A69,2),"Lu","Ma","Mi","Jo","Vi","Sâ","Du")</f>
        <v>Jo</v>
      </c>
      <c r="C69" s="42" t="str">
        <f aca="false">IF(AND(ISNUMBER(MATCH(A69,Sezoane!$C$6:$C$40,1)),A69&lt;=INDEX(Sezoane!$D$6:$D$40,MATCH(A69,Sezoane!$C$6:$C$40,1))),INDEX(Sezoane!$A$6:$A$40,MATCH(A69,Sezoane!$C$6:$C$40,1)),"⚠ fără sezon")</f>
        <v>Craciun-2026</v>
      </c>
      <c r="D69" s="43" t="n">
        <f aca="false">IF(AND(ISNUMBER(MATCH(A69,Sezoane!$C$6:$C$40,1)),A69&lt;=INDEX(Sezoane!$D$6:$D$40,MATCH(A69,Sezoane!$C$6:$C$40,1))),INDEX(Sezoane!$F$6:$F$40,MATCH(A69,Sezoane!$C$6:$C$40,1)),"")</f>
        <v>3</v>
      </c>
      <c r="E69" s="44" t="n">
        <f aca="false">IF(AND(ISNUMBER(MATCH(A69,Sezoane!$C$6:$C$40,1)),A69&lt;=INDEX(Sezoane!$D$6:$D$40,MATCH(A69,Sezoane!$C$6:$C$40,1))),INDEX('Prețuri de setat'!$E$5:$E$39,MATCH(A69,Sezoane!$C$6:$C$40,1)),"")</f>
        <v>1500</v>
      </c>
      <c r="F69" s="44" t="n">
        <f aca="false">IF(AND(ISNUMBER(MATCH(A69,Sezoane!$C$6:$C$40,1)),A69&lt;=INDEX(Sezoane!$D$6:$D$40,MATCH(A69,Sezoane!$C$6:$C$40,1))),INDEX('Prețuri de setat'!$F$5:$F$39,MATCH(A69,Sezoane!$C$6:$C$40,1)),"")</f>
        <v>1890</v>
      </c>
      <c r="G69" s="44" t="n">
        <f aca="false">IF(AND(ISNUMBER(MATCH(A69,Sezoane!$C$6:$C$40,1)),A69&lt;=INDEX(Sezoane!$D$6:$D$40,MATCH(A69,Sezoane!$C$6:$C$40,1))),INDEX('Prețuri de setat'!$G$5:$G$39,MATCH(A69,Sezoane!$C$6:$C$40,1)),"")</f>
        <v>1700</v>
      </c>
      <c r="H69" s="44" t="n">
        <f aca="false">IF(AND(ISNUMBER(MATCH(A69,Sezoane!$C$6:$C$40,1)),A69&lt;=INDEX(Sezoane!$D$6:$D$40,MATCH(A69,Sezoane!$C$6:$C$40,1))),INDEX('Prețuri de setat'!$H$5:$H$39,MATCH(A69,Sezoane!$C$6:$C$40,1)),"")</f>
        <v>1630</v>
      </c>
      <c r="I69" s="44" t="n">
        <f aca="false">IF(AND(ISNUMBER(MATCH(A69,Sezoane!$C$6:$C$40,1)),A69&lt;=INDEX(Sezoane!$D$6:$D$40,MATCH(A69,Sezoane!$C$6:$C$40,1))),INDEX('Prețuri de setat'!$I$5:$I$39,MATCH(A69,Sezoane!$C$6:$C$40,1)),"")</f>
        <v>1452</v>
      </c>
    </row>
    <row r="70" customFormat="false" ht="15" hidden="false" customHeight="false" outlineLevel="0" collapsed="false">
      <c r="A70" s="41" t="n">
        <f aca="false">$B$2+65</f>
        <v>46381</v>
      </c>
      <c r="B70" s="42" t="str">
        <f aca="false">CHOOSE(WEEKDAY(A70,2),"Lu","Ma","Mi","Jo","Vi","Sâ","Du")</f>
        <v>Vi</v>
      </c>
      <c r="C70" s="42" t="str">
        <f aca="false">IF(AND(ISNUMBER(MATCH(A70,Sezoane!$C$6:$C$40,1)),A70&lt;=INDEX(Sezoane!$D$6:$D$40,MATCH(A70,Sezoane!$C$6:$C$40,1))),INDEX(Sezoane!$A$6:$A$40,MATCH(A70,Sezoane!$C$6:$C$40,1)),"⚠ fără sezon")</f>
        <v>Craciun-2026</v>
      </c>
      <c r="D70" s="43" t="n">
        <f aca="false">IF(AND(ISNUMBER(MATCH(A70,Sezoane!$C$6:$C$40,1)),A70&lt;=INDEX(Sezoane!$D$6:$D$40,MATCH(A70,Sezoane!$C$6:$C$40,1))),INDEX(Sezoane!$F$6:$F$40,MATCH(A70,Sezoane!$C$6:$C$40,1)),"")</f>
        <v>3</v>
      </c>
      <c r="E70" s="44" t="n">
        <f aca="false">IF(AND(ISNUMBER(MATCH(A70,Sezoane!$C$6:$C$40,1)),A70&lt;=INDEX(Sezoane!$D$6:$D$40,MATCH(A70,Sezoane!$C$6:$C$40,1))),INDEX('Prețuri de setat'!$E$5:$E$39,MATCH(A70,Sezoane!$C$6:$C$40,1)),"")</f>
        <v>1500</v>
      </c>
      <c r="F70" s="44" t="n">
        <f aca="false">IF(AND(ISNUMBER(MATCH(A70,Sezoane!$C$6:$C$40,1)),A70&lt;=INDEX(Sezoane!$D$6:$D$40,MATCH(A70,Sezoane!$C$6:$C$40,1))),INDEX('Prețuri de setat'!$F$5:$F$39,MATCH(A70,Sezoane!$C$6:$C$40,1)),"")</f>
        <v>1890</v>
      </c>
      <c r="G70" s="44" t="n">
        <f aca="false">IF(AND(ISNUMBER(MATCH(A70,Sezoane!$C$6:$C$40,1)),A70&lt;=INDEX(Sezoane!$D$6:$D$40,MATCH(A70,Sezoane!$C$6:$C$40,1))),INDEX('Prețuri de setat'!$G$5:$G$39,MATCH(A70,Sezoane!$C$6:$C$40,1)),"")</f>
        <v>1700</v>
      </c>
      <c r="H70" s="44" t="n">
        <f aca="false">IF(AND(ISNUMBER(MATCH(A70,Sezoane!$C$6:$C$40,1)),A70&lt;=INDEX(Sezoane!$D$6:$D$40,MATCH(A70,Sezoane!$C$6:$C$40,1))),INDEX('Prețuri de setat'!$H$5:$H$39,MATCH(A70,Sezoane!$C$6:$C$40,1)),"")</f>
        <v>1630</v>
      </c>
      <c r="I70" s="44" t="n">
        <f aca="false">IF(AND(ISNUMBER(MATCH(A70,Sezoane!$C$6:$C$40,1)),A70&lt;=INDEX(Sezoane!$D$6:$D$40,MATCH(A70,Sezoane!$C$6:$C$40,1))),INDEX('Prețuri de setat'!$I$5:$I$39,MATCH(A70,Sezoane!$C$6:$C$40,1)),"")</f>
        <v>1452</v>
      </c>
    </row>
    <row r="71" customFormat="false" ht="15" hidden="false" customHeight="false" outlineLevel="0" collapsed="false">
      <c r="A71" s="41" t="n">
        <f aca="false">$B$2+66</f>
        <v>46382</v>
      </c>
      <c r="B71" s="42" t="str">
        <f aca="false">CHOOSE(WEEKDAY(A71,2),"Lu","Ma","Mi","Jo","Vi","Sâ","Du")</f>
        <v>Sâ</v>
      </c>
      <c r="C71" s="42" t="str">
        <f aca="false">IF(AND(ISNUMBER(MATCH(A71,Sezoane!$C$6:$C$40,1)),A71&lt;=INDEX(Sezoane!$D$6:$D$40,MATCH(A71,Sezoane!$C$6:$C$40,1))),INDEX(Sezoane!$A$6:$A$40,MATCH(A71,Sezoane!$C$6:$C$40,1)),"⚠ fără sezon")</f>
        <v>Craciun-2026</v>
      </c>
      <c r="D71" s="43" t="n">
        <f aca="false">IF(AND(ISNUMBER(MATCH(A71,Sezoane!$C$6:$C$40,1)),A71&lt;=INDEX(Sezoane!$D$6:$D$40,MATCH(A71,Sezoane!$C$6:$C$40,1))),INDEX(Sezoane!$F$6:$F$40,MATCH(A71,Sezoane!$C$6:$C$40,1)),"")</f>
        <v>3</v>
      </c>
      <c r="E71" s="44" t="n">
        <f aca="false">IF(AND(ISNUMBER(MATCH(A71,Sezoane!$C$6:$C$40,1)),A71&lt;=INDEX(Sezoane!$D$6:$D$40,MATCH(A71,Sezoane!$C$6:$C$40,1))),INDEX('Prețuri de setat'!$E$5:$E$39,MATCH(A71,Sezoane!$C$6:$C$40,1)),"")</f>
        <v>1500</v>
      </c>
      <c r="F71" s="44" t="n">
        <f aca="false">IF(AND(ISNUMBER(MATCH(A71,Sezoane!$C$6:$C$40,1)),A71&lt;=INDEX(Sezoane!$D$6:$D$40,MATCH(A71,Sezoane!$C$6:$C$40,1))),INDEX('Prețuri de setat'!$F$5:$F$39,MATCH(A71,Sezoane!$C$6:$C$40,1)),"")</f>
        <v>1890</v>
      </c>
      <c r="G71" s="44" t="n">
        <f aca="false">IF(AND(ISNUMBER(MATCH(A71,Sezoane!$C$6:$C$40,1)),A71&lt;=INDEX(Sezoane!$D$6:$D$40,MATCH(A71,Sezoane!$C$6:$C$40,1))),INDEX('Prețuri de setat'!$G$5:$G$39,MATCH(A71,Sezoane!$C$6:$C$40,1)),"")</f>
        <v>1700</v>
      </c>
      <c r="H71" s="44" t="n">
        <f aca="false">IF(AND(ISNUMBER(MATCH(A71,Sezoane!$C$6:$C$40,1)),A71&lt;=INDEX(Sezoane!$D$6:$D$40,MATCH(A71,Sezoane!$C$6:$C$40,1))),INDEX('Prețuri de setat'!$H$5:$H$39,MATCH(A71,Sezoane!$C$6:$C$40,1)),"")</f>
        <v>1630</v>
      </c>
      <c r="I71" s="44" t="n">
        <f aca="false">IF(AND(ISNUMBER(MATCH(A71,Sezoane!$C$6:$C$40,1)),A71&lt;=INDEX(Sezoane!$D$6:$D$40,MATCH(A71,Sezoane!$C$6:$C$40,1))),INDEX('Prețuri de setat'!$I$5:$I$39,MATCH(A71,Sezoane!$C$6:$C$40,1)),"")</f>
        <v>1452</v>
      </c>
    </row>
    <row r="72" customFormat="false" ht="15" hidden="false" customHeight="false" outlineLevel="0" collapsed="false">
      <c r="A72" s="41" t="n">
        <f aca="false">$B$2+67</f>
        <v>46383</v>
      </c>
      <c r="B72" s="42" t="str">
        <f aca="false">CHOOSE(WEEKDAY(A72,2),"Lu","Ma","Mi","Jo","Vi","Sâ","Du")</f>
        <v>Du</v>
      </c>
      <c r="C72" s="42" t="str">
        <f aca="false">IF(AND(ISNUMBER(MATCH(A72,Sezoane!$C$6:$C$40,1)),A72&lt;=INDEX(Sezoane!$D$6:$D$40,MATCH(A72,Sezoane!$C$6:$C$40,1))),INDEX(Sezoane!$A$6:$A$40,MATCH(A72,Sezoane!$C$6:$C$40,1)),"⚠ fără sezon")</f>
        <v>Craciun-2026</v>
      </c>
      <c r="D72" s="43" t="n">
        <f aca="false">IF(AND(ISNUMBER(MATCH(A72,Sezoane!$C$6:$C$40,1)),A72&lt;=INDEX(Sezoane!$D$6:$D$40,MATCH(A72,Sezoane!$C$6:$C$40,1))),INDEX(Sezoane!$F$6:$F$40,MATCH(A72,Sezoane!$C$6:$C$40,1)),"")</f>
        <v>3</v>
      </c>
      <c r="E72" s="44" t="n">
        <f aca="false">IF(AND(ISNUMBER(MATCH(A72,Sezoane!$C$6:$C$40,1)),A72&lt;=INDEX(Sezoane!$D$6:$D$40,MATCH(A72,Sezoane!$C$6:$C$40,1))),INDEX('Prețuri de setat'!$E$5:$E$39,MATCH(A72,Sezoane!$C$6:$C$40,1)),"")</f>
        <v>1500</v>
      </c>
      <c r="F72" s="44" t="n">
        <f aca="false">IF(AND(ISNUMBER(MATCH(A72,Sezoane!$C$6:$C$40,1)),A72&lt;=INDEX(Sezoane!$D$6:$D$40,MATCH(A72,Sezoane!$C$6:$C$40,1))),INDEX('Prețuri de setat'!$F$5:$F$39,MATCH(A72,Sezoane!$C$6:$C$40,1)),"")</f>
        <v>1890</v>
      </c>
      <c r="G72" s="44" t="n">
        <f aca="false">IF(AND(ISNUMBER(MATCH(A72,Sezoane!$C$6:$C$40,1)),A72&lt;=INDEX(Sezoane!$D$6:$D$40,MATCH(A72,Sezoane!$C$6:$C$40,1))),INDEX('Prețuri de setat'!$G$5:$G$39,MATCH(A72,Sezoane!$C$6:$C$40,1)),"")</f>
        <v>1700</v>
      </c>
      <c r="H72" s="44" t="n">
        <f aca="false">IF(AND(ISNUMBER(MATCH(A72,Sezoane!$C$6:$C$40,1)),A72&lt;=INDEX(Sezoane!$D$6:$D$40,MATCH(A72,Sezoane!$C$6:$C$40,1))),INDEX('Prețuri de setat'!$H$5:$H$39,MATCH(A72,Sezoane!$C$6:$C$40,1)),"")</f>
        <v>1630</v>
      </c>
      <c r="I72" s="44" t="n">
        <f aca="false">IF(AND(ISNUMBER(MATCH(A72,Sezoane!$C$6:$C$40,1)),A72&lt;=INDEX(Sezoane!$D$6:$D$40,MATCH(A72,Sezoane!$C$6:$C$40,1))),INDEX('Prețuri de setat'!$I$5:$I$39,MATCH(A72,Sezoane!$C$6:$C$40,1)),"")</f>
        <v>1452</v>
      </c>
    </row>
    <row r="73" customFormat="false" ht="15" hidden="false" customHeight="false" outlineLevel="0" collapsed="false">
      <c r="A73" s="41" t="n">
        <f aca="false">$B$2+68</f>
        <v>46384</v>
      </c>
      <c r="B73" s="42" t="str">
        <f aca="false">CHOOSE(WEEKDAY(A73,2),"Lu","Ma","Mi","Jo","Vi","Sâ","Du")</f>
        <v>Lu</v>
      </c>
      <c r="C73" s="42" t="str">
        <f aca="false">IF(AND(ISNUMBER(MATCH(A73,Sezoane!$C$6:$C$40,1)),A73&lt;=INDEX(Sezoane!$D$6:$D$40,MATCH(A73,Sezoane!$C$6:$C$40,1))),INDEX(Sezoane!$A$6:$A$40,MATCH(A73,Sezoane!$C$6:$C$40,1)),"⚠ fără sezon")</f>
        <v>Revelion-2026-2027</v>
      </c>
      <c r="D73" s="43" t="n">
        <f aca="false">IF(AND(ISNUMBER(MATCH(A73,Sezoane!$C$6:$C$40,1)),A73&lt;=INDEX(Sezoane!$D$6:$D$40,MATCH(A73,Sezoane!$C$6:$C$40,1))),INDEX(Sezoane!$F$6:$F$40,MATCH(A73,Sezoane!$C$6:$C$40,1)),"")</f>
        <v>4</v>
      </c>
      <c r="E73" s="44" t="n">
        <f aca="false">IF(AND(ISNUMBER(MATCH(A73,Sezoane!$C$6:$C$40,1)),A73&lt;=INDEX(Sezoane!$D$6:$D$40,MATCH(A73,Sezoane!$C$6:$C$40,1))),INDEX('Prețuri de setat'!$E$5:$E$39,MATCH(A73,Sezoane!$C$6:$C$40,1)),"")</f>
        <v>1800</v>
      </c>
      <c r="F73" s="44" t="n">
        <f aca="false">IF(AND(ISNUMBER(MATCH(A73,Sezoane!$C$6:$C$40,1)),A73&lt;=INDEX(Sezoane!$D$6:$D$40,MATCH(A73,Sezoane!$C$6:$C$40,1))),INDEX('Prețuri de setat'!$F$5:$F$39,MATCH(A73,Sezoane!$C$6:$C$40,1)),"")</f>
        <v>2270</v>
      </c>
      <c r="G73" s="44" t="n">
        <f aca="false">IF(AND(ISNUMBER(MATCH(A73,Sezoane!$C$6:$C$40,1)),A73&lt;=INDEX(Sezoane!$D$6:$D$40,MATCH(A73,Sezoane!$C$6:$C$40,1))),INDEX('Prețuri de setat'!$G$5:$G$39,MATCH(A73,Sezoane!$C$6:$C$40,1)),"")</f>
        <v>2040</v>
      </c>
      <c r="H73" s="44" t="n">
        <f aca="false">IF(AND(ISNUMBER(MATCH(A73,Sezoane!$C$6:$C$40,1)),A73&lt;=INDEX(Sezoane!$D$6:$D$40,MATCH(A73,Sezoane!$C$6:$C$40,1))),INDEX('Prețuri de setat'!$H$5:$H$39,MATCH(A73,Sezoane!$C$6:$C$40,1)),"")</f>
        <v>1960</v>
      </c>
      <c r="I73" s="44" t="n">
        <f aca="false">IF(AND(ISNUMBER(MATCH(A73,Sezoane!$C$6:$C$40,1)),A73&lt;=INDEX(Sezoane!$D$6:$D$40,MATCH(A73,Sezoane!$C$6:$C$40,1))),INDEX('Prețuri de setat'!$I$5:$I$39,MATCH(A73,Sezoane!$C$6:$C$40,1)),"")</f>
        <v>1752</v>
      </c>
    </row>
    <row r="74" customFormat="false" ht="15" hidden="false" customHeight="false" outlineLevel="0" collapsed="false">
      <c r="A74" s="41" t="n">
        <f aca="false">$B$2+69</f>
        <v>46385</v>
      </c>
      <c r="B74" s="42" t="str">
        <f aca="false">CHOOSE(WEEKDAY(A74,2),"Lu","Ma","Mi","Jo","Vi","Sâ","Du")</f>
        <v>Ma</v>
      </c>
      <c r="C74" s="42" t="str">
        <f aca="false">IF(AND(ISNUMBER(MATCH(A74,Sezoane!$C$6:$C$40,1)),A74&lt;=INDEX(Sezoane!$D$6:$D$40,MATCH(A74,Sezoane!$C$6:$C$40,1))),INDEX(Sezoane!$A$6:$A$40,MATCH(A74,Sezoane!$C$6:$C$40,1)),"⚠ fără sezon")</f>
        <v>Revelion-2026-2027</v>
      </c>
      <c r="D74" s="43" t="n">
        <f aca="false">IF(AND(ISNUMBER(MATCH(A74,Sezoane!$C$6:$C$40,1)),A74&lt;=INDEX(Sezoane!$D$6:$D$40,MATCH(A74,Sezoane!$C$6:$C$40,1))),INDEX(Sezoane!$F$6:$F$40,MATCH(A74,Sezoane!$C$6:$C$40,1)),"")</f>
        <v>4</v>
      </c>
      <c r="E74" s="44" t="n">
        <f aca="false">IF(AND(ISNUMBER(MATCH(A74,Sezoane!$C$6:$C$40,1)),A74&lt;=INDEX(Sezoane!$D$6:$D$40,MATCH(A74,Sezoane!$C$6:$C$40,1))),INDEX('Prețuri de setat'!$E$5:$E$39,MATCH(A74,Sezoane!$C$6:$C$40,1)),"")</f>
        <v>1800</v>
      </c>
      <c r="F74" s="44" t="n">
        <f aca="false">IF(AND(ISNUMBER(MATCH(A74,Sezoane!$C$6:$C$40,1)),A74&lt;=INDEX(Sezoane!$D$6:$D$40,MATCH(A74,Sezoane!$C$6:$C$40,1))),INDEX('Prețuri de setat'!$F$5:$F$39,MATCH(A74,Sezoane!$C$6:$C$40,1)),"")</f>
        <v>2270</v>
      </c>
      <c r="G74" s="44" t="n">
        <f aca="false">IF(AND(ISNUMBER(MATCH(A74,Sezoane!$C$6:$C$40,1)),A74&lt;=INDEX(Sezoane!$D$6:$D$40,MATCH(A74,Sezoane!$C$6:$C$40,1))),INDEX('Prețuri de setat'!$G$5:$G$39,MATCH(A74,Sezoane!$C$6:$C$40,1)),"")</f>
        <v>2040</v>
      </c>
      <c r="H74" s="44" t="n">
        <f aca="false">IF(AND(ISNUMBER(MATCH(A74,Sezoane!$C$6:$C$40,1)),A74&lt;=INDEX(Sezoane!$D$6:$D$40,MATCH(A74,Sezoane!$C$6:$C$40,1))),INDEX('Prețuri de setat'!$H$5:$H$39,MATCH(A74,Sezoane!$C$6:$C$40,1)),"")</f>
        <v>1960</v>
      </c>
      <c r="I74" s="44" t="n">
        <f aca="false">IF(AND(ISNUMBER(MATCH(A74,Sezoane!$C$6:$C$40,1)),A74&lt;=INDEX(Sezoane!$D$6:$D$40,MATCH(A74,Sezoane!$C$6:$C$40,1))),INDEX('Prețuri de setat'!$I$5:$I$39,MATCH(A74,Sezoane!$C$6:$C$40,1)),"")</f>
        <v>1752</v>
      </c>
    </row>
    <row r="75" customFormat="false" ht="15" hidden="false" customHeight="false" outlineLevel="0" collapsed="false">
      <c r="A75" s="41" t="n">
        <f aca="false">$B$2+70</f>
        <v>46386</v>
      </c>
      <c r="B75" s="42" t="str">
        <f aca="false">CHOOSE(WEEKDAY(A75,2),"Lu","Ma","Mi","Jo","Vi","Sâ","Du")</f>
        <v>Mi</v>
      </c>
      <c r="C75" s="42" t="str">
        <f aca="false">IF(AND(ISNUMBER(MATCH(A75,Sezoane!$C$6:$C$40,1)),A75&lt;=INDEX(Sezoane!$D$6:$D$40,MATCH(A75,Sezoane!$C$6:$C$40,1))),INDEX(Sezoane!$A$6:$A$40,MATCH(A75,Sezoane!$C$6:$C$40,1)),"⚠ fără sezon")</f>
        <v>Revelion-2026-2027</v>
      </c>
      <c r="D75" s="43" t="n">
        <f aca="false">IF(AND(ISNUMBER(MATCH(A75,Sezoane!$C$6:$C$40,1)),A75&lt;=INDEX(Sezoane!$D$6:$D$40,MATCH(A75,Sezoane!$C$6:$C$40,1))),INDEX(Sezoane!$F$6:$F$40,MATCH(A75,Sezoane!$C$6:$C$40,1)),"")</f>
        <v>4</v>
      </c>
      <c r="E75" s="44" t="n">
        <f aca="false">IF(AND(ISNUMBER(MATCH(A75,Sezoane!$C$6:$C$40,1)),A75&lt;=INDEX(Sezoane!$D$6:$D$40,MATCH(A75,Sezoane!$C$6:$C$40,1))),INDEX('Prețuri de setat'!$E$5:$E$39,MATCH(A75,Sezoane!$C$6:$C$40,1)),"")</f>
        <v>1800</v>
      </c>
      <c r="F75" s="44" t="n">
        <f aca="false">IF(AND(ISNUMBER(MATCH(A75,Sezoane!$C$6:$C$40,1)),A75&lt;=INDEX(Sezoane!$D$6:$D$40,MATCH(A75,Sezoane!$C$6:$C$40,1))),INDEX('Prețuri de setat'!$F$5:$F$39,MATCH(A75,Sezoane!$C$6:$C$40,1)),"")</f>
        <v>2270</v>
      </c>
      <c r="G75" s="44" t="n">
        <f aca="false">IF(AND(ISNUMBER(MATCH(A75,Sezoane!$C$6:$C$40,1)),A75&lt;=INDEX(Sezoane!$D$6:$D$40,MATCH(A75,Sezoane!$C$6:$C$40,1))),INDEX('Prețuri de setat'!$G$5:$G$39,MATCH(A75,Sezoane!$C$6:$C$40,1)),"")</f>
        <v>2040</v>
      </c>
      <c r="H75" s="44" t="n">
        <f aca="false">IF(AND(ISNUMBER(MATCH(A75,Sezoane!$C$6:$C$40,1)),A75&lt;=INDEX(Sezoane!$D$6:$D$40,MATCH(A75,Sezoane!$C$6:$C$40,1))),INDEX('Prețuri de setat'!$H$5:$H$39,MATCH(A75,Sezoane!$C$6:$C$40,1)),"")</f>
        <v>1960</v>
      </c>
      <c r="I75" s="44" t="n">
        <f aca="false">IF(AND(ISNUMBER(MATCH(A75,Sezoane!$C$6:$C$40,1)),A75&lt;=INDEX(Sezoane!$D$6:$D$40,MATCH(A75,Sezoane!$C$6:$C$40,1))),INDEX('Prețuri de setat'!$I$5:$I$39,MATCH(A75,Sezoane!$C$6:$C$40,1)),"")</f>
        <v>1752</v>
      </c>
    </row>
    <row r="76" customFormat="false" ht="15" hidden="false" customHeight="false" outlineLevel="0" collapsed="false">
      <c r="A76" s="41" t="n">
        <f aca="false">$B$2+71</f>
        <v>46387</v>
      </c>
      <c r="B76" s="42" t="str">
        <f aca="false">CHOOSE(WEEKDAY(A76,2),"Lu","Ma","Mi","Jo","Vi","Sâ","Du")</f>
        <v>Jo</v>
      </c>
      <c r="C76" s="42" t="str">
        <f aca="false">IF(AND(ISNUMBER(MATCH(A76,Sezoane!$C$6:$C$40,1)),A76&lt;=INDEX(Sezoane!$D$6:$D$40,MATCH(A76,Sezoane!$C$6:$C$40,1))),INDEX(Sezoane!$A$6:$A$40,MATCH(A76,Sezoane!$C$6:$C$40,1)),"⚠ fără sezon")</f>
        <v>Revelion-2026-2027</v>
      </c>
      <c r="D76" s="43" t="n">
        <f aca="false">IF(AND(ISNUMBER(MATCH(A76,Sezoane!$C$6:$C$40,1)),A76&lt;=INDEX(Sezoane!$D$6:$D$40,MATCH(A76,Sezoane!$C$6:$C$40,1))),INDEX(Sezoane!$F$6:$F$40,MATCH(A76,Sezoane!$C$6:$C$40,1)),"")</f>
        <v>4</v>
      </c>
      <c r="E76" s="44" t="n">
        <f aca="false">IF(AND(ISNUMBER(MATCH(A76,Sezoane!$C$6:$C$40,1)),A76&lt;=INDEX(Sezoane!$D$6:$D$40,MATCH(A76,Sezoane!$C$6:$C$40,1))),INDEX('Prețuri de setat'!$E$5:$E$39,MATCH(A76,Sezoane!$C$6:$C$40,1)),"")</f>
        <v>1800</v>
      </c>
      <c r="F76" s="44" t="n">
        <f aca="false">IF(AND(ISNUMBER(MATCH(A76,Sezoane!$C$6:$C$40,1)),A76&lt;=INDEX(Sezoane!$D$6:$D$40,MATCH(A76,Sezoane!$C$6:$C$40,1))),INDEX('Prețuri de setat'!$F$5:$F$39,MATCH(A76,Sezoane!$C$6:$C$40,1)),"")</f>
        <v>2270</v>
      </c>
      <c r="G76" s="44" t="n">
        <f aca="false">IF(AND(ISNUMBER(MATCH(A76,Sezoane!$C$6:$C$40,1)),A76&lt;=INDEX(Sezoane!$D$6:$D$40,MATCH(A76,Sezoane!$C$6:$C$40,1))),INDEX('Prețuri de setat'!$G$5:$G$39,MATCH(A76,Sezoane!$C$6:$C$40,1)),"")</f>
        <v>2040</v>
      </c>
      <c r="H76" s="44" t="n">
        <f aca="false">IF(AND(ISNUMBER(MATCH(A76,Sezoane!$C$6:$C$40,1)),A76&lt;=INDEX(Sezoane!$D$6:$D$40,MATCH(A76,Sezoane!$C$6:$C$40,1))),INDEX('Prețuri de setat'!$H$5:$H$39,MATCH(A76,Sezoane!$C$6:$C$40,1)),"")</f>
        <v>1960</v>
      </c>
      <c r="I76" s="44" t="n">
        <f aca="false">IF(AND(ISNUMBER(MATCH(A76,Sezoane!$C$6:$C$40,1)),A76&lt;=INDEX(Sezoane!$D$6:$D$40,MATCH(A76,Sezoane!$C$6:$C$40,1))),INDEX('Prețuri de setat'!$I$5:$I$39,MATCH(A76,Sezoane!$C$6:$C$40,1)),"")</f>
        <v>1752</v>
      </c>
    </row>
    <row r="77" customFormat="false" ht="15" hidden="false" customHeight="false" outlineLevel="0" collapsed="false">
      <c r="A77" s="41" t="n">
        <f aca="false">$B$2+72</f>
        <v>46388</v>
      </c>
      <c r="B77" s="42" t="str">
        <f aca="false">CHOOSE(WEEKDAY(A77,2),"Lu","Ma","Mi","Jo","Vi","Sâ","Du")</f>
        <v>Vi</v>
      </c>
      <c r="C77" s="42" t="str">
        <f aca="false">IF(AND(ISNUMBER(MATCH(A77,Sezoane!$C$6:$C$40,1)),A77&lt;=INDEX(Sezoane!$D$6:$D$40,MATCH(A77,Sezoane!$C$6:$C$40,1))),INDEX(Sezoane!$A$6:$A$40,MATCH(A77,Sezoane!$C$6:$C$40,1)),"⚠ fără sezon")</f>
        <v>Revelion-2026-2027</v>
      </c>
      <c r="D77" s="43" t="n">
        <f aca="false">IF(AND(ISNUMBER(MATCH(A77,Sezoane!$C$6:$C$40,1)),A77&lt;=INDEX(Sezoane!$D$6:$D$40,MATCH(A77,Sezoane!$C$6:$C$40,1))),INDEX(Sezoane!$F$6:$F$40,MATCH(A77,Sezoane!$C$6:$C$40,1)),"")</f>
        <v>4</v>
      </c>
      <c r="E77" s="44" t="n">
        <f aca="false">IF(AND(ISNUMBER(MATCH(A77,Sezoane!$C$6:$C$40,1)),A77&lt;=INDEX(Sezoane!$D$6:$D$40,MATCH(A77,Sezoane!$C$6:$C$40,1))),INDEX('Prețuri de setat'!$E$5:$E$39,MATCH(A77,Sezoane!$C$6:$C$40,1)),"")</f>
        <v>1800</v>
      </c>
      <c r="F77" s="44" t="n">
        <f aca="false">IF(AND(ISNUMBER(MATCH(A77,Sezoane!$C$6:$C$40,1)),A77&lt;=INDEX(Sezoane!$D$6:$D$40,MATCH(A77,Sezoane!$C$6:$C$40,1))),INDEX('Prețuri de setat'!$F$5:$F$39,MATCH(A77,Sezoane!$C$6:$C$40,1)),"")</f>
        <v>2270</v>
      </c>
      <c r="G77" s="44" t="n">
        <f aca="false">IF(AND(ISNUMBER(MATCH(A77,Sezoane!$C$6:$C$40,1)),A77&lt;=INDEX(Sezoane!$D$6:$D$40,MATCH(A77,Sezoane!$C$6:$C$40,1))),INDEX('Prețuri de setat'!$G$5:$G$39,MATCH(A77,Sezoane!$C$6:$C$40,1)),"")</f>
        <v>2040</v>
      </c>
      <c r="H77" s="44" t="n">
        <f aca="false">IF(AND(ISNUMBER(MATCH(A77,Sezoane!$C$6:$C$40,1)),A77&lt;=INDEX(Sezoane!$D$6:$D$40,MATCH(A77,Sezoane!$C$6:$C$40,1))),INDEX('Prețuri de setat'!$H$5:$H$39,MATCH(A77,Sezoane!$C$6:$C$40,1)),"")</f>
        <v>1960</v>
      </c>
      <c r="I77" s="44" t="n">
        <f aca="false">IF(AND(ISNUMBER(MATCH(A77,Sezoane!$C$6:$C$40,1)),A77&lt;=INDEX(Sezoane!$D$6:$D$40,MATCH(A77,Sezoane!$C$6:$C$40,1))),INDEX('Prețuri de setat'!$I$5:$I$39,MATCH(A77,Sezoane!$C$6:$C$40,1)),"")</f>
        <v>1752</v>
      </c>
    </row>
    <row r="78" customFormat="false" ht="15" hidden="false" customHeight="false" outlineLevel="0" collapsed="false">
      <c r="A78" s="41" t="n">
        <f aca="false">$B$2+73</f>
        <v>46389</v>
      </c>
      <c r="B78" s="42" t="str">
        <f aca="false">CHOOSE(WEEKDAY(A78,2),"Lu","Ma","Mi","Jo","Vi","Sâ","Du")</f>
        <v>Sâ</v>
      </c>
      <c r="C78" s="42" t="str">
        <f aca="false">IF(AND(ISNUMBER(MATCH(A78,Sezoane!$C$6:$C$40,1)),A78&lt;=INDEX(Sezoane!$D$6:$D$40,MATCH(A78,Sezoane!$C$6:$C$40,1))),INDEX(Sezoane!$A$6:$A$40,MATCH(A78,Sezoane!$C$6:$C$40,1)),"⚠ fără sezon")</f>
        <v>Revelion-2026-2027</v>
      </c>
      <c r="D78" s="43" t="n">
        <f aca="false">IF(AND(ISNUMBER(MATCH(A78,Sezoane!$C$6:$C$40,1)),A78&lt;=INDEX(Sezoane!$D$6:$D$40,MATCH(A78,Sezoane!$C$6:$C$40,1))),INDEX(Sezoane!$F$6:$F$40,MATCH(A78,Sezoane!$C$6:$C$40,1)),"")</f>
        <v>4</v>
      </c>
      <c r="E78" s="44" t="n">
        <f aca="false">IF(AND(ISNUMBER(MATCH(A78,Sezoane!$C$6:$C$40,1)),A78&lt;=INDEX(Sezoane!$D$6:$D$40,MATCH(A78,Sezoane!$C$6:$C$40,1))),INDEX('Prețuri de setat'!$E$5:$E$39,MATCH(A78,Sezoane!$C$6:$C$40,1)),"")</f>
        <v>1800</v>
      </c>
      <c r="F78" s="44" t="n">
        <f aca="false">IF(AND(ISNUMBER(MATCH(A78,Sezoane!$C$6:$C$40,1)),A78&lt;=INDEX(Sezoane!$D$6:$D$40,MATCH(A78,Sezoane!$C$6:$C$40,1))),INDEX('Prețuri de setat'!$F$5:$F$39,MATCH(A78,Sezoane!$C$6:$C$40,1)),"")</f>
        <v>2270</v>
      </c>
      <c r="G78" s="44" t="n">
        <f aca="false">IF(AND(ISNUMBER(MATCH(A78,Sezoane!$C$6:$C$40,1)),A78&lt;=INDEX(Sezoane!$D$6:$D$40,MATCH(A78,Sezoane!$C$6:$C$40,1))),INDEX('Prețuri de setat'!$G$5:$G$39,MATCH(A78,Sezoane!$C$6:$C$40,1)),"")</f>
        <v>2040</v>
      </c>
      <c r="H78" s="44" t="n">
        <f aca="false">IF(AND(ISNUMBER(MATCH(A78,Sezoane!$C$6:$C$40,1)),A78&lt;=INDEX(Sezoane!$D$6:$D$40,MATCH(A78,Sezoane!$C$6:$C$40,1))),INDEX('Prețuri de setat'!$H$5:$H$39,MATCH(A78,Sezoane!$C$6:$C$40,1)),"")</f>
        <v>1960</v>
      </c>
      <c r="I78" s="44" t="n">
        <f aca="false">IF(AND(ISNUMBER(MATCH(A78,Sezoane!$C$6:$C$40,1)),A78&lt;=INDEX(Sezoane!$D$6:$D$40,MATCH(A78,Sezoane!$C$6:$C$40,1))),INDEX('Prețuri de setat'!$I$5:$I$39,MATCH(A78,Sezoane!$C$6:$C$40,1)),"")</f>
        <v>1752</v>
      </c>
    </row>
    <row r="79" customFormat="false" ht="15" hidden="false" customHeight="false" outlineLevel="0" collapsed="false">
      <c r="A79" s="41" t="n">
        <f aca="false">$B$2+74</f>
        <v>46390</v>
      </c>
      <c r="B79" s="42" t="str">
        <f aca="false">CHOOSE(WEEKDAY(A79,2),"Lu","Ma","Mi","Jo","Vi","Sâ","Du")</f>
        <v>Du</v>
      </c>
      <c r="C79" s="42" t="str">
        <f aca="false">IF(AND(ISNUMBER(MATCH(A79,Sezoane!$C$6:$C$40,1)),A79&lt;=INDEX(Sezoane!$D$6:$D$40,MATCH(A79,Sezoane!$C$6:$C$40,1))),INDEX(Sezoane!$A$6:$A$40,MATCH(A79,Sezoane!$C$6:$C$40,1)),"⚠ fără sezon")</f>
        <v>Revelion-2026-2027</v>
      </c>
      <c r="D79" s="43" t="n">
        <f aca="false">IF(AND(ISNUMBER(MATCH(A79,Sezoane!$C$6:$C$40,1)),A79&lt;=INDEX(Sezoane!$D$6:$D$40,MATCH(A79,Sezoane!$C$6:$C$40,1))),INDEX(Sezoane!$F$6:$F$40,MATCH(A79,Sezoane!$C$6:$C$40,1)),"")</f>
        <v>4</v>
      </c>
      <c r="E79" s="44" t="n">
        <f aca="false">IF(AND(ISNUMBER(MATCH(A79,Sezoane!$C$6:$C$40,1)),A79&lt;=INDEX(Sezoane!$D$6:$D$40,MATCH(A79,Sezoane!$C$6:$C$40,1))),INDEX('Prețuri de setat'!$E$5:$E$39,MATCH(A79,Sezoane!$C$6:$C$40,1)),"")</f>
        <v>1800</v>
      </c>
      <c r="F79" s="44" t="n">
        <f aca="false">IF(AND(ISNUMBER(MATCH(A79,Sezoane!$C$6:$C$40,1)),A79&lt;=INDEX(Sezoane!$D$6:$D$40,MATCH(A79,Sezoane!$C$6:$C$40,1))),INDEX('Prețuri de setat'!$F$5:$F$39,MATCH(A79,Sezoane!$C$6:$C$40,1)),"")</f>
        <v>2270</v>
      </c>
      <c r="G79" s="44" t="n">
        <f aca="false">IF(AND(ISNUMBER(MATCH(A79,Sezoane!$C$6:$C$40,1)),A79&lt;=INDEX(Sezoane!$D$6:$D$40,MATCH(A79,Sezoane!$C$6:$C$40,1))),INDEX('Prețuri de setat'!$G$5:$G$39,MATCH(A79,Sezoane!$C$6:$C$40,1)),"")</f>
        <v>2040</v>
      </c>
      <c r="H79" s="44" t="n">
        <f aca="false">IF(AND(ISNUMBER(MATCH(A79,Sezoane!$C$6:$C$40,1)),A79&lt;=INDEX(Sezoane!$D$6:$D$40,MATCH(A79,Sezoane!$C$6:$C$40,1))),INDEX('Prețuri de setat'!$H$5:$H$39,MATCH(A79,Sezoane!$C$6:$C$40,1)),"")</f>
        <v>1960</v>
      </c>
      <c r="I79" s="44" t="n">
        <f aca="false">IF(AND(ISNUMBER(MATCH(A79,Sezoane!$C$6:$C$40,1)),A79&lt;=INDEX(Sezoane!$D$6:$D$40,MATCH(A79,Sezoane!$C$6:$C$40,1))),INDEX('Prețuri de setat'!$I$5:$I$39,MATCH(A79,Sezoane!$C$6:$C$40,1)),"")</f>
        <v>1752</v>
      </c>
    </row>
    <row r="80" customFormat="false" ht="15" hidden="false" customHeight="false" outlineLevel="0" collapsed="false">
      <c r="A80" s="41" t="n">
        <f aca="false">$B$2+75</f>
        <v>46391</v>
      </c>
      <c r="B80" s="42" t="str">
        <f aca="false">CHOOSE(WEEKDAY(A80,2),"Lu","Ma","Mi","Jo","Vi","Sâ","Du")</f>
        <v>Lu</v>
      </c>
      <c r="C80" s="42" t="str">
        <f aca="false">IF(AND(ISNUMBER(MATCH(A80,Sezoane!$C$6:$C$40,1)),A80&lt;=INDEX(Sezoane!$D$6:$D$40,MATCH(A80,Sezoane!$C$6:$C$40,1))),INDEX(Sezoane!$A$6:$A$40,MATCH(A80,Sezoane!$C$6:$C$40,1)),"⚠ fără sezon")</f>
        <v>Revelion-2026-2027</v>
      </c>
      <c r="D80" s="43" t="n">
        <f aca="false">IF(AND(ISNUMBER(MATCH(A80,Sezoane!$C$6:$C$40,1)),A80&lt;=INDEX(Sezoane!$D$6:$D$40,MATCH(A80,Sezoane!$C$6:$C$40,1))),INDEX(Sezoane!$F$6:$F$40,MATCH(A80,Sezoane!$C$6:$C$40,1)),"")</f>
        <v>4</v>
      </c>
      <c r="E80" s="44" t="n">
        <f aca="false">IF(AND(ISNUMBER(MATCH(A80,Sezoane!$C$6:$C$40,1)),A80&lt;=INDEX(Sezoane!$D$6:$D$40,MATCH(A80,Sezoane!$C$6:$C$40,1))),INDEX('Prețuri de setat'!$E$5:$E$39,MATCH(A80,Sezoane!$C$6:$C$40,1)),"")</f>
        <v>1800</v>
      </c>
      <c r="F80" s="44" t="n">
        <f aca="false">IF(AND(ISNUMBER(MATCH(A80,Sezoane!$C$6:$C$40,1)),A80&lt;=INDEX(Sezoane!$D$6:$D$40,MATCH(A80,Sezoane!$C$6:$C$40,1))),INDEX('Prețuri de setat'!$F$5:$F$39,MATCH(A80,Sezoane!$C$6:$C$40,1)),"")</f>
        <v>2270</v>
      </c>
      <c r="G80" s="44" t="n">
        <f aca="false">IF(AND(ISNUMBER(MATCH(A80,Sezoane!$C$6:$C$40,1)),A80&lt;=INDEX(Sezoane!$D$6:$D$40,MATCH(A80,Sezoane!$C$6:$C$40,1))),INDEX('Prețuri de setat'!$G$5:$G$39,MATCH(A80,Sezoane!$C$6:$C$40,1)),"")</f>
        <v>2040</v>
      </c>
      <c r="H80" s="44" t="n">
        <f aca="false">IF(AND(ISNUMBER(MATCH(A80,Sezoane!$C$6:$C$40,1)),A80&lt;=INDEX(Sezoane!$D$6:$D$40,MATCH(A80,Sezoane!$C$6:$C$40,1))),INDEX('Prețuri de setat'!$H$5:$H$39,MATCH(A80,Sezoane!$C$6:$C$40,1)),"")</f>
        <v>1960</v>
      </c>
      <c r="I80" s="44" t="n">
        <f aca="false">IF(AND(ISNUMBER(MATCH(A80,Sezoane!$C$6:$C$40,1)),A80&lt;=INDEX(Sezoane!$D$6:$D$40,MATCH(A80,Sezoane!$C$6:$C$40,1))),INDEX('Prețuri de setat'!$I$5:$I$39,MATCH(A80,Sezoane!$C$6:$C$40,1)),"")</f>
        <v>1752</v>
      </c>
    </row>
    <row r="81" customFormat="false" ht="15" hidden="false" customHeight="false" outlineLevel="0" collapsed="false">
      <c r="A81" s="41" t="n">
        <f aca="false">$B$2+76</f>
        <v>46392</v>
      </c>
      <c r="B81" s="42" t="str">
        <f aca="false">CHOOSE(WEEKDAY(A81,2),"Lu","Ma","Mi","Jo","Vi","Sâ","Du")</f>
        <v>Ma</v>
      </c>
      <c r="C81" s="42" t="str">
        <f aca="false">IF(AND(ISNUMBER(MATCH(A81,Sezoane!$C$6:$C$40,1)),A81&lt;=INDEX(Sezoane!$D$6:$D$40,MATCH(A81,Sezoane!$C$6:$C$40,1))),INDEX(Sezoane!$A$6:$A$40,MATCH(A81,Sezoane!$C$6:$C$40,1)),"⚠ fără sezon")</f>
        <v>iarna-2027</v>
      </c>
      <c r="D81" s="43" t="n">
        <f aca="false">IF(AND(ISNUMBER(MATCH(A81,Sezoane!$C$6:$C$40,1)),A81&lt;=INDEX(Sezoane!$D$6:$D$40,MATCH(A81,Sezoane!$C$6:$C$40,1))),INDEX(Sezoane!$F$6:$F$40,MATCH(A81,Sezoane!$C$6:$C$40,1)),"")</f>
        <v>2</v>
      </c>
      <c r="E81" s="44" t="n">
        <f aca="false">IF(AND(ISNUMBER(MATCH(A81,Sezoane!$C$6:$C$40,1)),A81&lt;=INDEX(Sezoane!$D$6:$D$40,MATCH(A81,Sezoane!$C$6:$C$40,1))),INDEX('Prețuri de setat'!$E$5:$E$39,MATCH(A81,Sezoane!$C$6:$C$40,1)),"")</f>
        <v>1350</v>
      </c>
      <c r="F81" s="44" t="n">
        <f aca="false">IF(AND(ISNUMBER(MATCH(A81,Sezoane!$C$6:$C$40,1)),A81&lt;=INDEX(Sezoane!$D$6:$D$40,MATCH(A81,Sezoane!$C$6:$C$40,1))),INDEX('Prețuri de setat'!$F$5:$F$39,MATCH(A81,Sezoane!$C$6:$C$40,1)),"")</f>
        <v>1700</v>
      </c>
      <c r="G81" s="44" t="n">
        <f aca="false">IF(AND(ISNUMBER(MATCH(A81,Sezoane!$C$6:$C$40,1)),A81&lt;=INDEX(Sezoane!$D$6:$D$40,MATCH(A81,Sezoane!$C$6:$C$40,1))),INDEX('Prețuri de setat'!$G$5:$G$39,MATCH(A81,Sezoane!$C$6:$C$40,1)),"")</f>
        <v>1530</v>
      </c>
      <c r="H81" s="44" t="n">
        <f aca="false">IF(AND(ISNUMBER(MATCH(A81,Sezoane!$C$6:$C$40,1)),A81&lt;=INDEX(Sezoane!$D$6:$D$40,MATCH(A81,Sezoane!$C$6:$C$40,1))),INDEX('Prețuri de setat'!$H$5:$H$39,MATCH(A81,Sezoane!$C$6:$C$40,1)),"")</f>
        <v>1470</v>
      </c>
      <c r="I81" s="44" t="n">
        <f aca="false">IF(AND(ISNUMBER(MATCH(A81,Sezoane!$C$6:$C$40,1)),A81&lt;=INDEX(Sezoane!$D$6:$D$40,MATCH(A81,Sezoane!$C$6:$C$40,1))),INDEX('Prețuri de setat'!$I$5:$I$39,MATCH(A81,Sezoane!$C$6:$C$40,1)),"")</f>
        <v>1302</v>
      </c>
    </row>
    <row r="82" customFormat="false" ht="15" hidden="false" customHeight="false" outlineLevel="0" collapsed="false">
      <c r="A82" s="41" t="n">
        <f aca="false">$B$2+77</f>
        <v>46393</v>
      </c>
      <c r="B82" s="42" t="str">
        <f aca="false">CHOOSE(WEEKDAY(A82,2),"Lu","Ma","Mi","Jo","Vi","Sâ","Du")</f>
        <v>Mi</v>
      </c>
      <c r="C82" s="42" t="str">
        <f aca="false">IF(AND(ISNUMBER(MATCH(A82,Sezoane!$C$6:$C$40,1)),A82&lt;=INDEX(Sezoane!$D$6:$D$40,MATCH(A82,Sezoane!$C$6:$C$40,1))),INDEX(Sezoane!$A$6:$A$40,MATCH(A82,Sezoane!$C$6:$C$40,1)),"⚠ fără sezon")</f>
        <v>iarna-2027</v>
      </c>
      <c r="D82" s="43" t="n">
        <f aca="false">IF(AND(ISNUMBER(MATCH(A82,Sezoane!$C$6:$C$40,1)),A82&lt;=INDEX(Sezoane!$D$6:$D$40,MATCH(A82,Sezoane!$C$6:$C$40,1))),INDEX(Sezoane!$F$6:$F$40,MATCH(A82,Sezoane!$C$6:$C$40,1)),"")</f>
        <v>2</v>
      </c>
      <c r="E82" s="44" t="n">
        <f aca="false">IF(AND(ISNUMBER(MATCH(A82,Sezoane!$C$6:$C$40,1)),A82&lt;=INDEX(Sezoane!$D$6:$D$40,MATCH(A82,Sezoane!$C$6:$C$40,1))),INDEX('Prețuri de setat'!$E$5:$E$39,MATCH(A82,Sezoane!$C$6:$C$40,1)),"")</f>
        <v>1350</v>
      </c>
      <c r="F82" s="44" t="n">
        <f aca="false">IF(AND(ISNUMBER(MATCH(A82,Sezoane!$C$6:$C$40,1)),A82&lt;=INDEX(Sezoane!$D$6:$D$40,MATCH(A82,Sezoane!$C$6:$C$40,1))),INDEX('Prețuri de setat'!$F$5:$F$39,MATCH(A82,Sezoane!$C$6:$C$40,1)),"")</f>
        <v>1700</v>
      </c>
      <c r="G82" s="44" t="n">
        <f aca="false">IF(AND(ISNUMBER(MATCH(A82,Sezoane!$C$6:$C$40,1)),A82&lt;=INDEX(Sezoane!$D$6:$D$40,MATCH(A82,Sezoane!$C$6:$C$40,1))),INDEX('Prețuri de setat'!$G$5:$G$39,MATCH(A82,Sezoane!$C$6:$C$40,1)),"")</f>
        <v>1530</v>
      </c>
      <c r="H82" s="44" t="n">
        <f aca="false">IF(AND(ISNUMBER(MATCH(A82,Sezoane!$C$6:$C$40,1)),A82&lt;=INDEX(Sezoane!$D$6:$D$40,MATCH(A82,Sezoane!$C$6:$C$40,1))),INDEX('Prețuri de setat'!$H$5:$H$39,MATCH(A82,Sezoane!$C$6:$C$40,1)),"")</f>
        <v>1470</v>
      </c>
      <c r="I82" s="44" t="n">
        <f aca="false">IF(AND(ISNUMBER(MATCH(A82,Sezoane!$C$6:$C$40,1)),A82&lt;=INDEX(Sezoane!$D$6:$D$40,MATCH(A82,Sezoane!$C$6:$C$40,1))),INDEX('Prețuri de setat'!$I$5:$I$39,MATCH(A82,Sezoane!$C$6:$C$40,1)),"")</f>
        <v>1302</v>
      </c>
    </row>
    <row r="83" customFormat="false" ht="15" hidden="false" customHeight="false" outlineLevel="0" collapsed="false">
      <c r="A83" s="41" t="n">
        <f aca="false">$B$2+78</f>
        <v>46394</v>
      </c>
      <c r="B83" s="42" t="str">
        <f aca="false">CHOOSE(WEEKDAY(A83,2),"Lu","Ma","Mi","Jo","Vi","Sâ","Du")</f>
        <v>Jo</v>
      </c>
      <c r="C83" s="42" t="str">
        <f aca="false">IF(AND(ISNUMBER(MATCH(A83,Sezoane!$C$6:$C$40,1)),A83&lt;=INDEX(Sezoane!$D$6:$D$40,MATCH(A83,Sezoane!$C$6:$C$40,1))),INDEX(Sezoane!$A$6:$A$40,MATCH(A83,Sezoane!$C$6:$C$40,1)),"⚠ fără sezon")</f>
        <v>iarna-2027</v>
      </c>
      <c r="D83" s="43" t="n">
        <f aca="false">IF(AND(ISNUMBER(MATCH(A83,Sezoane!$C$6:$C$40,1)),A83&lt;=INDEX(Sezoane!$D$6:$D$40,MATCH(A83,Sezoane!$C$6:$C$40,1))),INDEX(Sezoane!$F$6:$F$40,MATCH(A83,Sezoane!$C$6:$C$40,1)),"")</f>
        <v>2</v>
      </c>
      <c r="E83" s="44" t="n">
        <f aca="false">IF(AND(ISNUMBER(MATCH(A83,Sezoane!$C$6:$C$40,1)),A83&lt;=INDEX(Sezoane!$D$6:$D$40,MATCH(A83,Sezoane!$C$6:$C$40,1))),INDEX('Prețuri de setat'!$E$5:$E$39,MATCH(A83,Sezoane!$C$6:$C$40,1)),"")</f>
        <v>1350</v>
      </c>
      <c r="F83" s="44" t="n">
        <f aca="false">IF(AND(ISNUMBER(MATCH(A83,Sezoane!$C$6:$C$40,1)),A83&lt;=INDEX(Sezoane!$D$6:$D$40,MATCH(A83,Sezoane!$C$6:$C$40,1))),INDEX('Prețuri de setat'!$F$5:$F$39,MATCH(A83,Sezoane!$C$6:$C$40,1)),"")</f>
        <v>1700</v>
      </c>
      <c r="G83" s="44" t="n">
        <f aca="false">IF(AND(ISNUMBER(MATCH(A83,Sezoane!$C$6:$C$40,1)),A83&lt;=INDEX(Sezoane!$D$6:$D$40,MATCH(A83,Sezoane!$C$6:$C$40,1))),INDEX('Prețuri de setat'!$G$5:$G$39,MATCH(A83,Sezoane!$C$6:$C$40,1)),"")</f>
        <v>1530</v>
      </c>
      <c r="H83" s="44" t="n">
        <f aca="false">IF(AND(ISNUMBER(MATCH(A83,Sezoane!$C$6:$C$40,1)),A83&lt;=INDEX(Sezoane!$D$6:$D$40,MATCH(A83,Sezoane!$C$6:$C$40,1))),INDEX('Prețuri de setat'!$H$5:$H$39,MATCH(A83,Sezoane!$C$6:$C$40,1)),"")</f>
        <v>1470</v>
      </c>
      <c r="I83" s="44" t="n">
        <f aca="false">IF(AND(ISNUMBER(MATCH(A83,Sezoane!$C$6:$C$40,1)),A83&lt;=INDEX(Sezoane!$D$6:$D$40,MATCH(A83,Sezoane!$C$6:$C$40,1))),INDEX('Prețuri de setat'!$I$5:$I$39,MATCH(A83,Sezoane!$C$6:$C$40,1)),"")</f>
        <v>1302</v>
      </c>
    </row>
    <row r="84" customFormat="false" ht="15" hidden="false" customHeight="false" outlineLevel="0" collapsed="false">
      <c r="A84" s="41" t="n">
        <f aca="false">$B$2+79</f>
        <v>46395</v>
      </c>
      <c r="B84" s="42" t="str">
        <f aca="false">CHOOSE(WEEKDAY(A84,2),"Lu","Ma","Mi","Jo","Vi","Sâ","Du")</f>
        <v>Vi</v>
      </c>
      <c r="C84" s="42" t="str">
        <f aca="false">IF(AND(ISNUMBER(MATCH(A84,Sezoane!$C$6:$C$40,1)),A84&lt;=INDEX(Sezoane!$D$6:$D$40,MATCH(A84,Sezoane!$C$6:$C$40,1))),INDEX(Sezoane!$A$6:$A$40,MATCH(A84,Sezoane!$C$6:$C$40,1)),"⚠ fără sezon")</f>
        <v>iarna-2027</v>
      </c>
      <c r="D84" s="43" t="n">
        <f aca="false">IF(AND(ISNUMBER(MATCH(A84,Sezoane!$C$6:$C$40,1)),A84&lt;=INDEX(Sezoane!$D$6:$D$40,MATCH(A84,Sezoane!$C$6:$C$40,1))),INDEX(Sezoane!$F$6:$F$40,MATCH(A84,Sezoane!$C$6:$C$40,1)),"")</f>
        <v>2</v>
      </c>
      <c r="E84" s="44" t="n">
        <f aca="false">IF(AND(ISNUMBER(MATCH(A84,Sezoane!$C$6:$C$40,1)),A84&lt;=INDEX(Sezoane!$D$6:$D$40,MATCH(A84,Sezoane!$C$6:$C$40,1))),INDEX('Prețuri de setat'!$E$5:$E$39,MATCH(A84,Sezoane!$C$6:$C$40,1)),"")</f>
        <v>1350</v>
      </c>
      <c r="F84" s="44" t="n">
        <f aca="false">IF(AND(ISNUMBER(MATCH(A84,Sezoane!$C$6:$C$40,1)),A84&lt;=INDEX(Sezoane!$D$6:$D$40,MATCH(A84,Sezoane!$C$6:$C$40,1))),INDEX('Prețuri de setat'!$F$5:$F$39,MATCH(A84,Sezoane!$C$6:$C$40,1)),"")</f>
        <v>1700</v>
      </c>
      <c r="G84" s="44" t="n">
        <f aca="false">IF(AND(ISNUMBER(MATCH(A84,Sezoane!$C$6:$C$40,1)),A84&lt;=INDEX(Sezoane!$D$6:$D$40,MATCH(A84,Sezoane!$C$6:$C$40,1))),INDEX('Prețuri de setat'!$G$5:$G$39,MATCH(A84,Sezoane!$C$6:$C$40,1)),"")</f>
        <v>1530</v>
      </c>
      <c r="H84" s="44" t="n">
        <f aca="false">IF(AND(ISNUMBER(MATCH(A84,Sezoane!$C$6:$C$40,1)),A84&lt;=INDEX(Sezoane!$D$6:$D$40,MATCH(A84,Sezoane!$C$6:$C$40,1))),INDEX('Prețuri de setat'!$H$5:$H$39,MATCH(A84,Sezoane!$C$6:$C$40,1)),"")</f>
        <v>1470</v>
      </c>
      <c r="I84" s="44" t="n">
        <f aca="false">IF(AND(ISNUMBER(MATCH(A84,Sezoane!$C$6:$C$40,1)),A84&lt;=INDEX(Sezoane!$D$6:$D$40,MATCH(A84,Sezoane!$C$6:$C$40,1))),INDEX('Prețuri de setat'!$I$5:$I$39,MATCH(A84,Sezoane!$C$6:$C$40,1)),"")</f>
        <v>1302</v>
      </c>
    </row>
    <row r="85" customFormat="false" ht="15" hidden="false" customHeight="false" outlineLevel="0" collapsed="false">
      <c r="A85" s="41" t="n">
        <f aca="false">$B$2+80</f>
        <v>46396</v>
      </c>
      <c r="B85" s="42" t="str">
        <f aca="false">CHOOSE(WEEKDAY(A85,2),"Lu","Ma","Mi","Jo","Vi","Sâ","Du")</f>
        <v>Sâ</v>
      </c>
      <c r="C85" s="42" t="str">
        <f aca="false">IF(AND(ISNUMBER(MATCH(A85,Sezoane!$C$6:$C$40,1)),A85&lt;=INDEX(Sezoane!$D$6:$D$40,MATCH(A85,Sezoane!$C$6:$C$40,1))),INDEX(Sezoane!$A$6:$A$40,MATCH(A85,Sezoane!$C$6:$C$40,1)),"⚠ fără sezon")</f>
        <v>iarna-2027</v>
      </c>
      <c r="D85" s="43" t="n">
        <f aca="false">IF(AND(ISNUMBER(MATCH(A85,Sezoane!$C$6:$C$40,1)),A85&lt;=INDEX(Sezoane!$D$6:$D$40,MATCH(A85,Sezoane!$C$6:$C$40,1))),INDEX(Sezoane!$F$6:$F$40,MATCH(A85,Sezoane!$C$6:$C$40,1)),"")</f>
        <v>2</v>
      </c>
      <c r="E85" s="44" t="n">
        <f aca="false">IF(AND(ISNUMBER(MATCH(A85,Sezoane!$C$6:$C$40,1)),A85&lt;=INDEX(Sezoane!$D$6:$D$40,MATCH(A85,Sezoane!$C$6:$C$40,1))),INDEX('Prețuri de setat'!$E$5:$E$39,MATCH(A85,Sezoane!$C$6:$C$40,1)),"")</f>
        <v>1350</v>
      </c>
      <c r="F85" s="44" t="n">
        <f aca="false">IF(AND(ISNUMBER(MATCH(A85,Sezoane!$C$6:$C$40,1)),A85&lt;=INDEX(Sezoane!$D$6:$D$40,MATCH(A85,Sezoane!$C$6:$C$40,1))),INDEX('Prețuri de setat'!$F$5:$F$39,MATCH(A85,Sezoane!$C$6:$C$40,1)),"")</f>
        <v>1700</v>
      </c>
      <c r="G85" s="44" t="n">
        <f aca="false">IF(AND(ISNUMBER(MATCH(A85,Sezoane!$C$6:$C$40,1)),A85&lt;=INDEX(Sezoane!$D$6:$D$40,MATCH(A85,Sezoane!$C$6:$C$40,1))),INDEX('Prețuri de setat'!$G$5:$G$39,MATCH(A85,Sezoane!$C$6:$C$40,1)),"")</f>
        <v>1530</v>
      </c>
      <c r="H85" s="44" t="n">
        <f aca="false">IF(AND(ISNUMBER(MATCH(A85,Sezoane!$C$6:$C$40,1)),A85&lt;=INDEX(Sezoane!$D$6:$D$40,MATCH(A85,Sezoane!$C$6:$C$40,1))),INDEX('Prețuri de setat'!$H$5:$H$39,MATCH(A85,Sezoane!$C$6:$C$40,1)),"")</f>
        <v>1470</v>
      </c>
      <c r="I85" s="44" t="n">
        <f aca="false">IF(AND(ISNUMBER(MATCH(A85,Sezoane!$C$6:$C$40,1)),A85&lt;=INDEX(Sezoane!$D$6:$D$40,MATCH(A85,Sezoane!$C$6:$C$40,1))),INDEX('Prețuri de setat'!$I$5:$I$39,MATCH(A85,Sezoane!$C$6:$C$40,1)),"")</f>
        <v>1302</v>
      </c>
    </row>
    <row r="86" customFormat="false" ht="15" hidden="false" customHeight="false" outlineLevel="0" collapsed="false">
      <c r="A86" s="41" t="n">
        <f aca="false">$B$2+81</f>
        <v>46397</v>
      </c>
      <c r="B86" s="42" t="str">
        <f aca="false">CHOOSE(WEEKDAY(A86,2),"Lu","Ma","Mi","Jo","Vi","Sâ","Du")</f>
        <v>Du</v>
      </c>
      <c r="C86" s="42" t="str">
        <f aca="false">IF(AND(ISNUMBER(MATCH(A86,Sezoane!$C$6:$C$40,1)),A86&lt;=INDEX(Sezoane!$D$6:$D$40,MATCH(A86,Sezoane!$C$6:$C$40,1))),INDEX(Sezoane!$A$6:$A$40,MATCH(A86,Sezoane!$C$6:$C$40,1)),"⚠ fără sezon")</f>
        <v>iarna-2027</v>
      </c>
      <c r="D86" s="43" t="n">
        <f aca="false">IF(AND(ISNUMBER(MATCH(A86,Sezoane!$C$6:$C$40,1)),A86&lt;=INDEX(Sezoane!$D$6:$D$40,MATCH(A86,Sezoane!$C$6:$C$40,1))),INDEX(Sezoane!$F$6:$F$40,MATCH(A86,Sezoane!$C$6:$C$40,1)),"")</f>
        <v>2</v>
      </c>
      <c r="E86" s="44" t="n">
        <f aca="false">IF(AND(ISNUMBER(MATCH(A86,Sezoane!$C$6:$C$40,1)),A86&lt;=INDEX(Sezoane!$D$6:$D$40,MATCH(A86,Sezoane!$C$6:$C$40,1))),INDEX('Prețuri de setat'!$E$5:$E$39,MATCH(A86,Sezoane!$C$6:$C$40,1)),"")</f>
        <v>1350</v>
      </c>
      <c r="F86" s="44" t="n">
        <f aca="false">IF(AND(ISNUMBER(MATCH(A86,Sezoane!$C$6:$C$40,1)),A86&lt;=INDEX(Sezoane!$D$6:$D$40,MATCH(A86,Sezoane!$C$6:$C$40,1))),INDEX('Prețuri de setat'!$F$5:$F$39,MATCH(A86,Sezoane!$C$6:$C$40,1)),"")</f>
        <v>1700</v>
      </c>
      <c r="G86" s="44" t="n">
        <f aca="false">IF(AND(ISNUMBER(MATCH(A86,Sezoane!$C$6:$C$40,1)),A86&lt;=INDEX(Sezoane!$D$6:$D$40,MATCH(A86,Sezoane!$C$6:$C$40,1))),INDEX('Prețuri de setat'!$G$5:$G$39,MATCH(A86,Sezoane!$C$6:$C$40,1)),"")</f>
        <v>1530</v>
      </c>
      <c r="H86" s="44" t="n">
        <f aca="false">IF(AND(ISNUMBER(MATCH(A86,Sezoane!$C$6:$C$40,1)),A86&lt;=INDEX(Sezoane!$D$6:$D$40,MATCH(A86,Sezoane!$C$6:$C$40,1))),INDEX('Prețuri de setat'!$H$5:$H$39,MATCH(A86,Sezoane!$C$6:$C$40,1)),"")</f>
        <v>1470</v>
      </c>
      <c r="I86" s="44" t="n">
        <f aca="false">IF(AND(ISNUMBER(MATCH(A86,Sezoane!$C$6:$C$40,1)),A86&lt;=INDEX(Sezoane!$D$6:$D$40,MATCH(A86,Sezoane!$C$6:$C$40,1))),INDEX('Prețuri de setat'!$I$5:$I$39,MATCH(A86,Sezoane!$C$6:$C$40,1)),"")</f>
        <v>1302</v>
      </c>
    </row>
    <row r="87" customFormat="false" ht="15" hidden="false" customHeight="false" outlineLevel="0" collapsed="false">
      <c r="A87" s="41" t="n">
        <f aca="false">$B$2+82</f>
        <v>46398</v>
      </c>
      <c r="B87" s="42" t="str">
        <f aca="false">CHOOSE(WEEKDAY(A87,2),"Lu","Ma","Mi","Jo","Vi","Sâ","Du")</f>
        <v>Lu</v>
      </c>
      <c r="C87" s="42" t="str">
        <f aca="false">IF(AND(ISNUMBER(MATCH(A87,Sezoane!$C$6:$C$40,1)),A87&lt;=INDEX(Sezoane!$D$6:$D$40,MATCH(A87,Sezoane!$C$6:$C$40,1))),INDEX(Sezoane!$A$6:$A$40,MATCH(A87,Sezoane!$C$6:$C$40,1)),"⚠ fără sezon")</f>
        <v>iarna-2027</v>
      </c>
      <c r="D87" s="43" t="n">
        <f aca="false">IF(AND(ISNUMBER(MATCH(A87,Sezoane!$C$6:$C$40,1)),A87&lt;=INDEX(Sezoane!$D$6:$D$40,MATCH(A87,Sezoane!$C$6:$C$40,1))),INDEX(Sezoane!$F$6:$F$40,MATCH(A87,Sezoane!$C$6:$C$40,1)),"")</f>
        <v>2</v>
      </c>
      <c r="E87" s="44" t="n">
        <f aca="false">IF(AND(ISNUMBER(MATCH(A87,Sezoane!$C$6:$C$40,1)),A87&lt;=INDEX(Sezoane!$D$6:$D$40,MATCH(A87,Sezoane!$C$6:$C$40,1))),INDEX('Prețuri de setat'!$E$5:$E$39,MATCH(A87,Sezoane!$C$6:$C$40,1)),"")</f>
        <v>1350</v>
      </c>
      <c r="F87" s="44" t="n">
        <f aca="false">IF(AND(ISNUMBER(MATCH(A87,Sezoane!$C$6:$C$40,1)),A87&lt;=INDEX(Sezoane!$D$6:$D$40,MATCH(A87,Sezoane!$C$6:$C$40,1))),INDEX('Prețuri de setat'!$F$5:$F$39,MATCH(A87,Sezoane!$C$6:$C$40,1)),"")</f>
        <v>1700</v>
      </c>
      <c r="G87" s="44" t="n">
        <f aca="false">IF(AND(ISNUMBER(MATCH(A87,Sezoane!$C$6:$C$40,1)),A87&lt;=INDEX(Sezoane!$D$6:$D$40,MATCH(A87,Sezoane!$C$6:$C$40,1))),INDEX('Prețuri de setat'!$G$5:$G$39,MATCH(A87,Sezoane!$C$6:$C$40,1)),"")</f>
        <v>1530</v>
      </c>
      <c r="H87" s="44" t="n">
        <f aca="false">IF(AND(ISNUMBER(MATCH(A87,Sezoane!$C$6:$C$40,1)),A87&lt;=INDEX(Sezoane!$D$6:$D$40,MATCH(A87,Sezoane!$C$6:$C$40,1))),INDEX('Prețuri de setat'!$H$5:$H$39,MATCH(A87,Sezoane!$C$6:$C$40,1)),"")</f>
        <v>1470</v>
      </c>
      <c r="I87" s="44" t="n">
        <f aca="false">IF(AND(ISNUMBER(MATCH(A87,Sezoane!$C$6:$C$40,1)),A87&lt;=INDEX(Sezoane!$D$6:$D$40,MATCH(A87,Sezoane!$C$6:$C$40,1))),INDEX('Prețuri de setat'!$I$5:$I$39,MATCH(A87,Sezoane!$C$6:$C$40,1)),"")</f>
        <v>1302</v>
      </c>
    </row>
    <row r="88" customFormat="false" ht="15" hidden="false" customHeight="false" outlineLevel="0" collapsed="false">
      <c r="A88" s="41" t="n">
        <f aca="false">$B$2+83</f>
        <v>46399</v>
      </c>
      <c r="B88" s="42" t="str">
        <f aca="false">CHOOSE(WEEKDAY(A88,2),"Lu","Ma","Mi","Jo","Vi","Sâ","Du")</f>
        <v>Ma</v>
      </c>
      <c r="C88" s="42" t="str">
        <f aca="false">IF(AND(ISNUMBER(MATCH(A88,Sezoane!$C$6:$C$40,1)),A88&lt;=INDEX(Sezoane!$D$6:$D$40,MATCH(A88,Sezoane!$C$6:$C$40,1))),INDEX(Sezoane!$A$6:$A$40,MATCH(A88,Sezoane!$C$6:$C$40,1)),"⚠ fără sezon")</f>
        <v>iarna-2027</v>
      </c>
      <c r="D88" s="43" t="n">
        <f aca="false">IF(AND(ISNUMBER(MATCH(A88,Sezoane!$C$6:$C$40,1)),A88&lt;=INDEX(Sezoane!$D$6:$D$40,MATCH(A88,Sezoane!$C$6:$C$40,1))),INDEX(Sezoane!$F$6:$F$40,MATCH(A88,Sezoane!$C$6:$C$40,1)),"")</f>
        <v>2</v>
      </c>
      <c r="E88" s="44" t="n">
        <f aca="false">IF(AND(ISNUMBER(MATCH(A88,Sezoane!$C$6:$C$40,1)),A88&lt;=INDEX(Sezoane!$D$6:$D$40,MATCH(A88,Sezoane!$C$6:$C$40,1))),INDEX('Prețuri de setat'!$E$5:$E$39,MATCH(A88,Sezoane!$C$6:$C$40,1)),"")</f>
        <v>1350</v>
      </c>
      <c r="F88" s="44" t="n">
        <f aca="false">IF(AND(ISNUMBER(MATCH(A88,Sezoane!$C$6:$C$40,1)),A88&lt;=INDEX(Sezoane!$D$6:$D$40,MATCH(A88,Sezoane!$C$6:$C$40,1))),INDEX('Prețuri de setat'!$F$5:$F$39,MATCH(A88,Sezoane!$C$6:$C$40,1)),"")</f>
        <v>1700</v>
      </c>
      <c r="G88" s="44" t="n">
        <f aca="false">IF(AND(ISNUMBER(MATCH(A88,Sezoane!$C$6:$C$40,1)),A88&lt;=INDEX(Sezoane!$D$6:$D$40,MATCH(A88,Sezoane!$C$6:$C$40,1))),INDEX('Prețuri de setat'!$G$5:$G$39,MATCH(A88,Sezoane!$C$6:$C$40,1)),"")</f>
        <v>1530</v>
      </c>
      <c r="H88" s="44" t="n">
        <f aca="false">IF(AND(ISNUMBER(MATCH(A88,Sezoane!$C$6:$C$40,1)),A88&lt;=INDEX(Sezoane!$D$6:$D$40,MATCH(A88,Sezoane!$C$6:$C$40,1))),INDEX('Prețuri de setat'!$H$5:$H$39,MATCH(A88,Sezoane!$C$6:$C$40,1)),"")</f>
        <v>1470</v>
      </c>
      <c r="I88" s="44" t="n">
        <f aca="false">IF(AND(ISNUMBER(MATCH(A88,Sezoane!$C$6:$C$40,1)),A88&lt;=INDEX(Sezoane!$D$6:$D$40,MATCH(A88,Sezoane!$C$6:$C$40,1))),INDEX('Prețuri de setat'!$I$5:$I$39,MATCH(A88,Sezoane!$C$6:$C$40,1)),"")</f>
        <v>1302</v>
      </c>
    </row>
    <row r="89" customFormat="false" ht="15" hidden="false" customHeight="false" outlineLevel="0" collapsed="false">
      <c r="A89" s="41" t="n">
        <f aca="false">$B$2+84</f>
        <v>46400</v>
      </c>
      <c r="B89" s="42" t="str">
        <f aca="false">CHOOSE(WEEKDAY(A89,2),"Lu","Ma","Mi","Jo","Vi","Sâ","Du")</f>
        <v>Mi</v>
      </c>
      <c r="C89" s="42" t="str">
        <f aca="false">IF(AND(ISNUMBER(MATCH(A89,Sezoane!$C$6:$C$40,1)),A89&lt;=INDEX(Sezoane!$D$6:$D$40,MATCH(A89,Sezoane!$C$6:$C$40,1))),INDEX(Sezoane!$A$6:$A$40,MATCH(A89,Sezoane!$C$6:$C$40,1)),"⚠ fără sezon")</f>
        <v>iarna-2027</v>
      </c>
      <c r="D89" s="43" t="n">
        <f aca="false">IF(AND(ISNUMBER(MATCH(A89,Sezoane!$C$6:$C$40,1)),A89&lt;=INDEX(Sezoane!$D$6:$D$40,MATCH(A89,Sezoane!$C$6:$C$40,1))),INDEX(Sezoane!$F$6:$F$40,MATCH(A89,Sezoane!$C$6:$C$40,1)),"")</f>
        <v>2</v>
      </c>
      <c r="E89" s="44" t="n">
        <f aca="false">IF(AND(ISNUMBER(MATCH(A89,Sezoane!$C$6:$C$40,1)),A89&lt;=INDEX(Sezoane!$D$6:$D$40,MATCH(A89,Sezoane!$C$6:$C$40,1))),INDEX('Prețuri de setat'!$E$5:$E$39,MATCH(A89,Sezoane!$C$6:$C$40,1)),"")</f>
        <v>1350</v>
      </c>
      <c r="F89" s="44" t="n">
        <f aca="false">IF(AND(ISNUMBER(MATCH(A89,Sezoane!$C$6:$C$40,1)),A89&lt;=INDEX(Sezoane!$D$6:$D$40,MATCH(A89,Sezoane!$C$6:$C$40,1))),INDEX('Prețuri de setat'!$F$5:$F$39,MATCH(A89,Sezoane!$C$6:$C$40,1)),"")</f>
        <v>1700</v>
      </c>
      <c r="G89" s="44" t="n">
        <f aca="false">IF(AND(ISNUMBER(MATCH(A89,Sezoane!$C$6:$C$40,1)),A89&lt;=INDEX(Sezoane!$D$6:$D$40,MATCH(A89,Sezoane!$C$6:$C$40,1))),INDEX('Prețuri de setat'!$G$5:$G$39,MATCH(A89,Sezoane!$C$6:$C$40,1)),"")</f>
        <v>1530</v>
      </c>
      <c r="H89" s="44" t="n">
        <f aca="false">IF(AND(ISNUMBER(MATCH(A89,Sezoane!$C$6:$C$40,1)),A89&lt;=INDEX(Sezoane!$D$6:$D$40,MATCH(A89,Sezoane!$C$6:$C$40,1))),INDEX('Prețuri de setat'!$H$5:$H$39,MATCH(A89,Sezoane!$C$6:$C$40,1)),"")</f>
        <v>1470</v>
      </c>
      <c r="I89" s="44" t="n">
        <f aca="false">IF(AND(ISNUMBER(MATCH(A89,Sezoane!$C$6:$C$40,1)),A89&lt;=INDEX(Sezoane!$D$6:$D$40,MATCH(A89,Sezoane!$C$6:$C$40,1))),INDEX('Prețuri de setat'!$I$5:$I$39,MATCH(A89,Sezoane!$C$6:$C$40,1)),"")</f>
        <v>1302</v>
      </c>
    </row>
    <row r="90" customFormat="false" ht="15" hidden="false" customHeight="false" outlineLevel="0" collapsed="false">
      <c r="A90" s="41" t="n">
        <f aca="false">$B$2+85</f>
        <v>46401</v>
      </c>
      <c r="B90" s="42" t="str">
        <f aca="false">CHOOSE(WEEKDAY(A90,2),"Lu","Ma","Mi","Jo","Vi","Sâ","Du")</f>
        <v>Jo</v>
      </c>
      <c r="C90" s="42" t="str">
        <f aca="false">IF(AND(ISNUMBER(MATCH(A90,Sezoane!$C$6:$C$40,1)),A90&lt;=INDEX(Sezoane!$D$6:$D$40,MATCH(A90,Sezoane!$C$6:$C$40,1))),INDEX(Sezoane!$A$6:$A$40,MATCH(A90,Sezoane!$C$6:$C$40,1)),"⚠ fără sezon")</f>
        <v>iarna-2027</v>
      </c>
      <c r="D90" s="43" t="n">
        <f aca="false">IF(AND(ISNUMBER(MATCH(A90,Sezoane!$C$6:$C$40,1)),A90&lt;=INDEX(Sezoane!$D$6:$D$40,MATCH(A90,Sezoane!$C$6:$C$40,1))),INDEX(Sezoane!$F$6:$F$40,MATCH(A90,Sezoane!$C$6:$C$40,1)),"")</f>
        <v>2</v>
      </c>
      <c r="E90" s="44" t="n">
        <f aca="false">IF(AND(ISNUMBER(MATCH(A90,Sezoane!$C$6:$C$40,1)),A90&lt;=INDEX(Sezoane!$D$6:$D$40,MATCH(A90,Sezoane!$C$6:$C$40,1))),INDEX('Prețuri de setat'!$E$5:$E$39,MATCH(A90,Sezoane!$C$6:$C$40,1)),"")</f>
        <v>1350</v>
      </c>
      <c r="F90" s="44" t="n">
        <f aca="false">IF(AND(ISNUMBER(MATCH(A90,Sezoane!$C$6:$C$40,1)),A90&lt;=INDEX(Sezoane!$D$6:$D$40,MATCH(A90,Sezoane!$C$6:$C$40,1))),INDEX('Prețuri de setat'!$F$5:$F$39,MATCH(A90,Sezoane!$C$6:$C$40,1)),"")</f>
        <v>1700</v>
      </c>
      <c r="G90" s="44" t="n">
        <f aca="false">IF(AND(ISNUMBER(MATCH(A90,Sezoane!$C$6:$C$40,1)),A90&lt;=INDEX(Sezoane!$D$6:$D$40,MATCH(A90,Sezoane!$C$6:$C$40,1))),INDEX('Prețuri de setat'!$G$5:$G$39,MATCH(A90,Sezoane!$C$6:$C$40,1)),"")</f>
        <v>1530</v>
      </c>
      <c r="H90" s="44" t="n">
        <f aca="false">IF(AND(ISNUMBER(MATCH(A90,Sezoane!$C$6:$C$40,1)),A90&lt;=INDEX(Sezoane!$D$6:$D$40,MATCH(A90,Sezoane!$C$6:$C$40,1))),INDEX('Prețuri de setat'!$H$5:$H$39,MATCH(A90,Sezoane!$C$6:$C$40,1)),"")</f>
        <v>1470</v>
      </c>
      <c r="I90" s="44" t="n">
        <f aca="false">IF(AND(ISNUMBER(MATCH(A90,Sezoane!$C$6:$C$40,1)),A90&lt;=INDEX(Sezoane!$D$6:$D$40,MATCH(A90,Sezoane!$C$6:$C$40,1))),INDEX('Prețuri de setat'!$I$5:$I$39,MATCH(A90,Sezoane!$C$6:$C$40,1)),"")</f>
        <v>1302</v>
      </c>
    </row>
    <row r="91" customFormat="false" ht="15" hidden="false" customHeight="false" outlineLevel="0" collapsed="false">
      <c r="A91" s="41" t="n">
        <f aca="false">$B$2+86</f>
        <v>46402</v>
      </c>
      <c r="B91" s="42" t="str">
        <f aca="false">CHOOSE(WEEKDAY(A91,2),"Lu","Ma","Mi","Jo","Vi","Sâ","Du")</f>
        <v>Vi</v>
      </c>
      <c r="C91" s="42" t="str">
        <f aca="false">IF(AND(ISNUMBER(MATCH(A91,Sezoane!$C$6:$C$40,1)),A91&lt;=INDEX(Sezoane!$D$6:$D$40,MATCH(A91,Sezoane!$C$6:$C$40,1))),INDEX(Sezoane!$A$6:$A$40,MATCH(A91,Sezoane!$C$6:$C$40,1)),"⚠ fără sezon")</f>
        <v>iarna-2027</v>
      </c>
      <c r="D91" s="43" t="n">
        <f aca="false">IF(AND(ISNUMBER(MATCH(A91,Sezoane!$C$6:$C$40,1)),A91&lt;=INDEX(Sezoane!$D$6:$D$40,MATCH(A91,Sezoane!$C$6:$C$40,1))),INDEX(Sezoane!$F$6:$F$40,MATCH(A91,Sezoane!$C$6:$C$40,1)),"")</f>
        <v>2</v>
      </c>
      <c r="E91" s="44" t="n">
        <f aca="false">IF(AND(ISNUMBER(MATCH(A91,Sezoane!$C$6:$C$40,1)),A91&lt;=INDEX(Sezoane!$D$6:$D$40,MATCH(A91,Sezoane!$C$6:$C$40,1))),INDEX('Prețuri de setat'!$E$5:$E$39,MATCH(A91,Sezoane!$C$6:$C$40,1)),"")</f>
        <v>1350</v>
      </c>
      <c r="F91" s="44" t="n">
        <f aca="false">IF(AND(ISNUMBER(MATCH(A91,Sezoane!$C$6:$C$40,1)),A91&lt;=INDEX(Sezoane!$D$6:$D$40,MATCH(A91,Sezoane!$C$6:$C$40,1))),INDEX('Prețuri de setat'!$F$5:$F$39,MATCH(A91,Sezoane!$C$6:$C$40,1)),"")</f>
        <v>1700</v>
      </c>
      <c r="G91" s="44" t="n">
        <f aca="false">IF(AND(ISNUMBER(MATCH(A91,Sezoane!$C$6:$C$40,1)),A91&lt;=INDEX(Sezoane!$D$6:$D$40,MATCH(A91,Sezoane!$C$6:$C$40,1))),INDEX('Prețuri de setat'!$G$5:$G$39,MATCH(A91,Sezoane!$C$6:$C$40,1)),"")</f>
        <v>1530</v>
      </c>
      <c r="H91" s="44" t="n">
        <f aca="false">IF(AND(ISNUMBER(MATCH(A91,Sezoane!$C$6:$C$40,1)),A91&lt;=INDEX(Sezoane!$D$6:$D$40,MATCH(A91,Sezoane!$C$6:$C$40,1))),INDEX('Prețuri de setat'!$H$5:$H$39,MATCH(A91,Sezoane!$C$6:$C$40,1)),"")</f>
        <v>1470</v>
      </c>
      <c r="I91" s="44" t="n">
        <f aca="false">IF(AND(ISNUMBER(MATCH(A91,Sezoane!$C$6:$C$40,1)),A91&lt;=INDEX(Sezoane!$D$6:$D$40,MATCH(A91,Sezoane!$C$6:$C$40,1))),INDEX('Prețuri de setat'!$I$5:$I$39,MATCH(A91,Sezoane!$C$6:$C$40,1)),"")</f>
        <v>1302</v>
      </c>
    </row>
    <row r="92" customFormat="false" ht="15" hidden="false" customHeight="false" outlineLevel="0" collapsed="false">
      <c r="A92" s="41" t="n">
        <f aca="false">$B$2+87</f>
        <v>46403</v>
      </c>
      <c r="B92" s="42" t="str">
        <f aca="false">CHOOSE(WEEKDAY(A92,2),"Lu","Ma","Mi","Jo","Vi","Sâ","Du")</f>
        <v>Sâ</v>
      </c>
      <c r="C92" s="42" t="str">
        <f aca="false">IF(AND(ISNUMBER(MATCH(A92,Sezoane!$C$6:$C$40,1)),A92&lt;=INDEX(Sezoane!$D$6:$D$40,MATCH(A92,Sezoane!$C$6:$C$40,1))),INDEX(Sezoane!$A$6:$A$40,MATCH(A92,Sezoane!$C$6:$C$40,1)),"⚠ fără sezon")</f>
        <v>iarna-2027</v>
      </c>
      <c r="D92" s="43" t="n">
        <f aca="false">IF(AND(ISNUMBER(MATCH(A92,Sezoane!$C$6:$C$40,1)),A92&lt;=INDEX(Sezoane!$D$6:$D$40,MATCH(A92,Sezoane!$C$6:$C$40,1))),INDEX(Sezoane!$F$6:$F$40,MATCH(A92,Sezoane!$C$6:$C$40,1)),"")</f>
        <v>2</v>
      </c>
      <c r="E92" s="44" t="n">
        <f aca="false">IF(AND(ISNUMBER(MATCH(A92,Sezoane!$C$6:$C$40,1)),A92&lt;=INDEX(Sezoane!$D$6:$D$40,MATCH(A92,Sezoane!$C$6:$C$40,1))),INDEX('Prețuri de setat'!$E$5:$E$39,MATCH(A92,Sezoane!$C$6:$C$40,1)),"")</f>
        <v>1350</v>
      </c>
      <c r="F92" s="44" t="n">
        <f aca="false">IF(AND(ISNUMBER(MATCH(A92,Sezoane!$C$6:$C$40,1)),A92&lt;=INDEX(Sezoane!$D$6:$D$40,MATCH(A92,Sezoane!$C$6:$C$40,1))),INDEX('Prețuri de setat'!$F$5:$F$39,MATCH(A92,Sezoane!$C$6:$C$40,1)),"")</f>
        <v>1700</v>
      </c>
      <c r="G92" s="44" t="n">
        <f aca="false">IF(AND(ISNUMBER(MATCH(A92,Sezoane!$C$6:$C$40,1)),A92&lt;=INDEX(Sezoane!$D$6:$D$40,MATCH(A92,Sezoane!$C$6:$C$40,1))),INDEX('Prețuri de setat'!$G$5:$G$39,MATCH(A92,Sezoane!$C$6:$C$40,1)),"")</f>
        <v>1530</v>
      </c>
      <c r="H92" s="44" t="n">
        <f aca="false">IF(AND(ISNUMBER(MATCH(A92,Sezoane!$C$6:$C$40,1)),A92&lt;=INDEX(Sezoane!$D$6:$D$40,MATCH(A92,Sezoane!$C$6:$C$40,1))),INDEX('Prețuri de setat'!$H$5:$H$39,MATCH(A92,Sezoane!$C$6:$C$40,1)),"")</f>
        <v>1470</v>
      </c>
      <c r="I92" s="44" t="n">
        <f aca="false">IF(AND(ISNUMBER(MATCH(A92,Sezoane!$C$6:$C$40,1)),A92&lt;=INDEX(Sezoane!$D$6:$D$40,MATCH(A92,Sezoane!$C$6:$C$40,1))),INDEX('Prețuri de setat'!$I$5:$I$39,MATCH(A92,Sezoane!$C$6:$C$40,1)),"")</f>
        <v>1302</v>
      </c>
    </row>
    <row r="93" customFormat="false" ht="15" hidden="false" customHeight="false" outlineLevel="0" collapsed="false">
      <c r="A93" s="41" t="n">
        <f aca="false">$B$2+88</f>
        <v>46404</v>
      </c>
      <c r="B93" s="42" t="str">
        <f aca="false">CHOOSE(WEEKDAY(A93,2),"Lu","Ma","Mi","Jo","Vi","Sâ","Du")</f>
        <v>Du</v>
      </c>
      <c r="C93" s="42" t="str">
        <f aca="false">IF(AND(ISNUMBER(MATCH(A93,Sezoane!$C$6:$C$40,1)),A93&lt;=INDEX(Sezoane!$D$6:$D$40,MATCH(A93,Sezoane!$C$6:$C$40,1))),INDEX(Sezoane!$A$6:$A$40,MATCH(A93,Sezoane!$C$6:$C$40,1)),"⚠ fără sezon")</f>
        <v>iarna-2027</v>
      </c>
      <c r="D93" s="43" t="n">
        <f aca="false">IF(AND(ISNUMBER(MATCH(A93,Sezoane!$C$6:$C$40,1)),A93&lt;=INDEX(Sezoane!$D$6:$D$40,MATCH(A93,Sezoane!$C$6:$C$40,1))),INDEX(Sezoane!$F$6:$F$40,MATCH(A93,Sezoane!$C$6:$C$40,1)),"")</f>
        <v>2</v>
      </c>
      <c r="E93" s="44" t="n">
        <f aca="false">IF(AND(ISNUMBER(MATCH(A93,Sezoane!$C$6:$C$40,1)),A93&lt;=INDEX(Sezoane!$D$6:$D$40,MATCH(A93,Sezoane!$C$6:$C$40,1))),INDEX('Prețuri de setat'!$E$5:$E$39,MATCH(A93,Sezoane!$C$6:$C$40,1)),"")</f>
        <v>1350</v>
      </c>
      <c r="F93" s="44" t="n">
        <f aca="false">IF(AND(ISNUMBER(MATCH(A93,Sezoane!$C$6:$C$40,1)),A93&lt;=INDEX(Sezoane!$D$6:$D$40,MATCH(A93,Sezoane!$C$6:$C$40,1))),INDEX('Prețuri de setat'!$F$5:$F$39,MATCH(A93,Sezoane!$C$6:$C$40,1)),"")</f>
        <v>1700</v>
      </c>
      <c r="G93" s="44" t="n">
        <f aca="false">IF(AND(ISNUMBER(MATCH(A93,Sezoane!$C$6:$C$40,1)),A93&lt;=INDEX(Sezoane!$D$6:$D$40,MATCH(A93,Sezoane!$C$6:$C$40,1))),INDEX('Prețuri de setat'!$G$5:$G$39,MATCH(A93,Sezoane!$C$6:$C$40,1)),"")</f>
        <v>1530</v>
      </c>
      <c r="H93" s="44" t="n">
        <f aca="false">IF(AND(ISNUMBER(MATCH(A93,Sezoane!$C$6:$C$40,1)),A93&lt;=INDEX(Sezoane!$D$6:$D$40,MATCH(A93,Sezoane!$C$6:$C$40,1))),INDEX('Prețuri de setat'!$H$5:$H$39,MATCH(A93,Sezoane!$C$6:$C$40,1)),"")</f>
        <v>1470</v>
      </c>
      <c r="I93" s="44" t="n">
        <f aca="false">IF(AND(ISNUMBER(MATCH(A93,Sezoane!$C$6:$C$40,1)),A93&lt;=INDEX(Sezoane!$D$6:$D$40,MATCH(A93,Sezoane!$C$6:$C$40,1))),INDEX('Prețuri de setat'!$I$5:$I$39,MATCH(A93,Sezoane!$C$6:$C$40,1)),"")</f>
        <v>1302</v>
      </c>
    </row>
    <row r="94" customFormat="false" ht="15" hidden="false" customHeight="false" outlineLevel="0" collapsed="false">
      <c r="A94" s="41" t="n">
        <f aca="false">$B$2+89</f>
        <v>46405</v>
      </c>
      <c r="B94" s="42" t="str">
        <f aca="false">CHOOSE(WEEKDAY(A94,2),"Lu","Ma","Mi","Jo","Vi","Sâ","Du")</f>
        <v>Lu</v>
      </c>
      <c r="C94" s="42" t="str">
        <f aca="false">IF(AND(ISNUMBER(MATCH(A94,Sezoane!$C$6:$C$40,1)),A94&lt;=INDEX(Sezoane!$D$6:$D$40,MATCH(A94,Sezoane!$C$6:$C$40,1))),INDEX(Sezoane!$A$6:$A$40,MATCH(A94,Sezoane!$C$6:$C$40,1)),"⚠ fără sezon")</f>
        <v>iarna-2027</v>
      </c>
      <c r="D94" s="43" t="n">
        <f aca="false">IF(AND(ISNUMBER(MATCH(A94,Sezoane!$C$6:$C$40,1)),A94&lt;=INDEX(Sezoane!$D$6:$D$40,MATCH(A94,Sezoane!$C$6:$C$40,1))),INDEX(Sezoane!$F$6:$F$40,MATCH(A94,Sezoane!$C$6:$C$40,1)),"")</f>
        <v>2</v>
      </c>
      <c r="E94" s="44" t="n">
        <f aca="false">IF(AND(ISNUMBER(MATCH(A94,Sezoane!$C$6:$C$40,1)),A94&lt;=INDEX(Sezoane!$D$6:$D$40,MATCH(A94,Sezoane!$C$6:$C$40,1))),INDEX('Prețuri de setat'!$E$5:$E$39,MATCH(A94,Sezoane!$C$6:$C$40,1)),"")</f>
        <v>1350</v>
      </c>
      <c r="F94" s="44" t="n">
        <f aca="false">IF(AND(ISNUMBER(MATCH(A94,Sezoane!$C$6:$C$40,1)),A94&lt;=INDEX(Sezoane!$D$6:$D$40,MATCH(A94,Sezoane!$C$6:$C$40,1))),INDEX('Prețuri de setat'!$F$5:$F$39,MATCH(A94,Sezoane!$C$6:$C$40,1)),"")</f>
        <v>1700</v>
      </c>
      <c r="G94" s="44" t="n">
        <f aca="false">IF(AND(ISNUMBER(MATCH(A94,Sezoane!$C$6:$C$40,1)),A94&lt;=INDEX(Sezoane!$D$6:$D$40,MATCH(A94,Sezoane!$C$6:$C$40,1))),INDEX('Prețuri de setat'!$G$5:$G$39,MATCH(A94,Sezoane!$C$6:$C$40,1)),"")</f>
        <v>1530</v>
      </c>
      <c r="H94" s="44" t="n">
        <f aca="false">IF(AND(ISNUMBER(MATCH(A94,Sezoane!$C$6:$C$40,1)),A94&lt;=INDEX(Sezoane!$D$6:$D$40,MATCH(A94,Sezoane!$C$6:$C$40,1))),INDEX('Prețuri de setat'!$H$5:$H$39,MATCH(A94,Sezoane!$C$6:$C$40,1)),"")</f>
        <v>1470</v>
      </c>
      <c r="I94" s="44" t="n">
        <f aca="false">IF(AND(ISNUMBER(MATCH(A94,Sezoane!$C$6:$C$40,1)),A94&lt;=INDEX(Sezoane!$D$6:$D$40,MATCH(A94,Sezoane!$C$6:$C$40,1))),INDEX('Prețuri de setat'!$I$5:$I$39,MATCH(A94,Sezoane!$C$6:$C$40,1)),"")</f>
        <v>1302</v>
      </c>
    </row>
    <row r="95" customFormat="false" ht="15" hidden="false" customHeight="false" outlineLevel="0" collapsed="false">
      <c r="A95" s="41" t="n">
        <f aca="false">$B$2+90</f>
        <v>46406</v>
      </c>
      <c r="B95" s="42" t="str">
        <f aca="false">CHOOSE(WEEKDAY(A95,2),"Lu","Ma","Mi","Jo","Vi","Sâ","Du")</f>
        <v>Ma</v>
      </c>
      <c r="C95" s="42" t="str">
        <f aca="false">IF(AND(ISNUMBER(MATCH(A95,Sezoane!$C$6:$C$40,1)),A95&lt;=INDEX(Sezoane!$D$6:$D$40,MATCH(A95,Sezoane!$C$6:$C$40,1))),INDEX(Sezoane!$A$6:$A$40,MATCH(A95,Sezoane!$C$6:$C$40,1)),"⚠ fără sezon")</f>
        <v>iarna-2027</v>
      </c>
      <c r="D95" s="43" t="n">
        <f aca="false">IF(AND(ISNUMBER(MATCH(A95,Sezoane!$C$6:$C$40,1)),A95&lt;=INDEX(Sezoane!$D$6:$D$40,MATCH(A95,Sezoane!$C$6:$C$40,1))),INDEX(Sezoane!$F$6:$F$40,MATCH(A95,Sezoane!$C$6:$C$40,1)),"")</f>
        <v>2</v>
      </c>
      <c r="E95" s="44" t="n">
        <f aca="false">IF(AND(ISNUMBER(MATCH(A95,Sezoane!$C$6:$C$40,1)),A95&lt;=INDEX(Sezoane!$D$6:$D$40,MATCH(A95,Sezoane!$C$6:$C$40,1))),INDEX('Prețuri de setat'!$E$5:$E$39,MATCH(A95,Sezoane!$C$6:$C$40,1)),"")</f>
        <v>1350</v>
      </c>
      <c r="F95" s="44" t="n">
        <f aca="false">IF(AND(ISNUMBER(MATCH(A95,Sezoane!$C$6:$C$40,1)),A95&lt;=INDEX(Sezoane!$D$6:$D$40,MATCH(A95,Sezoane!$C$6:$C$40,1))),INDEX('Prețuri de setat'!$F$5:$F$39,MATCH(A95,Sezoane!$C$6:$C$40,1)),"")</f>
        <v>1700</v>
      </c>
      <c r="G95" s="44" t="n">
        <f aca="false">IF(AND(ISNUMBER(MATCH(A95,Sezoane!$C$6:$C$40,1)),A95&lt;=INDEX(Sezoane!$D$6:$D$40,MATCH(A95,Sezoane!$C$6:$C$40,1))),INDEX('Prețuri de setat'!$G$5:$G$39,MATCH(A95,Sezoane!$C$6:$C$40,1)),"")</f>
        <v>1530</v>
      </c>
      <c r="H95" s="44" t="n">
        <f aca="false">IF(AND(ISNUMBER(MATCH(A95,Sezoane!$C$6:$C$40,1)),A95&lt;=INDEX(Sezoane!$D$6:$D$40,MATCH(A95,Sezoane!$C$6:$C$40,1))),INDEX('Prețuri de setat'!$H$5:$H$39,MATCH(A95,Sezoane!$C$6:$C$40,1)),"")</f>
        <v>1470</v>
      </c>
      <c r="I95" s="44" t="n">
        <f aca="false">IF(AND(ISNUMBER(MATCH(A95,Sezoane!$C$6:$C$40,1)),A95&lt;=INDEX(Sezoane!$D$6:$D$40,MATCH(A95,Sezoane!$C$6:$C$40,1))),INDEX('Prețuri de setat'!$I$5:$I$39,MATCH(A95,Sezoane!$C$6:$C$40,1)),"")</f>
        <v>1302</v>
      </c>
    </row>
    <row r="96" customFormat="false" ht="15" hidden="false" customHeight="false" outlineLevel="0" collapsed="false">
      <c r="A96" s="41" t="n">
        <f aca="false">$B$2+91</f>
        <v>46407</v>
      </c>
      <c r="B96" s="42" t="str">
        <f aca="false">CHOOSE(WEEKDAY(A96,2),"Lu","Ma","Mi","Jo","Vi","Sâ","Du")</f>
        <v>Mi</v>
      </c>
      <c r="C96" s="42" t="str">
        <f aca="false">IF(AND(ISNUMBER(MATCH(A96,Sezoane!$C$6:$C$40,1)),A96&lt;=INDEX(Sezoane!$D$6:$D$40,MATCH(A96,Sezoane!$C$6:$C$40,1))),INDEX(Sezoane!$A$6:$A$40,MATCH(A96,Sezoane!$C$6:$C$40,1)),"⚠ fără sezon")</f>
        <v>iarna-2027</v>
      </c>
      <c r="D96" s="43" t="n">
        <f aca="false">IF(AND(ISNUMBER(MATCH(A96,Sezoane!$C$6:$C$40,1)),A96&lt;=INDEX(Sezoane!$D$6:$D$40,MATCH(A96,Sezoane!$C$6:$C$40,1))),INDEX(Sezoane!$F$6:$F$40,MATCH(A96,Sezoane!$C$6:$C$40,1)),"")</f>
        <v>2</v>
      </c>
      <c r="E96" s="44" t="n">
        <f aca="false">IF(AND(ISNUMBER(MATCH(A96,Sezoane!$C$6:$C$40,1)),A96&lt;=INDEX(Sezoane!$D$6:$D$40,MATCH(A96,Sezoane!$C$6:$C$40,1))),INDEX('Prețuri de setat'!$E$5:$E$39,MATCH(A96,Sezoane!$C$6:$C$40,1)),"")</f>
        <v>1350</v>
      </c>
      <c r="F96" s="44" t="n">
        <f aca="false">IF(AND(ISNUMBER(MATCH(A96,Sezoane!$C$6:$C$40,1)),A96&lt;=INDEX(Sezoane!$D$6:$D$40,MATCH(A96,Sezoane!$C$6:$C$40,1))),INDEX('Prețuri de setat'!$F$5:$F$39,MATCH(A96,Sezoane!$C$6:$C$40,1)),"")</f>
        <v>1700</v>
      </c>
      <c r="G96" s="44" t="n">
        <f aca="false">IF(AND(ISNUMBER(MATCH(A96,Sezoane!$C$6:$C$40,1)),A96&lt;=INDEX(Sezoane!$D$6:$D$40,MATCH(A96,Sezoane!$C$6:$C$40,1))),INDEX('Prețuri de setat'!$G$5:$G$39,MATCH(A96,Sezoane!$C$6:$C$40,1)),"")</f>
        <v>1530</v>
      </c>
      <c r="H96" s="44" t="n">
        <f aca="false">IF(AND(ISNUMBER(MATCH(A96,Sezoane!$C$6:$C$40,1)),A96&lt;=INDEX(Sezoane!$D$6:$D$40,MATCH(A96,Sezoane!$C$6:$C$40,1))),INDEX('Prețuri de setat'!$H$5:$H$39,MATCH(A96,Sezoane!$C$6:$C$40,1)),"")</f>
        <v>1470</v>
      </c>
      <c r="I96" s="44" t="n">
        <f aca="false">IF(AND(ISNUMBER(MATCH(A96,Sezoane!$C$6:$C$40,1)),A96&lt;=INDEX(Sezoane!$D$6:$D$40,MATCH(A96,Sezoane!$C$6:$C$40,1))),INDEX('Prețuri de setat'!$I$5:$I$39,MATCH(A96,Sezoane!$C$6:$C$40,1)),"")</f>
        <v>1302</v>
      </c>
    </row>
    <row r="97" customFormat="false" ht="15" hidden="false" customHeight="false" outlineLevel="0" collapsed="false">
      <c r="A97" s="41" t="n">
        <f aca="false">$B$2+92</f>
        <v>46408</v>
      </c>
      <c r="B97" s="42" t="str">
        <f aca="false">CHOOSE(WEEKDAY(A97,2),"Lu","Ma","Mi","Jo","Vi","Sâ","Du")</f>
        <v>Jo</v>
      </c>
      <c r="C97" s="42" t="str">
        <f aca="false">IF(AND(ISNUMBER(MATCH(A97,Sezoane!$C$6:$C$40,1)),A97&lt;=INDEX(Sezoane!$D$6:$D$40,MATCH(A97,Sezoane!$C$6:$C$40,1))),INDEX(Sezoane!$A$6:$A$40,MATCH(A97,Sezoane!$C$6:$C$40,1)),"⚠ fără sezon")</f>
        <v>iarna-2027</v>
      </c>
      <c r="D97" s="43" t="n">
        <f aca="false">IF(AND(ISNUMBER(MATCH(A97,Sezoane!$C$6:$C$40,1)),A97&lt;=INDEX(Sezoane!$D$6:$D$40,MATCH(A97,Sezoane!$C$6:$C$40,1))),INDEX(Sezoane!$F$6:$F$40,MATCH(A97,Sezoane!$C$6:$C$40,1)),"")</f>
        <v>2</v>
      </c>
      <c r="E97" s="44" t="n">
        <f aca="false">IF(AND(ISNUMBER(MATCH(A97,Sezoane!$C$6:$C$40,1)),A97&lt;=INDEX(Sezoane!$D$6:$D$40,MATCH(A97,Sezoane!$C$6:$C$40,1))),INDEX('Prețuri de setat'!$E$5:$E$39,MATCH(A97,Sezoane!$C$6:$C$40,1)),"")</f>
        <v>1350</v>
      </c>
      <c r="F97" s="44" t="n">
        <f aca="false">IF(AND(ISNUMBER(MATCH(A97,Sezoane!$C$6:$C$40,1)),A97&lt;=INDEX(Sezoane!$D$6:$D$40,MATCH(A97,Sezoane!$C$6:$C$40,1))),INDEX('Prețuri de setat'!$F$5:$F$39,MATCH(A97,Sezoane!$C$6:$C$40,1)),"")</f>
        <v>1700</v>
      </c>
      <c r="G97" s="44" t="n">
        <f aca="false">IF(AND(ISNUMBER(MATCH(A97,Sezoane!$C$6:$C$40,1)),A97&lt;=INDEX(Sezoane!$D$6:$D$40,MATCH(A97,Sezoane!$C$6:$C$40,1))),INDEX('Prețuri de setat'!$G$5:$G$39,MATCH(A97,Sezoane!$C$6:$C$40,1)),"")</f>
        <v>1530</v>
      </c>
      <c r="H97" s="44" t="n">
        <f aca="false">IF(AND(ISNUMBER(MATCH(A97,Sezoane!$C$6:$C$40,1)),A97&lt;=INDEX(Sezoane!$D$6:$D$40,MATCH(A97,Sezoane!$C$6:$C$40,1))),INDEX('Prețuri de setat'!$H$5:$H$39,MATCH(A97,Sezoane!$C$6:$C$40,1)),"")</f>
        <v>1470</v>
      </c>
      <c r="I97" s="44" t="n">
        <f aca="false">IF(AND(ISNUMBER(MATCH(A97,Sezoane!$C$6:$C$40,1)),A97&lt;=INDEX(Sezoane!$D$6:$D$40,MATCH(A97,Sezoane!$C$6:$C$40,1))),INDEX('Prețuri de setat'!$I$5:$I$39,MATCH(A97,Sezoane!$C$6:$C$40,1)),"")</f>
        <v>1302</v>
      </c>
    </row>
    <row r="98" customFormat="false" ht="15" hidden="false" customHeight="false" outlineLevel="0" collapsed="false">
      <c r="A98" s="41" t="n">
        <f aca="false">$B$2+93</f>
        <v>46409</v>
      </c>
      <c r="B98" s="42" t="str">
        <f aca="false">CHOOSE(WEEKDAY(A98,2),"Lu","Ma","Mi","Jo","Vi","Sâ","Du")</f>
        <v>Vi</v>
      </c>
      <c r="C98" s="42" t="str">
        <f aca="false">IF(AND(ISNUMBER(MATCH(A98,Sezoane!$C$6:$C$40,1)),A98&lt;=INDEX(Sezoane!$D$6:$D$40,MATCH(A98,Sezoane!$C$6:$C$40,1))),INDEX(Sezoane!$A$6:$A$40,MATCH(A98,Sezoane!$C$6:$C$40,1)),"⚠ fără sezon")</f>
        <v>iarna-2027</v>
      </c>
      <c r="D98" s="43" t="n">
        <f aca="false">IF(AND(ISNUMBER(MATCH(A98,Sezoane!$C$6:$C$40,1)),A98&lt;=INDEX(Sezoane!$D$6:$D$40,MATCH(A98,Sezoane!$C$6:$C$40,1))),INDEX(Sezoane!$F$6:$F$40,MATCH(A98,Sezoane!$C$6:$C$40,1)),"")</f>
        <v>2</v>
      </c>
      <c r="E98" s="44" t="n">
        <f aca="false">IF(AND(ISNUMBER(MATCH(A98,Sezoane!$C$6:$C$40,1)),A98&lt;=INDEX(Sezoane!$D$6:$D$40,MATCH(A98,Sezoane!$C$6:$C$40,1))),INDEX('Prețuri de setat'!$E$5:$E$39,MATCH(A98,Sezoane!$C$6:$C$40,1)),"")</f>
        <v>1350</v>
      </c>
      <c r="F98" s="44" t="n">
        <f aca="false">IF(AND(ISNUMBER(MATCH(A98,Sezoane!$C$6:$C$40,1)),A98&lt;=INDEX(Sezoane!$D$6:$D$40,MATCH(A98,Sezoane!$C$6:$C$40,1))),INDEX('Prețuri de setat'!$F$5:$F$39,MATCH(A98,Sezoane!$C$6:$C$40,1)),"")</f>
        <v>1700</v>
      </c>
      <c r="G98" s="44" t="n">
        <f aca="false">IF(AND(ISNUMBER(MATCH(A98,Sezoane!$C$6:$C$40,1)),A98&lt;=INDEX(Sezoane!$D$6:$D$40,MATCH(A98,Sezoane!$C$6:$C$40,1))),INDEX('Prețuri de setat'!$G$5:$G$39,MATCH(A98,Sezoane!$C$6:$C$40,1)),"")</f>
        <v>1530</v>
      </c>
      <c r="H98" s="44" t="n">
        <f aca="false">IF(AND(ISNUMBER(MATCH(A98,Sezoane!$C$6:$C$40,1)),A98&lt;=INDEX(Sezoane!$D$6:$D$40,MATCH(A98,Sezoane!$C$6:$C$40,1))),INDEX('Prețuri de setat'!$H$5:$H$39,MATCH(A98,Sezoane!$C$6:$C$40,1)),"")</f>
        <v>1470</v>
      </c>
      <c r="I98" s="44" t="n">
        <f aca="false">IF(AND(ISNUMBER(MATCH(A98,Sezoane!$C$6:$C$40,1)),A98&lt;=INDEX(Sezoane!$D$6:$D$40,MATCH(A98,Sezoane!$C$6:$C$40,1))),INDEX('Prețuri de setat'!$I$5:$I$39,MATCH(A98,Sezoane!$C$6:$C$40,1)),"")</f>
        <v>1302</v>
      </c>
    </row>
    <row r="99" customFormat="false" ht="15" hidden="false" customHeight="false" outlineLevel="0" collapsed="false">
      <c r="A99" s="41" t="n">
        <f aca="false">$B$2+94</f>
        <v>46410</v>
      </c>
      <c r="B99" s="42" t="str">
        <f aca="false">CHOOSE(WEEKDAY(A99,2),"Lu","Ma","Mi","Jo","Vi","Sâ","Du")</f>
        <v>Sâ</v>
      </c>
      <c r="C99" s="42" t="str">
        <f aca="false">IF(AND(ISNUMBER(MATCH(A99,Sezoane!$C$6:$C$40,1)),A99&lt;=INDEX(Sezoane!$D$6:$D$40,MATCH(A99,Sezoane!$C$6:$C$40,1))),INDEX(Sezoane!$A$6:$A$40,MATCH(A99,Sezoane!$C$6:$C$40,1)),"⚠ fără sezon")</f>
        <v>iarna-2027</v>
      </c>
      <c r="D99" s="43" t="n">
        <f aca="false">IF(AND(ISNUMBER(MATCH(A99,Sezoane!$C$6:$C$40,1)),A99&lt;=INDEX(Sezoane!$D$6:$D$40,MATCH(A99,Sezoane!$C$6:$C$40,1))),INDEX(Sezoane!$F$6:$F$40,MATCH(A99,Sezoane!$C$6:$C$40,1)),"")</f>
        <v>2</v>
      </c>
      <c r="E99" s="44" t="n">
        <f aca="false">IF(AND(ISNUMBER(MATCH(A99,Sezoane!$C$6:$C$40,1)),A99&lt;=INDEX(Sezoane!$D$6:$D$40,MATCH(A99,Sezoane!$C$6:$C$40,1))),INDEX('Prețuri de setat'!$E$5:$E$39,MATCH(A99,Sezoane!$C$6:$C$40,1)),"")</f>
        <v>1350</v>
      </c>
      <c r="F99" s="44" t="n">
        <f aca="false">IF(AND(ISNUMBER(MATCH(A99,Sezoane!$C$6:$C$40,1)),A99&lt;=INDEX(Sezoane!$D$6:$D$40,MATCH(A99,Sezoane!$C$6:$C$40,1))),INDEX('Prețuri de setat'!$F$5:$F$39,MATCH(A99,Sezoane!$C$6:$C$40,1)),"")</f>
        <v>1700</v>
      </c>
      <c r="G99" s="44" t="n">
        <f aca="false">IF(AND(ISNUMBER(MATCH(A99,Sezoane!$C$6:$C$40,1)),A99&lt;=INDEX(Sezoane!$D$6:$D$40,MATCH(A99,Sezoane!$C$6:$C$40,1))),INDEX('Prețuri de setat'!$G$5:$G$39,MATCH(A99,Sezoane!$C$6:$C$40,1)),"")</f>
        <v>1530</v>
      </c>
      <c r="H99" s="44" t="n">
        <f aca="false">IF(AND(ISNUMBER(MATCH(A99,Sezoane!$C$6:$C$40,1)),A99&lt;=INDEX(Sezoane!$D$6:$D$40,MATCH(A99,Sezoane!$C$6:$C$40,1))),INDEX('Prețuri de setat'!$H$5:$H$39,MATCH(A99,Sezoane!$C$6:$C$40,1)),"")</f>
        <v>1470</v>
      </c>
      <c r="I99" s="44" t="n">
        <f aca="false">IF(AND(ISNUMBER(MATCH(A99,Sezoane!$C$6:$C$40,1)),A99&lt;=INDEX(Sezoane!$D$6:$D$40,MATCH(A99,Sezoane!$C$6:$C$40,1))),INDEX('Prețuri de setat'!$I$5:$I$39,MATCH(A99,Sezoane!$C$6:$C$40,1)),"")</f>
        <v>1302</v>
      </c>
    </row>
    <row r="100" customFormat="false" ht="15" hidden="false" customHeight="false" outlineLevel="0" collapsed="false">
      <c r="A100" s="41" t="n">
        <f aca="false">$B$2+95</f>
        <v>46411</v>
      </c>
      <c r="B100" s="42" t="str">
        <f aca="false">CHOOSE(WEEKDAY(A100,2),"Lu","Ma","Mi","Jo","Vi","Sâ","Du")</f>
        <v>Du</v>
      </c>
      <c r="C100" s="42" t="str">
        <f aca="false">IF(AND(ISNUMBER(MATCH(A100,Sezoane!$C$6:$C$40,1)),A100&lt;=INDEX(Sezoane!$D$6:$D$40,MATCH(A100,Sezoane!$C$6:$C$40,1))),INDEX(Sezoane!$A$6:$A$40,MATCH(A100,Sezoane!$C$6:$C$40,1)),"⚠ fără sezon")</f>
        <v>iarna-2027</v>
      </c>
      <c r="D100" s="43" t="n">
        <f aca="false">IF(AND(ISNUMBER(MATCH(A100,Sezoane!$C$6:$C$40,1)),A100&lt;=INDEX(Sezoane!$D$6:$D$40,MATCH(A100,Sezoane!$C$6:$C$40,1))),INDEX(Sezoane!$F$6:$F$40,MATCH(A100,Sezoane!$C$6:$C$40,1)),"")</f>
        <v>2</v>
      </c>
      <c r="E100" s="44" t="n">
        <f aca="false">IF(AND(ISNUMBER(MATCH(A100,Sezoane!$C$6:$C$40,1)),A100&lt;=INDEX(Sezoane!$D$6:$D$40,MATCH(A100,Sezoane!$C$6:$C$40,1))),INDEX('Prețuri de setat'!$E$5:$E$39,MATCH(A100,Sezoane!$C$6:$C$40,1)),"")</f>
        <v>1350</v>
      </c>
      <c r="F100" s="44" t="n">
        <f aca="false">IF(AND(ISNUMBER(MATCH(A100,Sezoane!$C$6:$C$40,1)),A100&lt;=INDEX(Sezoane!$D$6:$D$40,MATCH(A100,Sezoane!$C$6:$C$40,1))),INDEX('Prețuri de setat'!$F$5:$F$39,MATCH(A100,Sezoane!$C$6:$C$40,1)),"")</f>
        <v>1700</v>
      </c>
      <c r="G100" s="44" t="n">
        <f aca="false">IF(AND(ISNUMBER(MATCH(A100,Sezoane!$C$6:$C$40,1)),A100&lt;=INDEX(Sezoane!$D$6:$D$40,MATCH(A100,Sezoane!$C$6:$C$40,1))),INDEX('Prețuri de setat'!$G$5:$G$39,MATCH(A100,Sezoane!$C$6:$C$40,1)),"")</f>
        <v>1530</v>
      </c>
      <c r="H100" s="44" t="n">
        <f aca="false">IF(AND(ISNUMBER(MATCH(A100,Sezoane!$C$6:$C$40,1)),A100&lt;=INDEX(Sezoane!$D$6:$D$40,MATCH(A100,Sezoane!$C$6:$C$40,1))),INDEX('Prețuri de setat'!$H$5:$H$39,MATCH(A100,Sezoane!$C$6:$C$40,1)),"")</f>
        <v>1470</v>
      </c>
      <c r="I100" s="44" t="n">
        <f aca="false">IF(AND(ISNUMBER(MATCH(A100,Sezoane!$C$6:$C$40,1)),A100&lt;=INDEX(Sezoane!$D$6:$D$40,MATCH(A100,Sezoane!$C$6:$C$40,1))),INDEX('Prețuri de setat'!$I$5:$I$39,MATCH(A100,Sezoane!$C$6:$C$40,1)),"")</f>
        <v>1302</v>
      </c>
    </row>
    <row r="101" customFormat="false" ht="15" hidden="false" customHeight="false" outlineLevel="0" collapsed="false">
      <c r="A101" s="41" t="n">
        <f aca="false">$B$2+96</f>
        <v>46412</v>
      </c>
      <c r="B101" s="42" t="str">
        <f aca="false">CHOOSE(WEEKDAY(A101,2),"Lu","Ma","Mi","Jo","Vi","Sâ","Du")</f>
        <v>Lu</v>
      </c>
      <c r="C101" s="42" t="str">
        <f aca="false">IF(AND(ISNUMBER(MATCH(A101,Sezoane!$C$6:$C$40,1)),A101&lt;=INDEX(Sezoane!$D$6:$D$40,MATCH(A101,Sezoane!$C$6:$C$40,1))),INDEX(Sezoane!$A$6:$A$40,MATCH(A101,Sezoane!$C$6:$C$40,1)),"⚠ fără sezon")</f>
        <v>iarna-2027</v>
      </c>
      <c r="D101" s="43" t="n">
        <f aca="false">IF(AND(ISNUMBER(MATCH(A101,Sezoane!$C$6:$C$40,1)),A101&lt;=INDEX(Sezoane!$D$6:$D$40,MATCH(A101,Sezoane!$C$6:$C$40,1))),INDEX(Sezoane!$F$6:$F$40,MATCH(A101,Sezoane!$C$6:$C$40,1)),"")</f>
        <v>2</v>
      </c>
      <c r="E101" s="44" t="n">
        <f aca="false">IF(AND(ISNUMBER(MATCH(A101,Sezoane!$C$6:$C$40,1)),A101&lt;=INDEX(Sezoane!$D$6:$D$40,MATCH(A101,Sezoane!$C$6:$C$40,1))),INDEX('Prețuri de setat'!$E$5:$E$39,MATCH(A101,Sezoane!$C$6:$C$40,1)),"")</f>
        <v>1350</v>
      </c>
      <c r="F101" s="44" t="n">
        <f aca="false">IF(AND(ISNUMBER(MATCH(A101,Sezoane!$C$6:$C$40,1)),A101&lt;=INDEX(Sezoane!$D$6:$D$40,MATCH(A101,Sezoane!$C$6:$C$40,1))),INDEX('Prețuri de setat'!$F$5:$F$39,MATCH(A101,Sezoane!$C$6:$C$40,1)),"")</f>
        <v>1700</v>
      </c>
      <c r="G101" s="44" t="n">
        <f aca="false">IF(AND(ISNUMBER(MATCH(A101,Sezoane!$C$6:$C$40,1)),A101&lt;=INDEX(Sezoane!$D$6:$D$40,MATCH(A101,Sezoane!$C$6:$C$40,1))),INDEX('Prețuri de setat'!$G$5:$G$39,MATCH(A101,Sezoane!$C$6:$C$40,1)),"")</f>
        <v>1530</v>
      </c>
      <c r="H101" s="44" t="n">
        <f aca="false">IF(AND(ISNUMBER(MATCH(A101,Sezoane!$C$6:$C$40,1)),A101&lt;=INDEX(Sezoane!$D$6:$D$40,MATCH(A101,Sezoane!$C$6:$C$40,1))),INDEX('Prețuri de setat'!$H$5:$H$39,MATCH(A101,Sezoane!$C$6:$C$40,1)),"")</f>
        <v>1470</v>
      </c>
      <c r="I101" s="44" t="n">
        <f aca="false">IF(AND(ISNUMBER(MATCH(A101,Sezoane!$C$6:$C$40,1)),A101&lt;=INDEX(Sezoane!$D$6:$D$40,MATCH(A101,Sezoane!$C$6:$C$40,1))),INDEX('Prețuri de setat'!$I$5:$I$39,MATCH(A101,Sezoane!$C$6:$C$40,1)),"")</f>
        <v>1302</v>
      </c>
    </row>
    <row r="102" customFormat="false" ht="15" hidden="false" customHeight="false" outlineLevel="0" collapsed="false">
      <c r="A102" s="41" t="n">
        <f aca="false">$B$2+97</f>
        <v>46413</v>
      </c>
      <c r="B102" s="42" t="str">
        <f aca="false">CHOOSE(WEEKDAY(A102,2),"Lu","Ma","Mi","Jo","Vi","Sâ","Du")</f>
        <v>Ma</v>
      </c>
      <c r="C102" s="42" t="str">
        <f aca="false">IF(AND(ISNUMBER(MATCH(A102,Sezoane!$C$6:$C$40,1)),A102&lt;=INDEX(Sezoane!$D$6:$D$40,MATCH(A102,Sezoane!$C$6:$C$40,1))),INDEX(Sezoane!$A$6:$A$40,MATCH(A102,Sezoane!$C$6:$C$40,1)),"⚠ fără sezon")</f>
        <v>iarna-2027</v>
      </c>
      <c r="D102" s="43" t="n">
        <f aca="false">IF(AND(ISNUMBER(MATCH(A102,Sezoane!$C$6:$C$40,1)),A102&lt;=INDEX(Sezoane!$D$6:$D$40,MATCH(A102,Sezoane!$C$6:$C$40,1))),INDEX(Sezoane!$F$6:$F$40,MATCH(A102,Sezoane!$C$6:$C$40,1)),"")</f>
        <v>2</v>
      </c>
      <c r="E102" s="44" t="n">
        <f aca="false">IF(AND(ISNUMBER(MATCH(A102,Sezoane!$C$6:$C$40,1)),A102&lt;=INDEX(Sezoane!$D$6:$D$40,MATCH(A102,Sezoane!$C$6:$C$40,1))),INDEX('Prețuri de setat'!$E$5:$E$39,MATCH(A102,Sezoane!$C$6:$C$40,1)),"")</f>
        <v>1350</v>
      </c>
      <c r="F102" s="44" t="n">
        <f aca="false">IF(AND(ISNUMBER(MATCH(A102,Sezoane!$C$6:$C$40,1)),A102&lt;=INDEX(Sezoane!$D$6:$D$40,MATCH(A102,Sezoane!$C$6:$C$40,1))),INDEX('Prețuri de setat'!$F$5:$F$39,MATCH(A102,Sezoane!$C$6:$C$40,1)),"")</f>
        <v>1700</v>
      </c>
      <c r="G102" s="44" t="n">
        <f aca="false">IF(AND(ISNUMBER(MATCH(A102,Sezoane!$C$6:$C$40,1)),A102&lt;=INDEX(Sezoane!$D$6:$D$40,MATCH(A102,Sezoane!$C$6:$C$40,1))),INDEX('Prețuri de setat'!$G$5:$G$39,MATCH(A102,Sezoane!$C$6:$C$40,1)),"")</f>
        <v>1530</v>
      </c>
      <c r="H102" s="44" t="n">
        <f aca="false">IF(AND(ISNUMBER(MATCH(A102,Sezoane!$C$6:$C$40,1)),A102&lt;=INDEX(Sezoane!$D$6:$D$40,MATCH(A102,Sezoane!$C$6:$C$40,1))),INDEX('Prețuri de setat'!$H$5:$H$39,MATCH(A102,Sezoane!$C$6:$C$40,1)),"")</f>
        <v>1470</v>
      </c>
      <c r="I102" s="44" t="n">
        <f aca="false">IF(AND(ISNUMBER(MATCH(A102,Sezoane!$C$6:$C$40,1)),A102&lt;=INDEX(Sezoane!$D$6:$D$40,MATCH(A102,Sezoane!$C$6:$C$40,1))),INDEX('Prețuri de setat'!$I$5:$I$39,MATCH(A102,Sezoane!$C$6:$C$40,1)),"")</f>
        <v>1302</v>
      </c>
    </row>
    <row r="103" customFormat="false" ht="15" hidden="false" customHeight="false" outlineLevel="0" collapsed="false">
      <c r="A103" s="41" t="n">
        <f aca="false">$B$2+98</f>
        <v>46414</v>
      </c>
      <c r="B103" s="42" t="str">
        <f aca="false">CHOOSE(WEEKDAY(A103,2),"Lu","Ma","Mi","Jo","Vi","Sâ","Du")</f>
        <v>Mi</v>
      </c>
      <c r="C103" s="42" t="str">
        <f aca="false">IF(AND(ISNUMBER(MATCH(A103,Sezoane!$C$6:$C$40,1)),A103&lt;=INDEX(Sezoane!$D$6:$D$40,MATCH(A103,Sezoane!$C$6:$C$40,1))),INDEX(Sezoane!$A$6:$A$40,MATCH(A103,Sezoane!$C$6:$C$40,1)),"⚠ fără sezon")</f>
        <v>iarna-2027</v>
      </c>
      <c r="D103" s="43" t="n">
        <f aca="false">IF(AND(ISNUMBER(MATCH(A103,Sezoane!$C$6:$C$40,1)),A103&lt;=INDEX(Sezoane!$D$6:$D$40,MATCH(A103,Sezoane!$C$6:$C$40,1))),INDEX(Sezoane!$F$6:$F$40,MATCH(A103,Sezoane!$C$6:$C$40,1)),"")</f>
        <v>2</v>
      </c>
      <c r="E103" s="44" t="n">
        <f aca="false">IF(AND(ISNUMBER(MATCH(A103,Sezoane!$C$6:$C$40,1)),A103&lt;=INDEX(Sezoane!$D$6:$D$40,MATCH(A103,Sezoane!$C$6:$C$40,1))),INDEX('Prețuri de setat'!$E$5:$E$39,MATCH(A103,Sezoane!$C$6:$C$40,1)),"")</f>
        <v>1350</v>
      </c>
      <c r="F103" s="44" t="n">
        <f aca="false">IF(AND(ISNUMBER(MATCH(A103,Sezoane!$C$6:$C$40,1)),A103&lt;=INDEX(Sezoane!$D$6:$D$40,MATCH(A103,Sezoane!$C$6:$C$40,1))),INDEX('Prețuri de setat'!$F$5:$F$39,MATCH(A103,Sezoane!$C$6:$C$40,1)),"")</f>
        <v>1700</v>
      </c>
      <c r="G103" s="44" t="n">
        <f aca="false">IF(AND(ISNUMBER(MATCH(A103,Sezoane!$C$6:$C$40,1)),A103&lt;=INDEX(Sezoane!$D$6:$D$40,MATCH(A103,Sezoane!$C$6:$C$40,1))),INDEX('Prețuri de setat'!$G$5:$G$39,MATCH(A103,Sezoane!$C$6:$C$40,1)),"")</f>
        <v>1530</v>
      </c>
      <c r="H103" s="44" t="n">
        <f aca="false">IF(AND(ISNUMBER(MATCH(A103,Sezoane!$C$6:$C$40,1)),A103&lt;=INDEX(Sezoane!$D$6:$D$40,MATCH(A103,Sezoane!$C$6:$C$40,1))),INDEX('Prețuri de setat'!$H$5:$H$39,MATCH(A103,Sezoane!$C$6:$C$40,1)),"")</f>
        <v>1470</v>
      </c>
      <c r="I103" s="44" t="n">
        <f aca="false">IF(AND(ISNUMBER(MATCH(A103,Sezoane!$C$6:$C$40,1)),A103&lt;=INDEX(Sezoane!$D$6:$D$40,MATCH(A103,Sezoane!$C$6:$C$40,1))),INDEX('Prețuri de setat'!$I$5:$I$39,MATCH(A103,Sezoane!$C$6:$C$40,1)),"")</f>
        <v>1302</v>
      </c>
    </row>
    <row r="104" customFormat="false" ht="15" hidden="false" customHeight="false" outlineLevel="0" collapsed="false">
      <c r="A104" s="41" t="n">
        <f aca="false">$B$2+99</f>
        <v>46415</v>
      </c>
      <c r="B104" s="42" t="str">
        <f aca="false">CHOOSE(WEEKDAY(A104,2),"Lu","Ma","Mi","Jo","Vi","Sâ","Du")</f>
        <v>Jo</v>
      </c>
      <c r="C104" s="42" t="str">
        <f aca="false">IF(AND(ISNUMBER(MATCH(A104,Sezoane!$C$6:$C$40,1)),A104&lt;=INDEX(Sezoane!$D$6:$D$40,MATCH(A104,Sezoane!$C$6:$C$40,1))),INDEX(Sezoane!$A$6:$A$40,MATCH(A104,Sezoane!$C$6:$C$40,1)),"⚠ fără sezon")</f>
        <v>iarna-2027</v>
      </c>
      <c r="D104" s="43" t="n">
        <f aca="false">IF(AND(ISNUMBER(MATCH(A104,Sezoane!$C$6:$C$40,1)),A104&lt;=INDEX(Sezoane!$D$6:$D$40,MATCH(A104,Sezoane!$C$6:$C$40,1))),INDEX(Sezoane!$F$6:$F$40,MATCH(A104,Sezoane!$C$6:$C$40,1)),"")</f>
        <v>2</v>
      </c>
      <c r="E104" s="44" t="n">
        <f aca="false">IF(AND(ISNUMBER(MATCH(A104,Sezoane!$C$6:$C$40,1)),A104&lt;=INDEX(Sezoane!$D$6:$D$40,MATCH(A104,Sezoane!$C$6:$C$40,1))),INDEX('Prețuri de setat'!$E$5:$E$39,MATCH(A104,Sezoane!$C$6:$C$40,1)),"")</f>
        <v>1350</v>
      </c>
      <c r="F104" s="44" t="n">
        <f aca="false">IF(AND(ISNUMBER(MATCH(A104,Sezoane!$C$6:$C$40,1)),A104&lt;=INDEX(Sezoane!$D$6:$D$40,MATCH(A104,Sezoane!$C$6:$C$40,1))),INDEX('Prețuri de setat'!$F$5:$F$39,MATCH(A104,Sezoane!$C$6:$C$40,1)),"")</f>
        <v>1700</v>
      </c>
      <c r="G104" s="44" t="n">
        <f aca="false">IF(AND(ISNUMBER(MATCH(A104,Sezoane!$C$6:$C$40,1)),A104&lt;=INDEX(Sezoane!$D$6:$D$40,MATCH(A104,Sezoane!$C$6:$C$40,1))),INDEX('Prețuri de setat'!$G$5:$G$39,MATCH(A104,Sezoane!$C$6:$C$40,1)),"")</f>
        <v>1530</v>
      </c>
      <c r="H104" s="44" t="n">
        <f aca="false">IF(AND(ISNUMBER(MATCH(A104,Sezoane!$C$6:$C$40,1)),A104&lt;=INDEX(Sezoane!$D$6:$D$40,MATCH(A104,Sezoane!$C$6:$C$40,1))),INDEX('Prețuri de setat'!$H$5:$H$39,MATCH(A104,Sezoane!$C$6:$C$40,1)),"")</f>
        <v>1470</v>
      </c>
      <c r="I104" s="44" t="n">
        <f aca="false">IF(AND(ISNUMBER(MATCH(A104,Sezoane!$C$6:$C$40,1)),A104&lt;=INDEX(Sezoane!$D$6:$D$40,MATCH(A104,Sezoane!$C$6:$C$40,1))),INDEX('Prețuri de setat'!$I$5:$I$39,MATCH(A104,Sezoane!$C$6:$C$40,1)),"")</f>
        <v>1302</v>
      </c>
    </row>
    <row r="105" customFormat="false" ht="15" hidden="false" customHeight="false" outlineLevel="0" collapsed="false">
      <c r="A105" s="41" t="n">
        <f aca="false">$B$2+100</f>
        <v>46416</v>
      </c>
      <c r="B105" s="42" t="str">
        <f aca="false">CHOOSE(WEEKDAY(A105,2),"Lu","Ma","Mi","Jo","Vi","Sâ","Du")</f>
        <v>Vi</v>
      </c>
      <c r="C105" s="42" t="str">
        <f aca="false">IF(AND(ISNUMBER(MATCH(A105,Sezoane!$C$6:$C$40,1)),A105&lt;=INDEX(Sezoane!$D$6:$D$40,MATCH(A105,Sezoane!$C$6:$C$40,1))),INDEX(Sezoane!$A$6:$A$40,MATCH(A105,Sezoane!$C$6:$C$40,1)),"⚠ fără sezon")</f>
        <v>iarna-2027</v>
      </c>
      <c r="D105" s="43" t="n">
        <f aca="false">IF(AND(ISNUMBER(MATCH(A105,Sezoane!$C$6:$C$40,1)),A105&lt;=INDEX(Sezoane!$D$6:$D$40,MATCH(A105,Sezoane!$C$6:$C$40,1))),INDEX(Sezoane!$F$6:$F$40,MATCH(A105,Sezoane!$C$6:$C$40,1)),"")</f>
        <v>2</v>
      </c>
      <c r="E105" s="44" t="n">
        <f aca="false">IF(AND(ISNUMBER(MATCH(A105,Sezoane!$C$6:$C$40,1)),A105&lt;=INDEX(Sezoane!$D$6:$D$40,MATCH(A105,Sezoane!$C$6:$C$40,1))),INDEX('Prețuri de setat'!$E$5:$E$39,MATCH(A105,Sezoane!$C$6:$C$40,1)),"")</f>
        <v>1350</v>
      </c>
      <c r="F105" s="44" t="n">
        <f aca="false">IF(AND(ISNUMBER(MATCH(A105,Sezoane!$C$6:$C$40,1)),A105&lt;=INDEX(Sezoane!$D$6:$D$40,MATCH(A105,Sezoane!$C$6:$C$40,1))),INDEX('Prețuri de setat'!$F$5:$F$39,MATCH(A105,Sezoane!$C$6:$C$40,1)),"")</f>
        <v>1700</v>
      </c>
      <c r="G105" s="44" t="n">
        <f aca="false">IF(AND(ISNUMBER(MATCH(A105,Sezoane!$C$6:$C$40,1)),A105&lt;=INDEX(Sezoane!$D$6:$D$40,MATCH(A105,Sezoane!$C$6:$C$40,1))),INDEX('Prețuri de setat'!$G$5:$G$39,MATCH(A105,Sezoane!$C$6:$C$40,1)),"")</f>
        <v>1530</v>
      </c>
      <c r="H105" s="44" t="n">
        <f aca="false">IF(AND(ISNUMBER(MATCH(A105,Sezoane!$C$6:$C$40,1)),A105&lt;=INDEX(Sezoane!$D$6:$D$40,MATCH(A105,Sezoane!$C$6:$C$40,1))),INDEX('Prețuri de setat'!$H$5:$H$39,MATCH(A105,Sezoane!$C$6:$C$40,1)),"")</f>
        <v>1470</v>
      </c>
      <c r="I105" s="44" t="n">
        <f aca="false">IF(AND(ISNUMBER(MATCH(A105,Sezoane!$C$6:$C$40,1)),A105&lt;=INDEX(Sezoane!$D$6:$D$40,MATCH(A105,Sezoane!$C$6:$C$40,1))),INDEX('Prețuri de setat'!$I$5:$I$39,MATCH(A105,Sezoane!$C$6:$C$40,1)),"")</f>
        <v>1302</v>
      </c>
    </row>
    <row r="106" customFormat="false" ht="15" hidden="false" customHeight="false" outlineLevel="0" collapsed="false">
      <c r="A106" s="41" t="n">
        <f aca="false">$B$2+101</f>
        <v>46417</v>
      </c>
      <c r="B106" s="42" t="str">
        <f aca="false">CHOOSE(WEEKDAY(A106,2),"Lu","Ma","Mi","Jo","Vi","Sâ","Du")</f>
        <v>Sâ</v>
      </c>
      <c r="C106" s="42" t="str">
        <f aca="false">IF(AND(ISNUMBER(MATCH(A106,Sezoane!$C$6:$C$40,1)),A106&lt;=INDEX(Sezoane!$D$6:$D$40,MATCH(A106,Sezoane!$C$6:$C$40,1))),INDEX(Sezoane!$A$6:$A$40,MATCH(A106,Sezoane!$C$6:$C$40,1)),"⚠ fără sezon")</f>
        <v>iarna-2027</v>
      </c>
      <c r="D106" s="43" t="n">
        <f aca="false">IF(AND(ISNUMBER(MATCH(A106,Sezoane!$C$6:$C$40,1)),A106&lt;=INDEX(Sezoane!$D$6:$D$40,MATCH(A106,Sezoane!$C$6:$C$40,1))),INDEX(Sezoane!$F$6:$F$40,MATCH(A106,Sezoane!$C$6:$C$40,1)),"")</f>
        <v>2</v>
      </c>
      <c r="E106" s="44" t="n">
        <f aca="false">IF(AND(ISNUMBER(MATCH(A106,Sezoane!$C$6:$C$40,1)),A106&lt;=INDEX(Sezoane!$D$6:$D$40,MATCH(A106,Sezoane!$C$6:$C$40,1))),INDEX('Prețuri de setat'!$E$5:$E$39,MATCH(A106,Sezoane!$C$6:$C$40,1)),"")</f>
        <v>1350</v>
      </c>
      <c r="F106" s="44" t="n">
        <f aca="false">IF(AND(ISNUMBER(MATCH(A106,Sezoane!$C$6:$C$40,1)),A106&lt;=INDEX(Sezoane!$D$6:$D$40,MATCH(A106,Sezoane!$C$6:$C$40,1))),INDEX('Prețuri de setat'!$F$5:$F$39,MATCH(A106,Sezoane!$C$6:$C$40,1)),"")</f>
        <v>1700</v>
      </c>
      <c r="G106" s="44" t="n">
        <f aca="false">IF(AND(ISNUMBER(MATCH(A106,Sezoane!$C$6:$C$40,1)),A106&lt;=INDEX(Sezoane!$D$6:$D$40,MATCH(A106,Sezoane!$C$6:$C$40,1))),INDEX('Prețuri de setat'!$G$5:$G$39,MATCH(A106,Sezoane!$C$6:$C$40,1)),"")</f>
        <v>1530</v>
      </c>
      <c r="H106" s="44" t="n">
        <f aca="false">IF(AND(ISNUMBER(MATCH(A106,Sezoane!$C$6:$C$40,1)),A106&lt;=INDEX(Sezoane!$D$6:$D$40,MATCH(A106,Sezoane!$C$6:$C$40,1))),INDEX('Prețuri de setat'!$H$5:$H$39,MATCH(A106,Sezoane!$C$6:$C$40,1)),"")</f>
        <v>1470</v>
      </c>
      <c r="I106" s="44" t="n">
        <f aca="false">IF(AND(ISNUMBER(MATCH(A106,Sezoane!$C$6:$C$40,1)),A106&lt;=INDEX(Sezoane!$D$6:$D$40,MATCH(A106,Sezoane!$C$6:$C$40,1))),INDEX('Prețuri de setat'!$I$5:$I$39,MATCH(A106,Sezoane!$C$6:$C$40,1)),"")</f>
        <v>1302</v>
      </c>
    </row>
    <row r="107" customFormat="false" ht="15" hidden="false" customHeight="false" outlineLevel="0" collapsed="false">
      <c r="A107" s="41" t="n">
        <f aca="false">$B$2+102</f>
        <v>46418</v>
      </c>
      <c r="B107" s="42" t="str">
        <f aca="false">CHOOSE(WEEKDAY(A107,2),"Lu","Ma","Mi","Jo","Vi","Sâ","Du")</f>
        <v>Du</v>
      </c>
      <c r="C107" s="42" t="str">
        <f aca="false">IF(AND(ISNUMBER(MATCH(A107,Sezoane!$C$6:$C$40,1)),A107&lt;=INDEX(Sezoane!$D$6:$D$40,MATCH(A107,Sezoane!$C$6:$C$40,1))),INDEX(Sezoane!$A$6:$A$40,MATCH(A107,Sezoane!$C$6:$C$40,1)),"⚠ fără sezon")</f>
        <v>iarna-2027</v>
      </c>
      <c r="D107" s="43" t="n">
        <f aca="false">IF(AND(ISNUMBER(MATCH(A107,Sezoane!$C$6:$C$40,1)),A107&lt;=INDEX(Sezoane!$D$6:$D$40,MATCH(A107,Sezoane!$C$6:$C$40,1))),INDEX(Sezoane!$F$6:$F$40,MATCH(A107,Sezoane!$C$6:$C$40,1)),"")</f>
        <v>2</v>
      </c>
      <c r="E107" s="44" t="n">
        <f aca="false">IF(AND(ISNUMBER(MATCH(A107,Sezoane!$C$6:$C$40,1)),A107&lt;=INDEX(Sezoane!$D$6:$D$40,MATCH(A107,Sezoane!$C$6:$C$40,1))),INDEX('Prețuri de setat'!$E$5:$E$39,MATCH(A107,Sezoane!$C$6:$C$40,1)),"")</f>
        <v>1350</v>
      </c>
      <c r="F107" s="44" t="n">
        <f aca="false">IF(AND(ISNUMBER(MATCH(A107,Sezoane!$C$6:$C$40,1)),A107&lt;=INDEX(Sezoane!$D$6:$D$40,MATCH(A107,Sezoane!$C$6:$C$40,1))),INDEX('Prețuri de setat'!$F$5:$F$39,MATCH(A107,Sezoane!$C$6:$C$40,1)),"")</f>
        <v>1700</v>
      </c>
      <c r="G107" s="44" t="n">
        <f aca="false">IF(AND(ISNUMBER(MATCH(A107,Sezoane!$C$6:$C$40,1)),A107&lt;=INDEX(Sezoane!$D$6:$D$40,MATCH(A107,Sezoane!$C$6:$C$40,1))),INDEX('Prețuri de setat'!$G$5:$G$39,MATCH(A107,Sezoane!$C$6:$C$40,1)),"")</f>
        <v>1530</v>
      </c>
      <c r="H107" s="44" t="n">
        <f aca="false">IF(AND(ISNUMBER(MATCH(A107,Sezoane!$C$6:$C$40,1)),A107&lt;=INDEX(Sezoane!$D$6:$D$40,MATCH(A107,Sezoane!$C$6:$C$40,1))),INDEX('Prețuri de setat'!$H$5:$H$39,MATCH(A107,Sezoane!$C$6:$C$40,1)),"")</f>
        <v>1470</v>
      </c>
      <c r="I107" s="44" t="n">
        <f aca="false">IF(AND(ISNUMBER(MATCH(A107,Sezoane!$C$6:$C$40,1)),A107&lt;=INDEX(Sezoane!$D$6:$D$40,MATCH(A107,Sezoane!$C$6:$C$40,1))),INDEX('Prețuri de setat'!$I$5:$I$39,MATCH(A107,Sezoane!$C$6:$C$40,1)),"")</f>
        <v>1302</v>
      </c>
    </row>
    <row r="108" customFormat="false" ht="15" hidden="false" customHeight="false" outlineLevel="0" collapsed="false">
      <c r="A108" s="41" t="n">
        <f aca="false">$B$2+103</f>
        <v>46419</v>
      </c>
      <c r="B108" s="42" t="str">
        <f aca="false">CHOOSE(WEEKDAY(A108,2),"Lu","Ma","Mi","Jo","Vi","Sâ","Du")</f>
        <v>Lu</v>
      </c>
      <c r="C108" s="42" t="str">
        <f aca="false">IF(AND(ISNUMBER(MATCH(A108,Sezoane!$C$6:$C$40,1)),A108&lt;=INDEX(Sezoane!$D$6:$D$40,MATCH(A108,Sezoane!$C$6:$C$40,1))),INDEX(Sezoane!$A$6:$A$40,MATCH(A108,Sezoane!$C$6:$C$40,1)),"⚠ fără sezon")</f>
        <v>iarna-2027</v>
      </c>
      <c r="D108" s="43" t="n">
        <f aca="false">IF(AND(ISNUMBER(MATCH(A108,Sezoane!$C$6:$C$40,1)),A108&lt;=INDEX(Sezoane!$D$6:$D$40,MATCH(A108,Sezoane!$C$6:$C$40,1))),INDEX(Sezoane!$F$6:$F$40,MATCH(A108,Sezoane!$C$6:$C$40,1)),"")</f>
        <v>2</v>
      </c>
      <c r="E108" s="44" t="n">
        <f aca="false">IF(AND(ISNUMBER(MATCH(A108,Sezoane!$C$6:$C$40,1)),A108&lt;=INDEX(Sezoane!$D$6:$D$40,MATCH(A108,Sezoane!$C$6:$C$40,1))),INDEX('Prețuri de setat'!$E$5:$E$39,MATCH(A108,Sezoane!$C$6:$C$40,1)),"")</f>
        <v>1350</v>
      </c>
      <c r="F108" s="44" t="n">
        <f aca="false">IF(AND(ISNUMBER(MATCH(A108,Sezoane!$C$6:$C$40,1)),A108&lt;=INDEX(Sezoane!$D$6:$D$40,MATCH(A108,Sezoane!$C$6:$C$40,1))),INDEX('Prețuri de setat'!$F$5:$F$39,MATCH(A108,Sezoane!$C$6:$C$40,1)),"")</f>
        <v>1700</v>
      </c>
      <c r="G108" s="44" t="n">
        <f aca="false">IF(AND(ISNUMBER(MATCH(A108,Sezoane!$C$6:$C$40,1)),A108&lt;=INDEX(Sezoane!$D$6:$D$40,MATCH(A108,Sezoane!$C$6:$C$40,1))),INDEX('Prețuri de setat'!$G$5:$G$39,MATCH(A108,Sezoane!$C$6:$C$40,1)),"")</f>
        <v>1530</v>
      </c>
      <c r="H108" s="44" t="n">
        <f aca="false">IF(AND(ISNUMBER(MATCH(A108,Sezoane!$C$6:$C$40,1)),A108&lt;=INDEX(Sezoane!$D$6:$D$40,MATCH(A108,Sezoane!$C$6:$C$40,1))),INDEX('Prețuri de setat'!$H$5:$H$39,MATCH(A108,Sezoane!$C$6:$C$40,1)),"")</f>
        <v>1470</v>
      </c>
      <c r="I108" s="44" t="n">
        <f aca="false">IF(AND(ISNUMBER(MATCH(A108,Sezoane!$C$6:$C$40,1)),A108&lt;=INDEX(Sezoane!$D$6:$D$40,MATCH(A108,Sezoane!$C$6:$C$40,1))),INDEX('Prețuri de setat'!$I$5:$I$39,MATCH(A108,Sezoane!$C$6:$C$40,1)),"")</f>
        <v>1302</v>
      </c>
    </row>
    <row r="109" customFormat="false" ht="15" hidden="false" customHeight="false" outlineLevel="0" collapsed="false">
      <c r="A109" s="41" t="n">
        <f aca="false">$B$2+104</f>
        <v>46420</v>
      </c>
      <c r="B109" s="42" t="str">
        <f aca="false">CHOOSE(WEEKDAY(A109,2),"Lu","Ma","Mi","Jo","Vi","Sâ","Du")</f>
        <v>Ma</v>
      </c>
      <c r="C109" s="42" t="str">
        <f aca="false">IF(AND(ISNUMBER(MATCH(A109,Sezoane!$C$6:$C$40,1)),A109&lt;=INDEX(Sezoane!$D$6:$D$40,MATCH(A109,Sezoane!$C$6:$C$40,1))),INDEX(Sezoane!$A$6:$A$40,MATCH(A109,Sezoane!$C$6:$C$40,1)),"⚠ fără sezon")</f>
        <v>iarna-2027</v>
      </c>
      <c r="D109" s="43" t="n">
        <f aca="false">IF(AND(ISNUMBER(MATCH(A109,Sezoane!$C$6:$C$40,1)),A109&lt;=INDEX(Sezoane!$D$6:$D$40,MATCH(A109,Sezoane!$C$6:$C$40,1))),INDEX(Sezoane!$F$6:$F$40,MATCH(A109,Sezoane!$C$6:$C$40,1)),"")</f>
        <v>2</v>
      </c>
      <c r="E109" s="44" t="n">
        <f aca="false">IF(AND(ISNUMBER(MATCH(A109,Sezoane!$C$6:$C$40,1)),A109&lt;=INDEX(Sezoane!$D$6:$D$40,MATCH(A109,Sezoane!$C$6:$C$40,1))),INDEX('Prețuri de setat'!$E$5:$E$39,MATCH(A109,Sezoane!$C$6:$C$40,1)),"")</f>
        <v>1350</v>
      </c>
      <c r="F109" s="44" t="n">
        <f aca="false">IF(AND(ISNUMBER(MATCH(A109,Sezoane!$C$6:$C$40,1)),A109&lt;=INDEX(Sezoane!$D$6:$D$40,MATCH(A109,Sezoane!$C$6:$C$40,1))),INDEX('Prețuri de setat'!$F$5:$F$39,MATCH(A109,Sezoane!$C$6:$C$40,1)),"")</f>
        <v>1700</v>
      </c>
      <c r="G109" s="44" t="n">
        <f aca="false">IF(AND(ISNUMBER(MATCH(A109,Sezoane!$C$6:$C$40,1)),A109&lt;=INDEX(Sezoane!$D$6:$D$40,MATCH(A109,Sezoane!$C$6:$C$40,1))),INDEX('Prețuri de setat'!$G$5:$G$39,MATCH(A109,Sezoane!$C$6:$C$40,1)),"")</f>
        <v>1530</v>
      </c>
      <c r="H109" s="44" t="n">
        <f aca="false">IF(AND(ISNUMBER(MATCH(A109,Sezoane!$C$6:$C$40,1)),A109&lt;=INDEX(Sezoane!$D$6:$D$40,MATCH(A109,Sezoane!$C$6:$C$40,1))),INDEX('Prețuri de setat'!$H$5:$H$39,MATCH(A109,Sezoane!$C$6:$C$40,1)),"")</f>
        <v>1470</v>
      </c>
      <c r="I109" s="44" t="n">
        <f aca="false">IF(AND(ISNUMBER(MATCH(A109,Sezoane!$C$6:$C$40,1)),A109&lt;=INDEX(Sezoane!$D$6:$D$40,MATCH(A109,Sezoane!$C$6:$C$40,1))),INDEX('Prețuri de setat'!$I$5:$I$39,MATCH(A109,Sezoane!$C$6:$C$40,1)),"")</f>
        <v>1302</v>
      </c>
    </row>
    <row r="110" customFormat="false" ht="15" hidden="false" customHeight="false" outlineLevel="0" collapsed="false">
      <c r="A110" s="41" t="n">
        <f aca="false">$B$2+105</f>
        <v>46421</v>
      </c>
      <c r="B110" s="42" t="str">
        <f aca="false">CHOOSE(WEEKDAY(A110,2),"Lu","Ma","Mi","Jo","Vi","Sâ","Du")</f>
        <v>Mi</v>
      </c>
      <c r="C110" s="42" t="str">
        <f aca="false">IF(AND(ISNUMBER(MATCH(A110,Sezoane!$C$6:$C$40,1)),A110&lt;=INDEX(Sezoane!$D$6:$D$40,MATCH(A110,Sezoane!$C$6:$C$40,1))),INDEX(Sezoane!$A$6:$A$40,MATCH(A110,Sezoane!$C$6:$C$40,1)),"⚠ fără sezon")</f>
        <v>iarna-2027</v>
      </c>
      <c r="D110" s="43" t="n">
        <f aca="false">IF(AND(ISNUMBER(MATCH(A110,Sezoane!$C$6:$C$40,1)),A110&lt;=INDEX(Sezoane!$D$6:$D$40,MATCH(A110,Sezoane!$C$6:$C$40,1))),INDEX(Sezoane!$F$6:$F$40,MATCH(A110,Sezoane!$C$6:$C$40,1)),"")</f>
        <v>2</v>
      </c>
      <c r="E110" s="44" t="n">
        <f aca="false">IF(AND(ISNUMBER(MATCH(A110,Sezoane!$C$6:$C$40,1)),A110&lt;=INDEX(Sezoane!$D$6:$D$40,MATCH(A110,Sezoane!$C$6:$C$40,1))),INDEX('Prețuri de setat'!$E$5:$E$39,MATCH(A110,Sezoane!$C$6:$C$40,1)),"")</f>
        <v>1350</v>
      </c>
      <c r="F110" s="44" t="n">
        <f aca="false">IF(AND(ISNUMBER(MATCH(A110,Sezoane!$C$6:$C$40,1)),A110&lt;=INDEX(Sezoane!$D$6:$D$40,MATCH(A110,Sezoane!$C$6:$C$40,1))),INDEX('Prețuri de setat'!$F$5:$F$39,MATCH(A110,Sezoane!$C$6:$C$40,1)),"")</f>
        <v>1700</v>
      </c>
      <c r="G110" s="44" t="n">
        <f aca="false">IF(AND(ISNUMBER(MATCH(A110,Sezoane!$C$6:$C$40,1)),A110&lt;=INDEX(Sezoane!$D$6:$D$40,MATCH(A110,Sezoane!$C$6:$C$40,1))),INDEX('Prețuri de setat'!$G$5:$G$39,MATCH(A110,Sezoane!$C$6:$C$40,1)),"")</f>
        <v>1530</v>
      </c>
      <c r="H110" s="44" t="n">
        <f aca="false">IF(AND(ISNUMBER(MATCH(A110,Sezoane!$C$6:$C$40,1)),A110&lt;=INDEX(Sezoane!$D$6:$D$40,MATCH(A110,Sezoane!$C$6:$C$40,1))),INDEX('Prețuri de setat'!$H$5:$H$39,MATCH(A110,Sezoane!$C$6:$C$40,1)),"")</f>
        <v>1470</v>
      </c>
      <c r="I110" s="44" t="n">
        <f aca="false">IF(AND(ISNUMBER(MATCH(A110,Sezoane!$C$6:$C$40,1)),A110&lt;=INDEX(Sezoane!$D$6:$D$40,MATCH(A110,Sezoane!$C$6:$C$40,1))),INDEX('Prețuri de setat'!$I$5:$I$39,MATCH(A110,Sezoane!$C$6:$C$40,1)),"")</f>
        <v>1302</v>
      </c>
    </row>
    <row r="111" customFormat="false" ht="15" hidden="false" customHeight="false" outlineLevel="0" collapsed="false">
      <c r="A111" s="41" t="n">
        <f aca="false">$B$2+106</f>
        <v>46422</v>
      </c>
      <c r="B111" s="42" t="str">
        <f aca="false">CHOOSE(WEEKDAY(A111,2),"Lu","Ma","Mi","Jo","Vi","Sâ","Du")</f>
        <v>Jo</v>
      </c>
      <c r="C111" s="42" t="str">
        <f aca="false">IF(AND(ISNUMBER(MATCH(A111,Sezoane!$C$6:$C$40,1)),A111&lt;=INDEX(Sezoane!$D$6:$D$40,MATCH(A111,Sezoane!$C$6:$C$40,1))),INDEX(Sezoane!$A$6:$A$40,MATCH(A111,Sezoane!$C$6:$C$40,1)),"⚠ fără sezon")</f>
        <v>iarna-2027</v>
      </c>
      <c r="D111" s="43" t="n">
        <f aca="false">IF(AND(ISNUMBER(MATCH(A111,Sezoane!$C$6:$C$40,1)),A111&lt;=INDEX(Sezoane!$D$6:$D$40,MATCH(A111,Sezoane!$C$6:$C$40,1))),INDEX(Sezoane!$F$6:$F$40,MATCH(A111,Sezoane!$C$6:$C$40,1)),"")</f>
        <v>2</v>
      </c>
      <c r="E111" s="44" t="n">
        <f aca="false">IF(AND(ISNUMBER(MATCH(A111,Sezoane!$C$6:$C$40,1)),A111&lt;=INDEX(Sezoane!$D$6:$D$40,MATCH(A111,Sezoane!$C$6:$C$40,1))),INDEX('Prețuri de setat'!$E$5:$E$39,MATCH(A111,Sezoane!$C$6:$C$40,1)),"")</f>
        <v>1350</v>
      </c>
      <c r="F111" s="44" t="n">
        <f aca="false">IF(AND(ISNUMBER(MATCH(A111,Sezoane!$C$6:$C$40,1)),A111&lt;=INDEX(Sezoane!$D$6:$D$40,MATCH(A111,Sezoane!$C$6:$C$40,1))),INDEX('Prețuri de setat'!$F$5:$F$39,MATCH(A111,Sezoane!$C$6:$C$40,1)),"")</f>
        <v>1700</v>
      </c>
      <c r="G111" s="44" t="n">
        <f aca="false">IF(AND(ISNUMBER(MATCH(A111,Sezoane!$C$6:$C$40,1)),A111&lt;=INDEX(Sezoane!$D$6:$D$40,MATCH(A111,Sezoane!$C$6:$C$40,1))),INDEX('Prețuri de setat'!$G$5:$G$39,MATCH(A111,Sezoane!$C$6:$C$40,1)),"")</f>
        <v>1530</v>
      </c>
      <c r="H111" s="44" t="n">
        <f aca="false">IF(AND(ISNUMBER(MATCH(A111,Sezoane!$C$6:$C$40,1)),A111&lt;=INDEX(Sezoane!$D$6:$D$40,MATCH(A111,Sezoane!$C$6:$C$40,1))),INDEX('Prețuri de setat'!$H$5:$H$39,MATCH(A111,Sezoane!$C$6:$C$40,1)),"")</f>
        <v>1470</v>
      </c>
      <c r="I111" s="44" t="n">
        <f aca="false">IF(AND(ISNUMBER(MATCH(A111,Sezoane!$C$6:$C$40,1)),A111&lt;=INDEX(Sezoane!$D$6:$D$40,MATCH(A111,Sezoane!$C$6:$C$40,1))),INDEX('Prețuri de setat'!$I$5:$I$39,MATCH(A111,Sezoane!$C$6:$C$40,1)),"")</f>
        <v>1302</v>
      </c>
    </row>
    <row r="112" customFormat="false" ht="15" hidden="false" customHeight="false" outlineLevel="0" collapsed="false">
      <c r="A112" s="41" t="n">
        <f aca="false">$B$2+107</f>
        <v>46423</v>
      </c>
      <c r="B112" s="42" t="str">
        <f aca="false">CHOOSE(WEEKDAY(A112,2),"Lu","Ma","Mi","Jo","Vi","Sâ","Du")</f>
        <v>Vi</v>
      </c>
      <c r="C112" s="42" t="str">
        <f aca="false">IF(AND(ISNUMBER(MATCH(A112,Sezoane!$C$6:$C$40,1)),A112&lt;=INDEX(Sezoane!$D$6:$D$40,MATCH(A112,Sezoane!$C$6:$C$40,1))),INDEX(Sezoane!$A$6:$A$40,MATCH(A112,Sezoane!$C$6:$C$40,1)),"⚠ fără sezon")</f>
        <v>iarna-2027</v>
      </c>
      <c r="D112" s="43" t="n">
        <f aca="false">IF(AND(ISNUMBER(MATCH(A112,Sezoane!$C$6:$C$40,1)),A112&lt;=INDEX(Sezoane!$D$6:$D$40,MATCH(A112,Sezoane!$C$6:$C$40,1))),INDEX(Sezoane!$F$6:$F$40,MATCH(A112,Sezoane!$C$6:$C$40,1)),"")</f>
        <v>2</v>
      </c>
      <c r="E112" s="44" t="n">
        <f aca="false">IF(AND(ISNUMBER(MATCH(A112,Sezoane!$C$6:$C$40,1)),A112&lt;=INDEX(Sezoane!$D$6:$D$40,MATCH(A112,Sezoane!$C$6:$C$40,1))),INDEX('Prețuri de setat'!$E$5:$E$39,MATCH(A112,Sezoane!$C$6:$C$40,1)),"")</f>
        <v>1350</v>
      </c>
      <c r="F112" s="44" t="n">
        <f aca="false">IF(AND(ISNUMBER(MATCH(A112,Sezoane!$C$6:$C$40,1)),A112&lt;=INDEX(Sezoane!$D$6:$D$40,MATCH(A112,Sezoane!$C$6:$C$40,1))),INDEX('Prețuri de setat'!$F$5:$F$39,MATCH(A112,Sezoane!$C$6:$C$40,1)),"")</f>
        <v>1700</v>
      </c>
      <c r="G112" s="44" t="n">
        <f aca="false">IF(AND(ISNUMBER(MATCH(A112,Sezoane!$C$6:$C$40,1)),A112&lt;=INDEX(Sezoane!$D$6:$D$40,MATCH(A112,Sezoane!$C$6:$C$40,1))),INDEX('Prețuri de setat'!$G$5:$G$39,MATCH(A112,Sezoane!$C$6:$C$40,1)),"")</f>
        <v>1530</v>
      </c>
      <c r="H112" s="44" t="n">
        <f aca="false">IF(AND(ISNUMBER(MATCH(A112,Sezoane!$C$6:$C$40,1)),A112&lt;=INDEX(Sezoane!$D$6:$D$40,MATCH(A112,Sezoane!$C$6:$C$40,1))),INDEX('Prețuri de setat'!$H$5:$H$39,MATCH(A112,Sezoane!$C$6:$C$40,1)),"")</f>
        <v>1470</v>
      </c>
      <c r="I112" s="44" t="n">
        <f aca="false">IF(AND(ISNUMBER(MATCH(A112,Sezoane!$C$6:$C$40,1)),A112&lt;=INDEX(Sezoane!$D$6:$D$40,MATCH(A112,Sezoane!$C$6:$C$40,1))),INDEX('Prețuri de setat'!$I$5:$I$39,MATCH(A112,Sezoane!$C$6:$C$40,1)),"")</f>
        <v>1302</v>
      </c>
    </row>
    <row r="113" customFormat="false" ht="15" hidden="false" customHeight="false" outlineLevel="0" collapsed="false">
      <c r="A113" s="41" t="n">
        <f aca="false">$B$2+108</f>
        <v>46424</v>
      </c>
      <c r="B113" s="42" t="str">
        <f aca="false">CHOOSE(WEEKDAY(A113,2),"Lu","Ma","Mi","Jo","Vi","Sâ","Du")</f>
        <v>Sâ</v>
      </c>
      <c r="C113" s="42" t="str">
        <f aca="false">IF(AND(ISNUMBER(MATCH(A113,Sezoane!$C$6:$C$40,1)),A113&lt;=INDEX(Sezoane!$D$6:$D$40,MATCH(A113,Sezoane!$C$6:$C$40,1))),INDEX(Sezoane!$A$6:$A$40,MATCH(A113,Sezoane!$C$6:$C$40,1)),"⚠ fără sezon")</f>
        <v>iarna-2027</v>
      </c>
      <c r="D113" s="43" t="n">
        <f aca="false">IF(AND(ISNUMBER(MATCH(A113,Sezoane!$C$6:$C$40,1)),A113&lt;=INDEX(Sezoane!$D$6:$D$40,MATCH(A113,Sezoane!$C$6:$C$40,1))),INDEX(Sezoane!$F$6:$F$40,MATCH(A113,Sezoane!$C$6:$C$40,1)),"")</f>
        <v>2</v>
      </c>
      <c r="E113" s="44" t="n">
        <f aca="false">IF(AND(ISNUMBER(MATCH(A113,Sezoane!$C$6:$C$40,1)),A113&lt;=INDEX(Sezoane!$D$6:$D$40,MATCH(A113,Sezoane!$C$6:$C$40,1))),INDEX('Prețuri de setat'!$E$5:$E$39,MATCH(A113,Sezoane!$C$6:$C$40,1)),"")</f>
        <v>1350</v>
      </c>
      <c r="F113" s="44" t="n">
        <f aca="false">IF(AND(ISNUMBER(MATCH(A113,Sezoane!$C$6:$C$40,1)),A113&lt;=INDEX(Sezoane!$D$6:$D$40,MATCH(A113,Sezoane!$C$6:$C$40,1))),INDEX('Prețuri de setat'!$F$5:$F$39,MATCH(A113,Sezoane!$C$6:$C$40,1)),"")</f>
        <v>1700</v>
      </c>
      <c r="G113" s="44" t="n">
        <f aca="false">IF(AND(ISNUMBER(MATCH(A113,Sezoane!$C$6:$C$40,1)),A113&lt;=INDEX(Sezoane!$D$6:$D$40,MATCH(A113,Sezoane!$C$6:$C$40,1))),INDEX('Prețuri de setat'!$G$5:$G$39,MATCH(A113,Sezoane!$C$6:$C$40,1)),"")</f>
        <v>1530</v>
      </c>
      <c r="H113" s="44" t="n">
        <f aca="false">IF(AND(ISNUMBER(MATCH(A113,Sezoane!$C$6:$C$40,1)),A113&lt;=INDEX(Sezoane!$D$6:$D$40,MATCH(A113,Sezoane!$C$6:$C$40,1))),INDEX('Prețuri de setat'!$H$5:$H$39,MATCH(A113,Sezoane!$C$6:$C$40,1)),"")</f>
        <v>1470</v>
      </c>
      <c r="I113" s="44" t="n">
        <f aca="false">IF(AND(ISNUMBER(MATCH(A113,Sezoane!$C$6:$C$40,1)),A113&lt;=INDEX(Sezoane!$D$6:$D$40,MATCH(A113,Sezoane!$C$6:$C$40,1))),INDEX('Prețuri de setat'!$I$5:$I$39,MATCH(A113,Sezoane!$C$6:$C$40,1)),"")</f>
        <v>1302</v>
      </c>
    </row>
    <row r="114" customFormat="false" ht="15" hidden="false" customHeight="false" outlineLevel="0" collapsed="false">
      <c r="A114" s="41" t="n">
        <f aca="false">$B$2+109</f>
        <v>46425</v>
      </c>
      <c r="B114" s="42" t="str">
        <f aca="false">CHOOSE(WEEKDAY(A114,2),"Lu","Ma","Mi","Jo","Vi","Sâ","Du")</f>
        <v>Du</v>
      </c>
      <c r="C114" s="42" t="str">
        <f aca="false">IF(AND(ISNUMBER(MATCH(A114,Sezoane!$C$6:$C$40,1)),A114&lt;=INDEX(Sezoane!$D$6:$D$40,MATCH(A114,Sezoane!$C$6:$C$40,1))),INDEX(Sezoane!$A$6:$A$40,MATCH(A114,Sezoane!$C$6:$C$40,1)),"⚠ fără sezon")</f>
        <v>iarna-2027</v>
      </c>
      <c r="D114" s="43" t="n">
        <f aca="false">IF(AND(ISNUMBER(MATCH(A114,Sezoane!$C$6:$C$40,1)),A114&lt;=INDEX(Sezoane!$D$6:$D$40,MATCH(A114,Sezoane!$C$6:$C$40,1))),INDEX(Sezoane!$F$6:$F$40,MATCH(A114,Sezoane!$C$6:$C$40,1)),"")</f>
        <v>2</v>
      </c>
      <c r="E114" s="44" t="n">
        <f aca="false">IF(AND(ISNUMBER(MATCH(A114,Sezoane!$C$6:$C$40,1)),A114&lt;=INDEX(Sezoane!$D$6:$D$40,MATCH(A114,Sezoane!$C$6:$C$40,1))),INDEX('Prețuri de setat'!$E$5:$E$39,MATCH(A114,Sezoane!$C$6:$C$40,1)),"")</f>
        <v>1350</v>
      </c>
      <c r="F114" s="44" t="n">
        <f aca="false">IF(AND(ISNUMBER(MATCH(A114,Sezoane!$C$6:$C$40,1)),A114&lt;=INDEX(Sezoane!$D$6:$D$40,MATCH(A114,Sezoane!$C$6:$C$40,1))),INDEX('Prețuri de setat'!$F$5:$F$39,MATCH(A114,Sezoane!$C$6:$C$40,1)),"")</f>
        <v>1700</v>
      </c>
      <c r="G114" s="44" t="n">
        <f aca="false">IF(AND(ISNUMBER(MATCH(A114,Sezoane!$C$6:$C$40,1)),A114&lt;=INDEX(Sezoane!$D$6:$D$40,MATCH(A114,Sezoane!$C$6:$C$40,1))),INDEX('Prețuri de setat'!$G$5:$G$39,MATCH(A114,Sezoane!$C$6:$C$40,1)),"")</f>
        <v>1530</v>
      </c>
      <c r="H114" s="44" t="n">
        <f aca="false">IF(AND(ISNUMBER(MATCH(A114,Sezoane!$C$6:$C$40,1)),A114&lt;=INDEX(Sezoane!$D$6:$D$40,MATCH(A114,Sezoane!$C$6:$C$40,1))),INDEX('Prețuri de setat'!$H$5:$H$39,MATCH(A114,Sezoane!$C$6:$C$40,1)),"")</f>
        <v>1470</v>
      </c>
      <c r="I114" s="44" t="n">
        <f aca="false">IF(AND(ISNUMBER(MATCH(A114,Sezoane!$C$6:$C$40,1)),A114&lt;=INDEX(Sezoane!$D$6:$D$40,MATCH(A114,Sezoane!$C$6:$C$40,1))),INDEX('Prețuri de setat'!$I$5:$I$39,MATCH(A114,Sezoane!$C$6:$C$40,1)),"")</f>
        <v>1302</v>
      </c>
    </row>
    <row r="115" customFormat="false" ht="15" hidden="false" customHeight="false" outlineLevel="0" collapsed="false">
      <c r="A115" s="41" t="n">
        <f aca="false">$B$2+110</f>
        <v>46426</v>
      </c>
      <c r="B115" s="42" t="str">
        <f aca="false">CHOOSE(WEEKDAY(A115,2),"Lu","Ma","Mi","Jo","Vi","Sâ","Du")</f>
        <v>Lu</v>
      </c>
      <c r="C115" s="42" t="str">
        <f aca="false">IF(AND(ISNUMBER(MATCH(A115,Sezoane!$C$6:$C$40,1)),A115&lt;=INDEX(Sezoane!$D$6:$D$40,MATCH(A115,Sezoane!$C$6:$C$40,1))),INDEX(Sezoane!$A$6:$A$40,MATCH(A115,Sezoane!$C$6:$C$40,1)),"⚠ fără sezon")</f>
        <v>iarna-2027</v>
      </c>
      <c r="D115" s="43" t="n">
        <f aca="false">IF(AND(ISNUMBER(MATCH(A115,Sezoane!$C$6:$C$40,1)),A115&lt;=INDEX(Sezoane!$D$6:$D$40,MATCH(A115,Sezoane!$C$6:$C$40,1))),INDEX(Sezoane!$F$6:$F$40,MATCH(A115,Sezoane!$C$6:$C$40,1)),"")</f>
        <v>2</v>
      </c>
      <c r="E115" s="44" t="n">
        <f aca="false">IF(AND(ISNUMBER(MATCH(A115,Sezoane!$C$6:$C$40,1)),A115&lt;=INDEX(Sezoane!$D$6:$D$40,MATCH(A115,Sezoane!$C$6:$C$40,1))),INDEX('Prețuri de setat'!$E$5:$E$39,MATCH(A115,Sezoane!$C$6:$C$40,1)),"")</f>
        <v>1350</v>
      </c>
      <c r="F115" s="44" t="n">
        <f aca="false">IF(AND(ISNUMBER(MATCH(A115,Sezoane!$C$6:$C$40,1)),A115&lt;=INDEX(Sezoane!$D$6:$D$40,MATCH(A115,Sezoane!$C$6:$C$40,1))),INDEX('Prețuri de setat'!$F$5:$F$39,MATCH(A115,Sezoane!$C$6:$C$40,1)),"")</f>
        <v>1700</v>
      </c>
      <c r="G115" s="44" t="n">
        <f aca="false">IF(AND(ISNUMBER(MATCH(A115,Sezoane!$C$6:$C$40,1)),A115&lt;=INDEX(Sezoane!$D$6:$D$40,MATCH(A115,Sezoane!$C$6:$C$40,1))),INDEX('Prețuri de setat'!$G$5:$G$39,MATCH(A115,Sezoane!$C$6:$C$40,1)),"")</f>
        <v>1530</v>
      </c>
      <c r="H115" s="44" t="n">
        <f aca="false">IF(AND(ISNUMBER(MATCH(A115,Sezoane!$C$6:$C$40,1)),A115&lt;=INDEX(Sezoane!$D$6:$D$40,MATCH(A115,Sezoane!$C$6:$C$40,1))),INDEX('Prețuri de setat'!$H$5:$H$39,MATCH(A115,Sezoane!$C$6:$C$40,1)),"")</f>
        <v>1470</v>
      </c>
      <c r="I115" s="44" t="n">
        <f aca="false">IF(AND(ISNUMBER(MATCH(A115,Sezoane!$C$6:$C$40,1)),A115&lt;=INDEX(Sezoane!$D$6:$D$40,MATCH(A115,Sezoane!$C$6:$C$40,1))),INDEX('Prețuri de setat'!$I$5:$I$39,MATCH(A115,Sezoane!$C$6:$C$40,1)),"")</f>
        <v>1302</v>
      </c>
    </row>
    <row r="116" customFormat="false" ht="15" hidden="false" customHeight="false" outlineLevel="0" collapsed="false">
      <c r="A116" s="41" t="n">
        <f aca="false">$B$2+111</f>
        <v>46427</v>
      </c>
      <c r="B116" s="42" t="str">
        <f aca="false">CHOOSE(WEEKDAY(A116,2),"Lu","Ma","Mi","Jo","Vi","Sâ","Du")</f>
        <v>Ma</v>
      </c>
      <c r="C116" s="42" t="str">
        <f aca="false">IF(AND(ISNUMBER(MATCH(A116,Sezoane!$C$6:$C$40,1)),A116&lt;=INDEX(Sezoane!$D$6:$D$40,MATCH(A116,Sezoane!$C$6:$C$40,1))),INDEX(Sezoane!$A$6:$A$40,MATCH(A116,Sezoane!$C$6:$C$40,1)),"⚠ fără sezon")</f>
        <v>iarna-2027</v>
      </c>
      <c r="D116" s="43" t="n">
        <f aca="false">IF(AND(ISNUMBER(MATCH(A116,Sezoane!$C$6:$C$40,1)),A116&lt;=INDEX(Sezoane!$D$6:$D$40,MATCH(A116,Sezoane!$C$6:$C$40,1))),INDEX(Sezoane!$F$6:$F$40,MATCH(A116,Sezoane!$C$6:$C$40,1)),"")</f>
        <v>2</v>
      </c>
      <c r="E116" s="44" t="n">
        <f aca="false">IF(AND(ISNUMBER(MATCH(A116,Sezoane!$C$6:$C$40,1)),A116&lt;=INDEX(Sezoane!$D$6:$D$40,MATCH(A116,Sezoane!$C$6:$C$40,1))),INDEX('Prețuri de setat'!$E$5:$E$39,MATCH(A116,Sezoane!$C$6:$C$40,1)),"")</f>
        <v>1350</v>
      </c>
      <c r="F116" s="44" t="n">
        <f aca="false">IF(AND(ISNUMBER(MATCH(A116,Sezoane!$C$6:$C$40,1)),A116&lt;=INDEX(Sezoane!$D$6:$D$40,MATCH(A116,Sezoane!$C$6:$C$40,1))),INDEX('Prețuri de setat'!$F$5:$F$39,MATCH(A116,Sezoane!$C$6:$C$40,1)),"")</f>
        <v>1700</v>
      </c>
      <c r="G116" s="44" t="n">
        <f aca="false">IF(AND(ISNUMBER(MATCH(A116,Sezoane!$C$6:$C$40,1)),A116&lt;=INDEX(Sezoane!$D$6:$D$40,MATCH(A116,Sezoane!$C$6:$C$40,1))),INDEX('Prețuri de setat'!$G$5:$G$39,MATCH(A116,Sezoane!$C$6:$C$40,1)),"")</f>
        <v>1530</v>
      </c>
      <c r="H116" s="44" t="n">
        <f aca="false">IF(AND(ISNUMBER(MATCH(A116,Sezoane!$C$6:$C$40,1)),A116&lt;=INDEX(Sezoane!$D$6:$D$40,MATCH(A116,Sezoane!$C$6:$C$40,1))),INDEX('Prețuri de setat'!$H$5:$H$39,MATCH(A116,Sezoane!$C$6:$C$40,1)),"")</f>
        <v>1470</v>
      </c>
      <c r="I116" s="44" t="n">
        <f aca="false">IF(AND(ISNUMBER(MATCH(A116,Sezoane!$C$6:$C$40,1)),A116&lt;=INDEX(Sezoane!$D$6:$D$40,MATCH(A116,Sezoane!$C$6:$C$40,1))),INDEX('Prețuri de setat'!$I$5:$I$39,MATCH(A116,Sezoane!$C$6:$C$40,1)),"")</f>
        <v>1302</v>
      </c>
    </row>
    <row r="117" customFormat="false" ht="15" hidden="false" customHeight="false" outlineLevel="0" collapsed="false">
      <c r="A117" s="41" t="n">
        <f aca="false">$B$2+112</f>
        <v>46428</v>
      </c>
      <c r="B117" s="42" t="str">
        <f aca="false">CHOOSE(WEEKDAY(A117,2),"Lu","Ma","Mi","Jo","Vi","Sâ","Du")</f>
        <v>Mi</v>
      </c>
      <c r="C117" s="42" t="str">
        <f aca="false">IF(AND(ISNUMBER(MATCH(A117,Sezoane!$C$6:$C$40,1)),A117&lt;=INDEX(Sezoane!$D$6:$D$40,MATCH(A117,Sezoane!$C$6:$C$40,1))),INDEX(Sezoane!$A$6:$A$40,MATCH(A117,Sezoane!$C$6:$C$40,1)),"⚠ fără sezon")</f>
        <v>iarna-2027</v>
      </c>
      <c r="D117" s="43" t="n">
        <f aca="false">IF(AND(ISNUMBER(MATCH(A117,Sezoane!$C$6:$C$40,1)),A117&lt;=INDEX(Sezoane!$D$6:$D$40,MATCH(A117,Sezoane!$C$6:$C$40,1))),INDEX(Sezoane!$F$6:$F$40,MATCH(A117,Sezoane!$C$6:$C$40,1)),"")</f>
        <v>2</v>
      </c>
      <c r="E117" s="44" t="n">
        <f aca="false">IF(AND(ISNUMBER(MATCH(A117,Sezoane!$C$6:$C$40,1)),A117&lt;=INDEX(Sezoane!$D$6:$D$40,MATCH(A117,Sezoane!$C$6:$C$40,1))),INDEX('Prețuri de setat'!$E$5:$E$39,MATCH(A117,Sezoane!$C$6:$C$40,1)),"")</f>
        <v>1350</v>
      </c>
      <c r="F117" s="44" t="n">
        <f aca="false">IF(AND(ISNUMBER(MATCH(A117,Sezoane!$C$6:$C$40,1)),A117&lt;=INDEX(Sezoane!$D$6:$D$40,MATCH(A117,Sezoane!$C$6:$C$40,1))),INDEX('Prețuri de setat'!$F$5:$F$39,MATCH(A117,Sezoane!$C$6:$C$40,1)),"")</f>
        <v>1700</v>
      </c>
      <c r="G117" s="44" t="n">
        <f aca="false">IF(AND(ISNUMBER(MATCH(A117,Sezoane!$C$6:$C$40,1)),A117&lt;=INDEX(Sezoane!$D$6:$D$40,MATCH(A117,Sezoane!$C$6:$C$40,1))),INDEX('Prețuri de setat'!$G$5:$G$39,MATCH(A117,Sezoane!$C$6:$C$40,1)),"")</f>
        <v>1530</v>
      </c>
      <c r="H117" s="44" t="n">
        <f aca="false">IF(AND(ISNUMBER(MATCH(A117,Sezoane!$C$6:$C$40,1)),A117&lt;=INDEX(Sezoane!$D$6:$D$40,MATCH(A117,Sezoane!$C$6:$C$40,1))),INDEX('Prețuri de setat'!$H$5:$H$39,MATCH(A117,Sezoane!$C$6:$C$40,1)),"")</f>
        <v>1470</v>
      </c>
      <c r="I117" s="44" t="n">
        <f aca="false">IF(AND(ISNUMBER(MATCH(A117,Sezoane!$C$6:$C$40,1)),A117&lt;=INDEX(Sezoane!$D$6:$D$40,MATCH(A117,Sezoane!$C$6:$C$40,1))),INDEX('Prețuri de setat'!$I$5:$I$39,MATCH(A117,Sezoane!$C$6:$C$40,1)),"")</f>
        <v>1302</v>
      </c>
    </row>
    <row r="118" customFormat="false" ht="15" hidden="false" customHeight="false" outlineLevel="0" collapsed="false">
      <c r="A118" s="41" t="n">
        <f aca="false">$B$2+113</f>
        <v>46429</v>
      </c>
      <c r="B118" s="42" t="str">
        <f aca="false">CHOOSE(WEEKDAY(A118,2),"Lu","Ma","Mi","Jo","Vi","Sâ","Du")</f>
        <v>Jo</v>
      </c>
      <c r="C118" s="42" t="str">
        <f aca="false">IF(AND(ISNUMBER(MATCH(A118,Sezoane!$C$6:$C$40,1)),A118&lt;=INDEX(Sezoane!$D$6:$D$40,MATCH(A118,Sezoane!$C$6:$C$40,1))),INDEX(Sezoane!$A$6:$A$40,MATCH(A118,Sezoane!$C$6:$C$40,1)),"⚠ fără sezon")</f>
        <v>iarna-2027</v>
      </c>
      <c r="D118" s="43" t="n">
        <f aca="false">IF(AND(ISNUMBER(MATCH(A118,Sezoane!$C$6:$C$40,1)),A118&lt;=INDEX(Sezoane!$D$6:$D$40,MATCH(A118,Sezoane!$C$6:$C$40,1))),INDEX(Sezoane!$F$6:$F$40,MATCH(A118,Sezoane!$C$6:$C$40,1)),"")</f>
        <v>2</v>
      </c>
      <c r="E118" s="44" t="n">
        <f aca="false">IF(AND(ISNUMBER(MATCH(A118,Sezoane!$C$6:$C$40,1)),A118&lt;=INDEX(Sezoane!$D$6:$D$40,MATCH(A118,Sezoane!$C$6:$C$40,1))),INDEX('Prețuri de setat'!$E$5:$E$39,MATCH(A118,Sezoane!$C$6:$C$40,1)),"")</f>
        <v>1350</v>
      </c>
      <c r="F118" s="44" t="n">
        <f aca="false">IF(AND(ISNUMBER(MATCH(A118,Sezoane!$C$6:$C$40,1)),A118&lt;=INDEX(Sezoane!$D$6:$D$40,MATCH(A118,Sezoane!$C$6:$C$40,1))),INDEX('Prețuri de setat'!$F$5:$F$39,MATCH(A118,Sezoane!$C$6:$C$40,1)),"")</f>
        <v>1700</v>
      </c>
      <c r="G118" s="44" t="n">
        <f aca="false">IF(AND(ISNUMBER(MATCH(A118,Sezoane!$C$6:$C$40,1)),A118&lt;=INDEX(Sezoane!$D$6:$D$40,MATCH(A118,Sezoane!$C$6:$C$40,1))),INDEX('Prețuri de setat'!$G$5:$G$39,MATCH(A118,Sezoane!$C$6:$C$40,1)),"")</f>
        <v>1530</v>
      </c>
      <c r="H118" s="44" t="n">
        <f aca="false">IF(AND(ISNUMBER(MATCH(A118,Sezoane!$C$6:$C$40,1)),A118&lt;=INDEX(Sezoane!$D$6:$D$40,MATCH(A118,Sezoane!$C$6:$C$40,1))),INDEX('Prețuri de setat'!$H$5:$H$39,MATCH(A118,Sezoane!$C$6:$C$40,1)),"")</f>
        <v>1470</v>
      </c>
      <c r="I118" s="44" t="n">
        <f aca="false">IF(AND(ISNUMBER(MATCH(A118,Sezoane!$C$6:$C$40,1)),A118&lt;=INDEX(Sezoane!$D$6:$D$40,MATCH(A118,Sezoane!$C$6:$C$40,1))),INDEX('Prețuri de setat'!$I$5:$I$39,MATCH(A118,Sezoane!$C$6:$C$40,1)),"")</f>
        <v>1302</v>
      </c>
    </row>
    <row r="119" customFormat="false" ht="15" hidden="false" customHeight="false" outlineLevel="0" collapsed="false">
      <c r="A119" s="41" t="n">
        <f aca="false">$B$2+114</f>
        <v>46430</v>
      </c>
      <c r="B119" s="42" t="str">
        <f aca="false">CHOOSE(WEEKDAY(A119,2),"Lu","Ma","Mi","Jo","Vi","Sâ","Du")</f>
        <v>Vi</v>
      </c>
      <c r="C119" s="42" t="str">
        <f aca="false">IF(AND(ISNUMBER(MATCH(A119,Sezoane!$C$6:$C$40,1)),A119&lt;=INDEX(Sezoane!$D$6:$D$40,MATCH(A119,Sezoane!$C$6:$C$40,1))),INDEX(Sezoane!$A$6:$A$40,MATCH(A119,Sezoane!$C$6:$C$40,1)),"⚠ fără sezon")</f>
        <v>iarna-2027</v>
      </c>
      <c r="D119" s="43" t="n">
        <f aca="false">IF(AND(ISNUMBER(MATCH(A119,Sezoane!$C$6:$C$40,1)),A119&lt;=INDEX(Sezoane!$D$6:$D$40,MATCH(A119,Sezoane!$C$6:$C$40,1))),INDEX(Sezoane!$F$6:$F$40,MATCH(A119,Sezoane!$C$6:$C$40,1)),"")</f>
        <v>2</v>
      </c>
      <c r="E119" s="44" t="n">
        <f aca="false">IF(AND(ISNUMBER(MATCH(A119,Sezoane!$C$6:$C$40,1)),A119&lt;=INDEX(Sezoane!$D$6:$D$40,MATCH(A119,Sezoane!$C$6:$C$40,1))),INDEX('Prețuri de setat'!$E$5:$E$39,MATCH(A119,Sezoane!$C$6:$C$40,1)),"")</f>
        <v>1350</v>
      </c>
      <c r="F119" s="44" t="n">
        <f aca="false">IF(AND(ISNUMBER(MATCH(A119,Sezoane!$C$6:$C$40,1)),A119&lt;=INDEX(Sezoane!$D$6:$D$40,MATCH(A119,Sezoane!$C$6:$C$40,1))),INDEX('Prețuri de setat'!$F$5:$F$39,MATCH(A119,Sezoane!$C$6:$C$40,1)),"")</f>
        <v>1700</v>
      </c>
      <c r="G119" s="44" t="n">
        <f aca="false">IF(AND(ISNUMBER(MATCH(A119,Sezoane!$C$6:$C$40,1)),A119&lt;=INDEX(Sezoane!$D$6:$D$40,MATCH(A119,Sezoane!$C$6:$C$40,1))),INDEX('Prețuri de setat'!$G$5:$G$39,MATCH(A119,Sezoane!$C$6:$C$40,1)),"")</f>
        <v>1530</v>
      </c>
      <c r="H119" s="44" t="n">
        <f aca="false">IF(AND(ISNUMBER(MATCH(A119,Sezoane!$C$6:$C$40,1)),A119&lt;=INDEX(Sezoane!$D$6:$D$40,MATCH(A119,Sezoane!$C$6:$C$40,1))),INDEX('Prețuri de setat'!$H$5:$H$39,MATCH(A119,Sezoane!$C$6:$C$40,1)),"")</f>
        <v>1470</v>
      </c>
      <c r="I119" s="44" t="n">
        <f aca="false">IF(AND(ISNUMBER(MATCH(A119,Sezoane!$C$6:$C$40,1)),A119&lt;=INDEX(Sezoane!$D$6:$D$40,MATCH(A119,Sezoane!$C$6:$C$40,1))),INDEX('Prețuri de setat'!$I$5:$I$39,MATCH(A119,Sezoane!$C$6:$C$40,1)),"")</f>
        <v>1302</v>
      </c>
    </row>
    <row r="120" customFormat="false" ht="15" hidden="false" customHeight="false" outlineLevel="0" collapsed="false">
      <c r="A120" s="41" t="n">
        <f aca="false">$B$2+115</f>
        <v>46431</v>
      </c>
      <c r="B120" s="42" t="str">
        <f aca="false">CHOOSE(WEEKDAY(A120,2),"Lu","Ma","Mi","Jo","Vi","Sâ","Du")</f>
        <v>Sâ</v>
      </c>
      <c r="C120" s="42" t="str">
        <f aca="false">IF(AND(ISNUMBER(MATCH(A120,Sezoane!$C$6:$C$40,1)),A120&lt;=INDEX(Sezoane!$D$6:$D$40,MATCH(A120,Sezoane!$C$6:$C$40,1))),INDEX(Sezoane!$A$6:$A$40,MATCH(A120,Sezoane!$C$6:$C$40,1)),"⚠ fără sezon")</f>
        <v>iarna-2027</v>
      </c>
      <c r="D120" s="43" t="n">
        <f aca="false">IF(AND(ISNUMBER(MATCH(A120,Sezoane!$C$6:$C$40,1)),A120&lt;=INDEX(Sezoane!$D$6:$D$40,MATCH(A120,Sezoane!$C$6:$C$40,1))),INDEX(Sezoane!$F$6:$F$40,MATCH(A120,Sezoane!$C$6:$C$40,1)),"")</f>
        <v>2</v>
      </c>
      <c r="E120" s="44" t="n">
        <f aca="false">IF(AND(ISNUMBER(MATCH(A120,Sezoane!$C$6:$C$40,1)),A120&lt;=INDEX(Sezoane!$D$6:$D$40,MATCH(A120,Sezoane!$C$6:$C$40,1))),INDEX('Prețuri de setat'!$E$5:$E$39,MATCH(A120,Sezoane!$C$6:$C$40,1)),"")</f>
        <v>1350</v>
      </c>
      <c r="F120" s="44" t="n">
        <f aca="false">IF(AND(ISNUMBER(MATCH(A120,Sezoane!$C$6:$C$40,1)),A120&lt;=INDEX(Sezoane!$D$6:$D$40,MATCH(A120,Sezoane!$C$6:$C$40,1))),INDEX('Prețuri de setat'!$F$5:$F$39,MATCH(A120,Sezoane!$C$6:$C$40,1)),"")</f>
        <v>1700</v>
      </c>
      <c r="G120" s="44" t="n">
        <f aca="false">IF(AND(ISNUMBER(MATCH(A120,Sezoane!$C$6:$C$40,1)),A120&lt;=INDEX(Sezoane!$D$6:$D$40,MATCH(A120,Sezoane!$C$6:$C$40,1))),INDEX('Prețuri de setat'!$G$5:$G$39,MATCH(A120,Sezoane!$C$6:$C$40,1)),"")</f>
        <v>1530</v>
      </c>
      <c r="H120" s="44" t="n">
        <f aca="false">IF(AND(ISNUMBER(MATCH(A120,Sezoane!$C$6:$C$40,1)),A120&lt;=INDEX(Sezoane!$D$6:$D$40,MATCH(A120,Sezoane!$C$6:$C$40,1))),INDEX('Prețuri de setat'!$H$5:$H$39,MATCH(A120,Sezoane!$C$6:$C$40,1)),"")</f>
        <v>1470</v>
      </c>
      <c r="I120" s="44" t="n">
        <f aca="false">IF(AND(ISNUMBER(MATCH(A120,Sezoane!$C$6:$C$40,1)),A120&lt;=INDEX(Sezoane!$D$6:$D$40,MATCH(A120,Sezoane!$C$6:$C$40,1))),INDEX('Prețuri de setat'!$I$5:$I$39,MATCH(A120,Sezoane!$C$6:$C$40,1)),"")</f>
        <v>1302</v>
      </c>
    </row>
    <row r="121" customFormat="false" ht="15" hidden="false" customHeight="false" outlineLevel="0" collapsed="false">
      <c r="A121" s="41" t="n">
        <f aca="false">$B$2+116</f>
        <v>46432</v>
      </c>
      <c r="B121" s="42" t="str">
        <f aca="false">CHOOSE(WEEKDAY(A121,2),"Lu","Ma","Mi","Jo","Vi","Sâ","Du")</f>
        <v>Du</v>
      </c>
      <c r="C121" s="42" t="str">
        <f aca="false">IF(AND(ISNUMBER(MATCH(A121,Sezoane!$C$6:$C$40,1)),A121&lt;=INDEX(Sezoane!$D$6:$D$40,MATCH(A121,Sezoane!$C$6:$C$40,1))),INDEX(Sezoane!$A$6:$A$40,MATCH(A121,Sezoane!$C$6:$C$40,1)),"⚠ fără sezon")</f>
        <v>iarna-2027</v>
      </c>
      <c r="D121" s="43" t="n">
        <f aca="false">IF(AND(ISNUMBER(MATCH(A121,Sezoane!$C$6:$C$40,1)),A121&lt;=INDEX(Sezoane!$D$6:$D$40,MATCH(A121,Sezoane!$C$6:$C$40,1))),INDEX(Sezoane!$F$6:$F$40,MATCH(A121,Sezoane!$C$6:$C$40,1)),"")</f>
        <v>2</v>
      </c>
      <c r="E121" s="44" t="n">
        <f aca="false">IF(AND(ISNUMBER(MATCH(A121,Sezoane!$C$6:$C$40,1)),A121&lt;=INDEX(Sezoane!$D$6:$D$40,MATCH(A121,Sezoane!$C$6:$C$40,1))),INDEX('Prețuri de setat'!$E$5:$E$39,MATCH(A121,Sezoane!$C$6:$C$40,1)),"")</f>
        <v>1350</v>
      </c>
      <c r="F121" s="44" t="n">
        <f aca="false">IF(AND(ISNUMBER(MATCH(A121,Sezoane!$C$6:$C$40,1)),A121&lt;=INDEX(Sezoane!$D$6:$D$40,MATCH(A121,Sezoane!$C$6:$C$40,1))),INDEX('Prețuri de setat'!$F$5:$F$39,MATCH(A121,Sezoane!$C$6:$C$40,1)),"")</f>
        <v>1700</v>
      </c>
      <c r="G121" s="44" t="n">
        <f aca="false">IF(AND(ISNUMBER(MATCH(A121,Sezoane!$C$6:$C$40,1)),A121&lt;=INDEX(Sezoane!$D$6:$D$40,MATCH(A121,Sezoane!$C$6:$C$40,1))),INDEX('Prețuri de setat'!$G$5:$G$39,MATCH(A121,Sezoane!$C$6:$C$40,1)),"")</f>
        <v>1530</v>
      </c>
      <c r="H121" s="44" t="n">
        <f aca="false">IF(AND(ISNUMBER(MATCH(A121,Sezoane!$C$6:$C$40,1)),A121&lt;=INDEX(Sezoane!$D$6:$D$40,MATCH(A121,Sezoane!$C$6:$C$40,1))),INDEX('Prețuri de setat'!$H$5:$H$39,MATCH(A121,Sezoane!$C$6:$C$40,1)),"")</f>
        <v>1470</v>
      </c>
      <c r="I121" s="44" t="n">
        <f aca="false">IF(AND(ISNUMBER(MATCH(A121,Sezoane!$C$6:$C$40,1)),A121&lt;=INDEX(Sezoane!$D$6:$D$40,MATCH(A121,Sezoane!$C$6:$C$40,1))),INDEX('Prețuri de setat'!$I$5:$I$39,MATCH(A121,Sezoane!$C$6:$C$40,1)),"")</f>
        <v>1302</v>
      </c>
    </row>
    <row r="122" customFormat="false" ht="15" hidden="false" customHeight="false" outlineLevel="0" collapsed="false">
      <c r="A122" s="41" t="n">
        <f aca="false">$B$2+117</f>
        <v>46433</v>
      </c>
      <c r="B122" s="42" t="str">
        <f aca="false">CHOOSE(WEEKDAY(A122,2),"Lu","Ma","Mi","Jo","Vi","Sâ","Du")</f>
        <v>Lu</v>
      </c>
      <c r="C122" s="42" t="str">
        <f aca="false">IF(AND(ISNUMBER(MATCH(A122,Sezoane!$C$6:$C$40,1)),A122&lt;=INDEX(Sezoane!$D$6:$D$40,MATCH(A122,Sezoane!$C$6:$C$40,1))),INDEX(Sezoane!$A$6:$A$40,MATCH(A122,Sezoane!$C$6:$C$40,1)),"⚠ fără sezon")</f>
        <v>Vacanta-schi-2027</v>
      </c>
      <c r="D122" s="43" t="n">
        <f aca="false">IF(AND(ISNUMBER(MATCH(A122,Sezoane!$C$6:$C$40,1)),A122&lt;=INDEX(Sezoane!$D$6:$D$40,MATCH(A122,Sezoane!$C$6:$C$40,1))),INDEX(Sezoane!$F$6:$F$40,MATCH(A122,Sezoane!$C$6:$C$40,1)),"")</f>
        <v>2</v>
      </c>
      <c r="E122" s="44" t="n">
        <f aca="false">IF(AND(ISNUMBER(MATCH(A122,Sezoane!$C$6:$C$40,1)),A122&lt;=INDEX(Sezoane!$D$6:$D$40,MATCH(A122,Sezoane!$C$6:$C$40,1))),INDEX('Prețuri de setat'!$E$5:$E$39,MATCH(A122,Sezoane!$C$6:$C$40,1)),"")</f>
        <v>1450</v>
      </c>
      <c r="F122" s="44" t="n">
        <f aca="false">IF(AND(ISNUMBER(MATCH(A122,Sezoane!$C$6:$C$40,1)),A122&lt;=INDEX(Sezoane!$D$6:$D$40,MATCH(A122,Sezoane!$C$6:$C$40,1))),INDEX('Prețuri de setat'!$F$5:$F$39,MATCH(A122,Sezoane!$C$6:$C$40,1)),"")</f>
        <v>1830</v>
      </c>
      <c r="G122" s="44" t="n">
        <f aca="false">IF(AND(ISNUMBER(MATCH(A122,Sezoane!$C$6:$C$40,1)),A122&lt;=INDEX(Sezoane!$D$6:$D$40,MATCH(A122,Sezoane!$C$6:$C$40,1))),INDEX('Prețuri de setat'!$G$5:$G$39,MATCH(A122,Sezoane!$C$6:$C$40,1)),"")</f>
        <v>1640</v>
      </c>
      <c r="H122" s="44" t="n">
        <f aca="false">IF(AND(ISNUMBER(MATCH(A122,Sezoane!$C$6:$C$40,1)),A122&lt;=INDEX(Sezoane!$D$6:$D$40,MATCH(A122,Sezoane!$C$6:$C$40,1))),INDEX('Prețuri de setat'!$H$5:$H$39,MATCH(A122,Sezoane!$C$6:$C$40,1)),"")</f>
        <v>1580</v>
      </c>
      <c r="I122" s="44" t="n">
        <f aca="false">IF(AND(ISNUMBER(MATCH(A122,Sezoane!$C$6:$C$40,1)),A122&lt;=INDEX(Sezoane!$D$6:$D$40,MATCH(A122,Sezoane!$C$6:$C$40,1))),INDEX('Prețuri de setat'!$I$5:$I$39,MATCH(A122,Sezoane!$C$6:$C$40,1)),"")</f>
        <v>1402</v>
      </c>
    </row>
    <row r="123" customFormat="false" ht="15" hidden="false" customHeight="false" outlineLevel="0" collapsed="false">
      <c r="A123" s="41" t="n">
        <f aca="false">$B$2+118</f>
        <v>46434</v>
      </c>
      <c r="B123" s="42" t="str">
        <f aca="false">CHOOSE(WEEKDAY(A123,2),"Lu","Ma","Mi","Jo","Vi","Sâ","Du")</f>
        <v>Ma</v>
      </c>
      <c r="C123" s="42" t="str">
        <f aca="false">IF(AND(ISNUMBER(MATCH(A123,Sezoane!$C$6:$C$40,1)),A123&lt;=INDEX(Sezoane!$D$6:$D$40,MATCH(A123,Sezoane!$C$6:$C$40,1))),INDEX(Sezoane!$A$6:$A$40,MATCH(A123,Sezoane!$C$6:$C$40,1)),"⚠ fără sezon")</f>
        <v>Vacanta-schi-2027</v>
      </c>
      <c r="D123" s="43" t="n">
        <f aca="false">IF(AND(ISNUMBER(MATCH(A123,Sezoane!$C$6:$C$40,1)),A123&lt;=INDEX(Sezoane!$D$6:$D$40,MATCH(A123,Sezoane!$C$6:$C$40,1))),INDEX(Sezoane!$F$6:$F$40,MATCH(A123,Sezoane!$C$6:$C$40,1)),"")</f>
        <v>2</v>
      </c>
      <c r="E123" s="44" t="n">
        <f aca="false">IF(AND(ISNUMBER(MATCH(A123,Sezoane!$C$6:$C$40,1)),A123&lt;=INDEX(Sezoane!$D$6:$D$40,MATCH(A123,Sezoane!$C$6:$C$40,1))),INDEX('Prețuri de setat'!$E$5:$E$39,MATCH(A123,Sezoane!$C$6:$C$40,1)),"")</f>
        <v>1450</v>
      </c>
      <c r="F123" s="44" t="n">
        <f aca="false">IF(AND(ISNUMBER(MATCH(A123,Sezoane!$C$6:$C$40,1)),A123&lt;=INDEX(Sezoane!$D$6:$D$40,MATCH(A123,Sezoane!$C$6:$C$40,1))),INDEX('Prețuri de setat'!$F$5:$F$39,MATCH(A123,Sezoane!$C$6:$C$40,1)),"")</f>
        <v>1830</v>
      </c>
      <c r="G123" s="44" t="n">
        <f aca="false">IF(AND(ISNUMBER(MATCH(A123,Sezoane!$C$6:$C$40,1)),A123&lt;=INDEX(Sezoane!$D$6:$D$40,MATCH(A123,Sezoane!$C$6:$C$40,1))),INDEX('Prețuri de setat'!$G$5:$G$39,MATCH(A123,Sezoane!$C$6:$C$40,1)),"")</f>
        <v>1640</v>
      </c>
      <c r="H123" s="44" t="n">
        <f aca="false">IF(AND(ISNUMBER(MATCH(A123,Sezoane!$C$6:$C$40,1)),A123&lt;=INDEX(Sezoane!$D$6:$D$40,MATCH(A123,Sezoane!$C$6:$C$40,1))),INDEX('Prețuri de setat'!$H$5:$H$39,MATCH(A123,Sezoane!$C$6:$C$40,1)),"")</f>
        <v>1580</v>
      </c>
      <c r="I123" s="44" t="n">
        <f aca="false">IF(AND(ISNUMBER(MATCH(A123,Sezoane!$C$6:$C$40,1)),A123&lt;=INDEX(Sezoane!$D$6:$D$40,MATCH(A123,Sezoane!$C$6:$C$40,1))),INDEX('Prețuri de setat'!$I$5:$I$39,MATCH(A123,Sezoane!$C$6:$C$40,1)),"")</f>
        <v>1402</v>
      </c>
    </row>
    <row r="124" customFormat="false" ht="15" hidden="false" customHeight="false" outlineLevel="0" collapsed="false">
      <c r="A124" s="41" t="n">
        <f aca="false">$B$2+119</f>
        <v>46435</v>
      </c>
      <c r="B124" s="42" t="str">
        <f aca="false">CHOOSE(WEEKDAY(A124,2),"Lu","Ma","Mi","Jo","Vi","Sâ","Du")</f>
        <v>Mi</v>
      </c>
      <c r="C124" s="42" t="str">
        <f aca="false">IF(AND(ISNUMBER(MATCH(A124,Sezoane!$C$6:$C$40,1)),A124&lt;=INDEX(Sezoane!$D$6:$D$40,MATCH(A124,Sezoane!$C$6:$C$40,1))),INDEX(Sezoane!$A$6:$A$40,MATCH(A124,Sezoane!$C$6:$C$40,1)),"⚠ fără sezon")</f>
        <v>Vacanta-schi-2027</v>
      </c>
      <c r="D124" s="43" t="n">
        <f aca="false">IF(AND(ISNUMBER(MATCH(A124,Sezoane!$C$6:$C$40,1)),A124&lt;=INDEX(Sezoane!$D$6:$D$40,MATCH(A124,Sezoane!$C$6:$C$40,1))),INDEX(Sezoane!$F$6:$F$40,MATCH(A124,Sezoane!$C$6:$C$40,1)),"")</f>
        <v>2</v>
      </c>
      <c r="E124" s="44" t="n">
        <f aca="false">IF(AND(ISNUMBER(MATCH(A124,Sezoane!$C$6:$C$40,1)),A124&lt;=INDEX(Sezoane!$D$6:$D$40,MATCH(A124,Sezoane!$C$6:$C$40,1))),INDEX('Prețuri de setat'!$E$5:$E$39,MATCH(A124,Sezoane!$C$6:$C$40,1)),"")</f>
        <v>1450</v>
      </c>
      <c r="F124" s="44" t="n">
        <f aca="false">IF(AND(ISNUMBER(MATCH(A124,Sezoane!$C$6:$C$40,1)),A124&lt;=INDEX(Sezoane!$D$6:$D$40,MATCH(A124,Sezoane!$C$6:$C$40,1))),INDEX('Prețuri de setat'!$F$5:$F$39,MATCH(A124,Sezoane!$C$6:$C$40,1)),"")</f>
        <v>1830</v>
      </c>
      <c r="G124" s="44" t="n">
        <f aca="false">IF(AND(ISNUMBER(MATCH(A124,Sezoane!$C$6:$C$40,1)),A124&lt;=INDEX(Sezoane!$D$6:$D$40,MATCH(A124,Sezoane!$C$6:$C$40,1))),INDEX('Prețuri de setat'!$G$5:$G$39,MATCH(A124,Sezoane!$C$6:$C$40,1)),"")</f>
        <v>1640</v>
      </c>
      <c r="H124" s="44" t="n">
        <f aca="false">IF(AND(ISNUMBER(MATCH(A124,Sezoane!$C$6:$C$40,1)),A124&lt;=INDEX(Sezoane!$D$6:$D$40,MATCH(A124,Sezoane!$C$6:$C$40,1))),INDEX('Prețuri de setat'!$H$5:$H$39,MATCH(A124,Sezoane!$C$6:$C$40,1)),"")</f>
        <v>1580</v>
      </c>
      <c r="I124" s="44" t="n">
        <f aca="false">IF(AND(ISNUMBER(MATCH(A124,Sezoane!$C$6:$C$40,1)),A124&lt;=INDEX(Sezoane!$D$6:$D$40,MATCH(A124,Sezoane!$C$6:$C$40,1))),INDEX('Prețuri de setat'!$I$5:$I$39,MATCH(A124,Sezoane!$C$6:$C$40,1)),"")</f>
        <v>1402</v>
      </c>
    </row>
    <row r="125" customFormat="false" ht="15" hidden="false" customHeight="false" outlineLevel="0" collapsed="false">
      <c r="A125" s="41" t="n">
        <f aca="false">$B$2+120</f>
        <v>46436</v>
      </c>
      <c r="B125" s="42" t="str">
        <f aca="false">CHOOSE(WEEKDAY(A125,2),"Lu","Ma","Mi","Jo","Vi","Sâ","Du")</f>
        <v>Jo</v>
      </c>
      <c r="C125" s="42" t="str">
        <f aca="false">IF(AND(ISNUMBER(MATCH(A125,Sezoane!$C$6:$C$40,1)),A125&lt;=INDEX(Sezoane!$D$6:$D$40,MATCH(A125,Sezoane!$C$6:$C$40,1))),INDEX(Sezoane!$A$6:$A$40,MATCH(A125,Sezoane!$C$6:$C$40,1)),"⚠ fără sezon")</f>
        <v>Vacanta-schi-2027</v>
      </c>
      <c r="D125" s="43" t="n">
        <f aca="false">IF(AND(ISNUMBER(MATCH(A125,Sezoane!$C$6:$C$40,1)),A125&lt;=INDEX(Sezoane!$D$6:$D$40,MATCH(A125,Sezoane!$C$6:$C$40,1))),INDEX(Sezoane!$F$6:$F$40,MATCH(A125,Sezoane!$C$6:$C$40,1)),"")</f>
        <v>2</v>
      </c>
      <c r="E125" s="44" t="n">
        <f aca="false">IF(AND(ISNUMBER(MATCH(A125,Sezoane!$C$6:$C$40,1)),A125&lt;=INDEX(Sezoane!$D$6:$D$40,MATCH(A125,Sezoane!$C$6:$C$40,1))),INDEX('Prețuri de setat'!$E$5:$E$39,MATCH(A125,Sezoane!$C$6:$C$40,1)),"")</f>
        <v>1450</v>
      </c>
      <c r="F125" s="44" t="n">
        <f aca="false">IF(AND(ISNUMBER(MATCH(A125,Sezoane!$C$6:$C$40,1)),A125&lt;=INDEX(Sezoane!$D$6:$D$40,MATCH(A125,Sezoane!$C$6:$C$40,1))),INDEX('Prețuri de setat'!$F$5:$F$39,MATCH(A125,Sezoane!$C$6:$C$40,1)),"")</f>
        <v>1830</v>
      </c>
      <c r="G125" s="44" t="n">
        <f aca="false">IF(AND(ISNUMBER(MATCH(A125,Sezoane!$C$6:$C$40,1)),A125&lt;=INDEX(Sezoane!$D$6:$D$40,MATCH(A125,Sezoane!$C$6:$C$40,1))),INDEX('Prețuri de setat'!$G$5:$G$39,MATCH(A125,Sezoane!$C$6:$C$40,1)),"")</f>
        <v>1640</v>
      </c>
      <c r="H125" s="44" t="n">
        <f aca="false">IF(AND(ISNUMBER(MATCH(A125,Sezoane!$C$6:$C$40,1)),A125&lt;=INDEX(Sezoane!$D$6:$D$40,MATCH(A125,Sezoane!$C$6:$C$40,1))),INDEX('Prețuri de setat'!$H$5:$H$39,MATCH(A125,Sezoane!$C$6:$C$40,1)),"")</f>
        <v>1580</v>
      </c>
      <c r="I125" s="44" t="n">
        <f aca="false">IF(AND(ISNUMBER(MATCH(A125,Sezoane!$C$6:$C$40,1)),A125&lt;=INDEX(Sezoane!$D$6:$D$40,MATCH(A125,Sezoane!$C$6:$C$40,1))),INDEX('Prețuri de setat'!$I$5:$I$39,MATCH(A125,Sezoane!$C$6:$C$40,1)),"")</f>
        <v>1402</v>
      </c>
    </row>
    <row r="126" customFormat="false" ht="15" hidden="false" customHeight="false" outlineLevel="0" collapsed="false">
      <c r="A126" s="41" t="n">
        <f aca="false">$B$2+121</f>
        <v>46437</v>
      </c>
      <c r="B126" s="42" t="str">
        <f aca="false">CHOOSE(WEEKDAY(A126,2),"Lu","Ma","Mi","Jo","Vi","Sâ","Du")</f>
        <v>Vi</v>
      </c>
      <c r="C126" s="42" t="str">
        <f aca="false">IF(AND(ISNUMBER(MATCH(A126,Sezoane!$C$6:$C$40,1)),A126&lt;=INDEX(Sezoane!$D$6:$D$40,MATCH(A126,Sezoane!$C$6:$C$40,1))),INDEX(Sezoane!$A$6:$A$40,MATCH(A126,Sezoane!$C$6:$C$40,1)),"⚠ fără sezon")</f>
        <v>Vacanta-schi-2027</v>
      </c>
      <c r="D126" s="43" t="n">
        <f aca="false">IF(AND(ISNUMBER(MATCH(A126,Sezoane!$C$6:$C$40,1)),A126&lt;=INDEX(Sezoane!$D$6:$D$40,MATCH(A126,Sezoane!$C$6:$C$40,1))),INDEX(Sezoane!$F$6:$F$40,MATCH(A126,Sezoane!$C$6:$C$40,1)),"")</f>
        <v>2</v>
      </c>
      <c r="E126" s="44" t="n">
        <f aca="false">IF(AND(ISNUMBER(MATCH(A126,Sezoane!$C$6:$C$40,1)),A126&lt;=INDEX(Sezoane!$D$6:$D$40,MATCH(A126,Sezoane!$C$6:$C$40,1))),INDEX('Prețuri de setat'!$E$5:$E$39,MATCH(A126,Sezoane!$C$6:$C$40,1)),"")</f>
        <v>1450</v>
      </c>
      <c r="F126" s="44" t="n">
        <f aca="false">IF(AND(ISNUMBER(MATCH(A126,Sezoane!$C$6:$C$40,1)),A126&lt;=INDEX(Sezoane!$D$6:$D$40,MATCH(A126,Sezoane!$C$6:$C$40,1))),INDEX('Prețuri de setat'!$F$5:$F$39,MATCH(A126,Sezoane!$C$6:$C$40,1)),"")</f>
        <v>1830</v>
      </c>
      <c r="G126" s="44" t="n">
        <f aca="false">IF(AND(ISNUMBER(MATCH(A126,Sezoane!$C$6:$C$40,1)),A126&lt;=INDEX(Sezoane!$D$6:$D$40,MATCH(A126,Sezoane!$C$6:$C$40,1))),INDEX('Prețuri de setat'!$G$5:$G$39,MATCH(A126,Sezoane!$C$6:$C$40,1)),"")</f>
        <v>1640</v>
      </c>
      <c r="H126" s="44" t="n">
        <f aca="false">IF(AND(ISNUMBER(MATCH(A126,Sezoane!$C$6:$C$40,1)),A126&lt;=INDEX(Sezoane!$D$6:$D$40,MATCH(A126,Sezoane!$C$6:$C$40,1))),INDEX('Prețuri de setat'!$H$5:$H$39,MATCH(A126,Sezoane!$C$6:$C$40,1)),"")</f>
        <v>1580</v>
      </c>
      <c r="I126" s="44" t="n">
        <f aca="false">IF(AND(ISNUMBER(MATCH(A126,Sezoane!$C$6:$C$40,1)),A126&lt;=INDEX(Sezoane!$D$6:$D$40,MATCH(A126,Sezoane!$C$6:$C$40,1))),INDEX('Prețuri de setat'!$I$5:$I$39,MATCH(A126,Sezoane!$C$6:$C$40,1)),"")</f>
        <v>1402</v>
      </c>
    </row>
    <row r="127" customFormat="false" ht="15" hidden="false" customHeight="false" outlineLevel="0" collapsed="false">
      <c r="A127" s="41" t="n">
        <f aca="false">$B$2+122</f>
        <v>46438</v>
      </c>
      <c r="B127" s="42" t="str">
        <f aca="false">CHOOSE(WEEKDAY(A127,2),"Lu","Ma","Mi","Jo","Vi","Sâ","Du")</f>
        <v>Sâ</v>
      </c>
      <c r="C127" s="42" t="str">
        <f aca="false">IF(AND(ISNUMBER(MATCH(A127,Sezoane!$C$6:$C$40,1)),A127&lt;=INDEX(Sezoane!$D$6:$D$40,MATCH(A127,Sezoane!$C$6:$C$40,1))),INDEX(Sezoane!$A$6:$A$40,MATCH(A127,Sezoane!$C$6:$C$40,1)),"⚠ fără sezon")</f>
        <v>Vacanta-schi-2027</v>
      </c>
      <c r="D127" s="43" t="n">
        <f aca="false">IF(AND(ISNUMBER(MATCH(A127,Sezoane!$C$6:$C$40,1)),A127&lt;=INDEX(Sezoane!$D$6:$D$40,MATCH(A127,Sezoane!$C$6:$C$40,1))),INDEX(Sezoane!$F$6:$F$40,MATCH(A127,Sezoane!$C$6:$C$40,1)),"")</f>
        <v>2</v>
      </c>
      <c r="E127" s="44" t="n">
        <f aca="false">IF(AND(ISNUMBER(MATCH(A127,Sezoane!$C$6:$C$40,1)),A127&lt;=INDEX(Sezoane!$D$6:$D$40,MATCH(A127,Sezoane!$C$6:$C$40,1))),INDEX('Prețuri de setat'!$E$5:$E$39,MATCH(A127,Sezoane!$C$6:$C$40,1)),"")</f>
        <v>1450</v>
      </c>
      <c r="F127" s="44" t="n">
        <f aca="false">IF(AND(ISNUMBER(MATCH(A127,Sezoane!$C$6:$C$40,1)),A127&lt;=INDEX(Sezoane!$D$6:$D$40,MATCH(A127,Sezoane!$C$6:$C$40,1))),INDEX('Prețuri de setat'!$F$5:$F$39,MATCH(A127,Sezoane!$C$6:$C$40,1)),"")</f>
        <v>1830</v>
      </c>
      <c r="G127" s="44" t="n">
        <f aca="false">IF(AND(ISNUMBER(MATCH(A127,Sezoane!$C$6:$C$40,1)),A127&lt;=INDEX(Sezoane!$D$6:$D$40,MATCH(A127,Sezoane!$C$6:$C$40,1))),INDEX('Prețuri de setat'!$G$5:$G$39,MATCH(A127,Sezoane!$C$6:$C$40,1)),"")</f>
        <v>1640</v>
      </c>
      <c r="H127" s="44" t="n">
        <f aca="false">IF(AND(ISNUMBER(MATCH(A127,Sezoane!$C$6:$C$40,1)),A127&lt;=INDEX(Sezoane!$D$6:$D$40,MATCH(A127,Sezoane!$C$6:$C$40,1))),INDEX('Prețuri de setat'!$H$5:$H$39,MATCH(A127,Sezoane!$C$6:$C$40,1)),"")</f>
        <v>1580</v>
      </c>
      <c r="I127" s="44" t="n">
        <f aca="false">IF(AND(ISNUMBER(MATCH(A127,Sezoane!$C$6:$C$40,1)),A127&lt;=INDEX(Sezoane!$D$6:$D$40,MATCH(A127,Sezoane!$C$6:$C$40,1))),INDEX('Prețuri de setat'!$I$5:$I$39,MATCH(A127,Sezoane!$C$6:$C$40,1)),"")</f>
        <v>1402</v>
      </c>
    </row>
    <row r="128" customFormat="false" ht="15" hidden="false" customHeight="false" outlineLevel="0" collapsed="false">
      <c r="A128" s="41" t="n">
        <f aca="false">$B$2+123</f>
        <v>46439</v>
      </c>
      <c r="B128" s="42" t="str">
        <f aca="false">CHOOSE(WEEKDAY(A128,2),"Lu","Ma","Mi","Jo","Vi","Sâ","Du")</f>
        <v>Du</v>
      </c>
      <c r="C128" s="42" t="str">
        <f aca="false">IF(AND(ISNUMBER(MATCH(A128,Sezoane!$C$6:$C$40,1)),A128&lt;=INDEX(Sezoane!$D$6:$D$40,MATCH(A128,Sezoane!$C$6:$C$40,1))),INDEX(Sezoane!$A$6:$A$40,MATCH(A128,Sezoane!$C$6:$C$40,1)),"⚠ fără sezon")</f>
        <v>Vacanta-schi-2027</v>
      </c>
      <c r="D128" s="43" t="n">
        <f aca="false">IF(AND(ISNUMBER(MATCH(A128,Sezoane!$C$6:$C$40,1)),A128&lt;=INDEX(Sezoane!$D$6:$D$40,MATCH(A128,Sezoane!$C$6:$C$40,1))),INDEX(Sezoane!$F$6:$F$40,MATCH(A128,Sezoane!$C$6:$C$40,1)),"")</f>
        <v>2</v>
      </c>
      <c r="E128" s="44" t="n">
        <f aca="false">IF(AND(ISNUMBER(MATCH(A128,Sezoane!$C$6:$C$40,1)),A128&lt;=INDEX(Sezoane!$D$6:$D$40,MATCH(A128,Sezoane!$C$6:$C$40,1))),INDEX('Prețuri de setat'!$E$5:$E$39,MATCH(A128,Sezoane!$C$6:$C$40,1)),"")</f>
        <v>1450</v>
      </c>
      <c r="F128" s="44" t="n">
        <f aca="false">IF(AND(ISNUMBER(MATCH(A128,Sezoane!$C$6:$C$40,1)),A128&lt;=INDEX(Sezoane!$D$6:$D$40,MATCH(A128,Sezoane!$C$6:$C$40,1))),INDEX('Prețuri de setat'!$F$5:$F$39,MATCH(A128,Sezoane!$C$6:$C$40,1)),"")</f>
        <v>1830</v>
      </c>
      <c r="G128" s="44" t="n">
        <f aca="false">IF(AND(ISNUMBER(MATCH(A128,Sezoane!$C$6:$C$40,1)),A128&lt;=INDEX(Sezoane!$D$6:$D$40,MATCH(A128,Sezoane!$C$6:$C$40,1))),INDEX('Prețuri de setat'!$G$5:$G$39,MATCH(A128,Sezoane!$C$6:$C$40,1)),"")</f>
        <v>1640</v>
      </c>
      <c r="H128" s="44" t="n">
        <f aca="false">IF(AND(ISNUMBER(MATCH(A128,Sezoane!$C$6:$C$40,1)),A128&lt;=INDEX(Sezoane!$D$6:$D$40,MATCH(A128,Sezoane!$C$6:$C$40,1))),INDEX('Prețuri de setat'!$H$5:$H$39,MATCH(A128,Sezoane!$C$6:$C$40,1)),"")</f>
        <v>1580</v>
      </c>
      <c r="I128" s="44" t="n">
        <f aca="false">IF(AND(ISNUMBER(MATCH(A128,Sezoane!$C$6:$C$40,1)),A128&lt;=INDEX(Sezoane!$D$6:$D$40,MATCH(A128,Sezoane!$C$6:$C$40,1))),INDEX('Prețuri de setat'!$I$5:$I$39,MATCH(A128,Sezoane!$C$6:$C$40,1)),"")</f>
        <v>1402</v>
      </c>
    </row>
    <row r="129" customFormat="false" ht="15" hidden="false" customHeight="false" outlineLevel="0" collapsed="false">
      <c r="A129" s="41" t="n">
        <f aca="false">$B$2+124</f>
        <v>46440</v>
      </c>
      <c r="B129" s="42" t="str">
        <f aca="false">CHOOSE(WEEKDAY(A129,2),"Lu","Ma","Mi","Jo","Vi","Sâ","Du")</f>
        <v>Lu</v>
      </c>
      <c r="C129" s="42" t="str">
        <f aca="false">IF(AND(ISNUMBER(MATCH(A129,Sezoane!$C$6:$C$40,1)),A129&lt;=INDEX(Sezoane!$D$6:$D$40,MATCH(A129,Sezoane!$C$6:$C$40,1))),INDEX(Sezoane!$A$6:$A$40,MATCH(A129,Sezoane!$C$6:$C$40,1)),"⚠ fără sezon")</f>
        <v>Vacanta-schi-2027</v>
      </c>
      <c r="D129" s="43" t="n">
        <f aca="false">IF(AND(ISNUMBER(MATCH(A129,Sezoane!$C$6:$C$40,1)),A129&lt;=INDEX(Sezoane!$D$6:$D$40,MATCH(A129,Sezoane!$C$6:$C$40,1))),INDEX(Sezoane!$F$6:$F$40,MATCH(A129,Sezoane!$C$6:$C$40,1)),"")</f>
        <v>2</v>
      </c>
      <c r="E129" s="44" t="n">
        <f aca="false">IF(AND(ISNUMBER(MATCH(A129,Sezoane!$C$6:$C$40,1)),A129&lt;=INDEX(Sezoane!$D$6:$D$40,MATCH(A129,Sezoane!$C$6:$C$40,1))),INDEX('Prețuri de setat'!$E$5:$E$39,MATCH(A129,Sezoane!$C$6:$C$40,1)),"")</f>
        <v>1450</v>
      </c>
      <c r="F129" s="44" t="n">
        <f aca="false">IF(AND(ISNUMBER(MATCH(A129,Sezoane!$C$6:$C$40,1)),A129&lt;=INDEX(Sezoane!$D$6:$D$40,MATCH(A129,Sezoane!$C$6:$C$40,1))),INDEX('Prețuri de setat'!$F$5:$F$39,MATCH(A129,Sezoane!$C$6:$C$40,1)),"")</f>
        <v>1830</v>
      </c>
      <c r="G129" s="44" t="n">
        <f aca="false">IF(AND(ISNUMBER(MATCH(A129,Sezoane!$C$6:$C$40,1)),A129&lt;=INDEX(Sezoane!$D$6:$D$40,MATCH(A129,Sezoane!$C$6:$C$40,1))),INDEX('Prețuri de setat'!$G$5:$G$39,MATCH(A129,Sezoane!$C$6:$C$40,1)),"")</f>
        <v>1640</v>
      </c>
      <c r="H129" s="44" t="n">
        <f aca="false">IF(AND(ISNUMBER(MATCH(A129,Sezoane!$C$6:$C$40,1)),A129&lt;=INDEX(Sezoane!$D$6:$D$40,MATCH(A129,Sezoane!$C$6:$C$40,1))),INDEX('Prețuri de setat'!$H$5:$H$39,MATCH(A129,Sezoane!$C$6:$C$40,1)),"")</f>
        <v>1580</v>
      </c>
      <c r="I129" s="44" t="n">
        <f aca="false">IF(AND(ISNUMBER(MATCH(A129,Sezoane!$C$6:$C$40,1)),A129&lt;=INDEX(Sezoane!$D$6:$D$40,MATCH(A129,Sezoane!$C$6:$C$40,1))),INDEX('Prețuri de setat'!$I$5:$I$39,MATCH(A129,Sezoane!$C$6:$C$40,1)),"")</f>
        <v>1402</v>
      </c>
    </row>
    <row r="130" customFormat="false" ht="15" hidden="false" customHeight="false" outlineLevel="0" collapsed="false">
      <c r="A130" s="41" t="n">
        <f aca="false">$B$2+125</f>
        <v>46441</v>
      </c>
      <c r="B130" s="42" t="str">
        <f aca="false">CHOOSE(WEEKDAY(A130,2),"Lu","Ma","Mi","Jo","Vi","Sâ","Du")</f>
        <v>Ma</v>
      </c>
      <c r="C130" s="42" t="str">
        <f aca="false">IF(AND(ISNUMBER(MATCH(A130,Sezoane!$C$6:$C$40,1)),A130&lt;=INDEX(Sezoane!$D$6:$D$40,MATCH(A130,Sezoane!$C$6:$C$40,1))),INDEX(Sezoane!$A$6:$A$40,MATCH(A130,Sezoane!$C$6:$C$40,1)),"⚠ fără sezon")</f>
        <v>Vacanta-schi-2027</v>
      </c>
      <c r="D130" s="43" t="n">
        <f aca="false">IF(AND(ISNUMBER(MATCH(A130,Sezoane!$C$6:$C$40,1)),A130&lt;=INDEX(Sezoane!$D$6:$D$40,MATCH(A130,Sezoane!$C$6:$C$40,1))),INDEX(Sezoane!$F$6:$F$40,MATCH(A130,Sezoane!$C$6:$C$40,1)),"")</f>
        <v>2</v>
      </c>
      <c r="E130" s="44" t="n">
        <f aca="false">IF(AND(ISNUMBER(MATCH(A130,Sezoane!$C$6:$C$40,1)),A130&lt;=INDEX(Sezoane!$D$6:$D$40,MATCH(A130,Sezoane!$C$6:$C$40,1))),INDEX('Prețuri de setat'!$E$5:$E$39,MATCH(A130,Sezoane!$C$6:$C$40,1)),"")</f>
        <v>1450</v>
      </c>
      <c r="F130" s="44" t="n">
        <f aca="false">IF(AND(ISNUMBER(MATCH(A130,Sezoane!$C$6:$C$40,1)),A130&lt;=INDEX(Sezoane!$D$6:$D$40,MATCH(A130,Sezoane!$C$6:$C$40,1))),INDEX('Prețuri de setat'!$F$5:$F$39,MATCH(A130,Sezoane!$C$6:$C$40,1)),"")</f>
        <v>1830</v>
      </c>
      <c r="G130" s="44" t="n">
        <f aca="false">IF(AND(ISNUMBER(MATCH(A130,Sezoane!$C$6:$C$40,1)),A130&lt;=INDEX(Sezoane!$D$6:$D$40,MATCH(A130,Sezoane!$C$6:$C$40,1))),INDEX('Prețuri de setat'!$G$5:$G$39,MATCH(A130,Sezoane!$C$6:$C$40,1)),"")</f>
        <v>1640</v>
      </c>
      <c r="H130" s="44" t="n">
        <f aca="false">IF(AND(ISNUMBER(MATCH(A130,Sezoane!$C$6:$C$40,1)),A130&lt;=INDEX(Sezoane!$D$6:$D$40,MATCH(A130,Sezoane!$C$6:$C$40,1))),INDEX('Prețuri de setat'!$H$5:$H$39,MATCH(A130,Sezoane!$C$6:$C$40,1)),"")</f>
        <v>1580</v>
      </c>
      <c r="I130" s="44" t="n">
        <f aca="false">IF(AND(ISNUMBER(MATCH(A130,Sezoane!$C$6:$C$40,1)),A130&lt;=INDEX(Sezoane!$D$6:$D$40,MATCH(A130,Sezoane!$C$6:$C$40,1))),INDEX('Prețuri de setat'!$I$5:$I$39,MATCH(A130,Sezoane!$C$6:$C$40,1)),"")</f>
        <v>1402</v>
      </c>
    </row>
    <row r="131" customFormat="false" ht="15" hidden="false" customHeight="false" outlineLevel="0" collapsed="false">
      <c r="A131" s="41" t="n">
        <f aca="false">$B$2+126</f>
        <v>46442</v>
      </c>
      <c r="B131" s="42" t="str">
        <f aca="false">CHOOSE(WEEKDAY(A131,2),"Lu","Ma","Mi","Jo","Vi","Sâ","Du")</f>
        <v>Mi</v>
      </c>
      <c r="C131" s="42" t="str">
        <f aca="false">IF(AND(ISNUMBER(MATCH(A131,Sezoane!$C$6:$C$40,1)),A131&lt;=INDEX(Sezoane!$D$6:$D$40,MATCH(A131,Sezoane!$C$6:$C$40,1))),INDEX(Sezoane!$A$6:$A$40,MATCH(A131,Sezoane!$C$6:$C$40,1)),"⚠ fără sezon")</f>
        <v>Vacanta-schi-2027</v>
      </c>
      <c r="D131" s="43" t="n">
        <f aca="false">IF(AND(ISNUMBER(MATCH(A131,Sezoane!$C$6:$C$40,1)),A131&lt;=INDEX(Sezoane!$D$6:$D$40,MATCH(A131,Sezoane!$C$6:$C$40,1))),INDEX(Sezoane!$F$6:$F$40,MATCH(A131,Sezoane!$C$6:$C$40,1)),"")</f>
        <v>2</v>
      </c>
      <c r="E131" s="44" t="n">
        <f aca="false">IF(AND(ISNUMBER(MATCH(A131,Sezoane!$C$6:$C$40,1)),A131&lt;=INDEX(Sezoane!$D$6:$D$40,MATCH(A131,Sezoane!$C$6:$C$40,1))),INDEX('Prețuri de setat'!$E$5:$E$39,MATCH(A131,Sezoane!$C$6:$C$40,1)),"")</f>
        <v>1450</v>
      </c>
      <c r="F131" s="44" t="n">
        <f aca="false">IF(AND(ISNUMBER(MATCH(A131,Sezoane!$C$6:$C$40,1)),A131&lt;=INDEX(Sezoane!$D$6:$D$40,MATCH(A131,Sezoane!$C$6:$C$40,1))),INDEX('Prețuri de setat'!$F$5:$F$39,MATCH(A131,Sezoane!$C$6:$C$40,1)),"")</f>
        <v>1830</v>
      </c>
      <c r="G131" s="44" t="n">
        <f aca="false">IF(AND(ISNUMBER(MATCH(A131,Sezoane!$C$6:$C$40,1)),A131&lt;=INDEX(Sezoane!$D$6:$D$40,MATCH(A131,Sezoane!$C$6:$C$40,1))),INDEX('Prețuri de setat'!$G$5:$G$39,MATCH(A131,Sezoane!$C$6:$C$40,1)),"")</f>
        <v>1640</v>
      </c>
      <c r="H131" s="44" t="n">
        <f aca="false">IF(AND(ISNUMBER(MATCH(A131,Sezoane!$C$6:$C$40,1)),A131&lt;=INDEX(Sezoane!$D$6:$D$40,MATCH(A131,Sezoane!$C$6:$C$40,1))),INDEX('Prețuri de setat'!$H$5:$H$39,MATCH(A131,Sezoane!$C$6:$C$40,1)),"")</f>
        <v>1580</v>
      </c>
      <c r="I131" s="44" t="n">
        <f aca="false">IF(AND(ISNUMBER(MATCH(A131,Sezoane!$C$6:$C$40,1)),A131&lt;=INDEX(Sezoane!$D$6:$D$40,MATCH(A131,Sezoane!$C$6:$C$40,1))),INDEX('Prețuri de setat'!$I$5:$I$39,MATCH(A131,Sezoane!$C$6:$C$40,1)),"")</f>
        <v>1402</v>
      </c>
    </row>
    <row r="132" customFormat="false" ht="15" hidden="false" customHeight="false" outlineLevel="0" collapsed="false">
      <c r="A132" s="41" t="n">
        <f aca="false">$B$2+127</f>
        <v>46443</v>
      </c>
      <c r="B132" s="42" t="str">
        <f aca="false">CHOOSE(WEEKDAY(A132,2),"Lu","Ma","Mi","Jo","Vi","Sâ","Du")</f>
        <v>Jo</v>
      </c>
      <c r="C132" s="42" t="str">
        <f aca="false">IF(AND(ISNUMBER(MATCH(A132,Sezoane!$C$6:$C$40,1)),A132&lt;=INDEX(Sezoane!$D$6:$D$40,MATCH(A132,Sezoane!$C$6:$C$40,1))),INDEX(Sezoane!$A$6:$A$40,MATCH(A132,Sezoane!$C$6:$C$40,1)),"⚠ fără sezon")</f>
        <v>Vacanta-schi-2027</v>
      </c>
      <c r="D132" s="43" t="n">
        <f aca="false">IF(AND(ISNUMBER(MATCH(A132,Sezoane!$C$6:$C$40,1)),A132&lt;=INDEX(Sezoane!$D$6:$D$40,MATCH(A132,Sezoane!$C$6:$C$40,1))),INDEX(Sezoane!$F$6:$F$40,MATCH(A132,Sezoane!$C$6:$C$40,1)),"")</f>
        <v>2</v>
      </c>
      <c r="E132" s="44" t="n">
        <f aca="false">IF(AND(ISNUMBER(MATCH(A132,Sezoane!$C$6:$C$40,1)),A132&lt;=INDEX(Sezoane!$D$6:$D$40,MATCH(A132,Sezoane!$C$6:$C$40,1))),INDEX('Prețuri de setat'!$E$5:$E$39,MATCH(A132,Sezoane!$C$6:$C$40,1)),"")</f>
        <v>1450</v>
      </c>
      <c r="F132" s="44" t="n">
        <f aca="false">IF(AND(ISNUMBER(MATCH(A132,Sezoane!$C$6:$C$40,1)),A132&lt;=INDEX(Sezoane!$D$6:$D$40,MATCH(A132,Sezoane!$C$6:$C$40,1))),INDEX('Prețuri de setat'!$F$5:$F$39,MATCH(A132,Sezoane!$C$6:$C$40,1)),"")</f>
        <v>1830</v>
      </c>
      <c r="G132" s="44" t="n">
        <f aca="false">IF(AND(ISNUMBER(MATCH(A132,Sezoane!$C$6:$C$40,1)),A132&lt;=INDEX(Sezoane!$D$6:$D$40,MATCH(A132,Sezoane!$C$6:$C$40,1))),INDEX('Prețuri de setat'!$G$5:$G$39,MATCH(A132,Sezoane!$C$6:$C$40,1)),"")</f>
        <v>1640</v>
      </c>
      <c r="H132" s="44" t="n">
        <f aca="false">IF(AND(ISNUMBER(MATCH(A132,Sezoane!$C$6:$C$40,1)),A132&lt;=INDEX(Sezoane!$D$6:$D$40,MATCH(A132,Sezoane!$C$6:$C$40,1))),INDEX('Prețuri de setat'!$H$5:$H$39,MATCH(A132,Sezoane!$C$6:$C$40,1)),"")</f>
        <v>1580</v>
      </c>
      <c r="I132" s="44" t="n">
        <f aca="false">IF(AND(ISNUMBER(MATCH(A132,Sezoane!$C$6:$C$40,1)),A132&lt;=INDEX(Sezoane!$D$6:$D$40,MATCH(A132,Sezoane!$C$6:$C$40,1))),INDEX('Prețuri de setat'!$I$5:$I$39,MATCH(A132,Sezoane!$C$6:$C$40,1)),"")</f>
        <v>1402</v>
      </c>
    </row>
    <row r="133" customFormat="false" ht="15" hidden="false" customHeight="false" outlineLevel="0" collapsed="false">
      <c r="A133" s="41" t="n">
        <f aca="false">$B$2+128</f>
        <v>46444</v>
      </c>
      <c r="B133" s="42" t="str">
        <f aca="false">CHOOSE(WEEKDAY(A133,2),"Lu","Ma","Mi","Jo","Vi","Sâ","Du")</f>
        <v>Vi</v>
      </c>
      <c r="C133" s="42" t="str">
        <f aca="false">IF(AND(ISNUMBER(MATCH(A133,Sezoane!$C$6:$C$40,1)),A133&lt;=INDEX(Sezoane!$D$6:$D$40,MATCH(A133,Sezoane!$C$6:$C$40,1))),INDEX(Sezoane!$A$6:$A$40,MATCH(A133,Sezoane!$C$6:$C$40,1)),"⚠ fără sezon")</f>
        <v>Vacanta-schi-2027</v>
      </c>
      <c r="D133" s="43" t="n">
        <f aca="false">IF(AND(ISNUMBER(MATCH(A133,Sezoane!$C$6:$C$40,1)),A133&lt;=INDEX(Sezoane!$D$6:$D$40,MATCH(A133,Sezoane!$C$6:$C$40,1))),INDEX(Sezoane!$F$6:$F$40,MATCH(A133,Sezoane!$C$6:$C$40,1)),"")</f>
        <v>2</v>
      </c>
      <c r="E133" s="44" t="n">
        <f aca="false">IF(AND(ISNUMBER(MATCH(A133,Sezoane!$C$6:$C$40,1)),A133&lt;=INDEX(Sezoane!$D$6:$D$40,MATCH(A133,Sezoane!$C$6:$C$40,1))),INDEX('Prețuri de setat'!$E$5:$E$39,MATCH(A133,Sezoane!$C$6:$C$40,1)),"")</f>
        <v>1450</v>
      </c>
      <c r="F133" s="44" t="n">
        <f aca="false">IF(AND(ISNUMBER(MATCH(A133,Sezoane!$C$6:$C$40,1)),A133&lt;=INDEX(Sezoane!$D$6:$D$40,MATCH(A133,Sezoane!$C$6:$C$40,1))),INDEX('Prețuri de setat'!$F$5:$F$39,MATCH(A133,Sezoane!$C$6:$C$40,1)),"")</f>
        <v>1830</v>
      </c>
      <c r="G133" s="44" t="n">
        <f aca="false">IF(AND(ISNUMBER(MATCH(A133,Sezoane!$C$6:$C$40,1)),A133&lt;=INDEX(Sezoane!$D$6:$D$40,MATCH(A133,Sezoane!$C$6:$C$40,1))),INDEX('Prețuri de setat'!$G$5:$G$39,MATCH(A133,Sezoane!$C$6:$C$40,1)),"")</f>
        <v>1640</v>
      </c>
      <c r="H133" s="44" t="n">
        <f aca="false">IF(AND(ISNUMBER(MATCH(A133,Sezoane!$C$6:$C$40,1)),A133&lt;=INDEX(Sezoane!$D$6:$D$40,MATCH(A133,Sezoane!$C$6:$C$40,1))),INDEX('Prețuri de setat'!$H$5:$H$39,MATCH(A133,Sezoane!$C$6:$C$40,1)),"")</f>
        <v>1580</v>
      </c>
      <c r="I133" s="44" t="n">
        <f aca="false">IF(AND(ISNUMBER(MATCH(A133,Sezoane!$C$6:$C$40,1)),A133&lt;=INDEX(Sezoane!$D$6:$D$40,MATCH(A133,Sezoane!$C$6:$C$40,1))),INDEX('Prețuri de setat'!$I$5:$I$39,MATCH(A133,Sezoane!$C$6:$C$40,1)),"")</f>
        <v>1402</v>
      </c>
    </row>
    <row r="134" customFormat="false" ht="15" hidden="false" customHeight="false" outlineLevel="0" collapsed="false">
      <c r="A134" s="41" t="n">
        <f aca="false">$B$2+129</f>
        <v>46445</v>
      </c>
      <c r="B134" s="42" t="str">
        <f aca="false">CHOOSE(WEEKDAY(A134,2),"Lu","Ma","Mi","Jo","Vi","Sâ","Du")</f>
        <v>Sâ</v>
      </c>
      <c r="C134" s="42" t="str">
        <f aca="false">IF(AND(ISNUMBER(MATCH(A134,Sezoane!$C$6:$C$40,1)),A134&lt;=INDEX(Sezoane!$D$6:$D$40,MATCH(A134,Sezoane!$C$6:$C$40,1))),INDEX(Sezoane!$A$6:$A$40,MATCH(A134,Sezoane!$C$6:$C$40,1)),"⚠ fără sezon")</f>
        <v>Vacanta-schi-2027</v>
      </c>
      <c r="D134" s="43" t="n">
        <f aca="false">IF(AND(ISNUMBER(MATCH(A134,Sezoane!$C$6:$C$40,1)),A134&lt;=INDEX(Sezoane!$D$6:$D$40,MATCH(A134,Sezoane!$C$6:$C$40,1))),INDEX(Sezoane!$F$6:$F$40,MATCH(A134,Sezoane!$C$6:$C$40,1)),"")</f>
        <v>2</v>
      </c>
      <c r="E134" s="44" t="n">
        <f aca="false">IF(AND(ISNUMBER(MATCH(A134,Sezoane!$C$6:$C$40,1)),A134&lt;=INDEX(Sezoane!$D$6:$D$40,MATCH(A134,Sezoane!$C$6:$C$40,1))),INDEX('Prețuri de setat'!$E$5:$E$39,MATCH(A134,Sezoane!$C$6:$C$40,1)),"")</f>
        <v>1450</v>
      </c>
      <c r="F134" s="44" t="n">
        <f aca="false">IF(AND(ISNUMBER(MATCH(A134,Sezoane!$C$6:$C$40,1)),A134&lt;=INDEX(Sezoane!$D$6:$D$40,MATCH(A134,Sezoane!$C$6:$C$40,1))),INDEX('Prețuri de setat'!$F$5:$F$39,MATCH(A134,Sezoane!$C$6:$C$40,1)),"")</f>
        <v>1830</v>
      </c>
      <c r="G134" s="44" t="n">
        <f aca="false">IF(AND(ISNUMBER(MATCH(A134,Sezoane!$C$6:$C$40,1)),A134&lt;=INDEX(Sezoane!$D$6:$D$40,MATCH(A134,Sezoane!$C$6:$C$40,1))),INDEX('Prețuri de setat'!$G$5:$G$39,MATCH(A134,Sezoane!$C$6:$C$40,1)),"")</f>
        <v>1640</v>
      </c>
      <c r="H134" s="44" t="n">
        <f aca="false">IF(AND(ISNUMBER(MATCH(A134,Sezoane!$C$6:$C$40,1)),A134&lt;=INDEX(Sezoane!$D$6:$D$40,MATCH(A134,Sezoane!$C$6:$C$40,1))),INDEX('Prețuri de setat'!$H$5:$H$39,MATCH(A134,Sezoane!$C$6:$C$40,1)),"")</f>
        <v>1580</v>
      </c>
      <c r="I134" s="44" t="n">
        <f aca="false">IF(AND(ISNUMBER(MATCH(A134,Sezoane!$C$6:$C$40,1)),A134&lt;=INDEX(Sezoane!$D$6:$D$40,MATCH(A134,Sezoane!$C$6:$C$40,1))),INDEX('Prețuri de setat'!$I$5:$I$39,MATCH(A134,Sezoane!$C$6:$C$40,1)),"")</f>
        <v>1402</v>
      </c>
    </row>
    <row r="135" customFormat="false" ht="15" hidden="false" customHeight="false" outlineLevel="0" collapsed="false">
      <c r="A135" s="41" t="n">
        <f aca="false">$B$2+130</f>
        <v>46446</v>
      </c>
      <c r="B135" s="42" t="str">
        <f aca="false">CHOOSE(WEEKDAY(A135,2),"Lu","Ma","Mi","Jo","Vi","Sâ","Du")</f>
        <v>Du</v>
      </c>
      <c r="C135" s="42" t="str">
        <f aca="false">IF(AND(ISNUMBER(MATCH(A135,Sezoane!$C$6:$C$40,1)),A135&lt;=INDEX(Sezoane!$D$6:$D$40,MATCH(A135,Sezoane!$C$6:$C$40,1))),INDEX(Sezoane!$A$6:$A$40,MATCH(A135,Sezoane!$C$6:$C$40,1)),"⚠ fără sezon")</f>
        <v>Vacanta-schi-2027</v>
      </c>
      <c r="D135" s="43" t="n">
        <f aca="false">IF(AND(ISNUMBER(MATCH(A135,Sezoane!$C$6:$C$40,1)),A135&lt;=INDEX(Sezoane!$D$6:$D$40,MATCH(A135,Sezoane!$C$6:$C$40,1))),INDEX(Sezoane!$F$6:$F$40,MATCH(A135,Sezoane!$C$6:$C$40,1)),"")</f>
        <v>2</v>
      </c>
      <c r="E135" s="44" t="n">
        <f aca="false">IF(AND(ISNUMBER(MATCH(A135,Sezoane!$C$6:$C$40,1)),A135&lt;=INDEX(Sezoane!$D$6:$D$40,MATCH(A135,Sezoane!$C$6:$C$40,1))),INDEX('Prețuri de setat'!$E$5:$E$39,MATCH(A135,Sezoane!$C$6:$C$40,1)),"")</f>
        <v>1450</v>
      </c>
      <c r="F135" s="44" t="n">
        <f aca="false">IF(AND(ISNUMBER(MATCH(A135,Sezoane!$C$6:$C$40,1)),A135&lt;=INDEX(Sezoane!$D$6:$D$40,MATCH(A135,Sezoane!$C$6:$C$40,1))),INDEX('Prețuri de setat'!$F$5:$F$39,MATCH(A135,Sezoane!$C$6:$C$40,1)),"")</f>
        <v>1830</v>
      </c>
      <c r="G135" s="44" t="n">
        <f aca="false">IF(AND(ISNUMBER(MATCH(A135,Sezoane!$C$6:$C$40,1)),A135&lt;=INDEX(Sezoane!$D$6:$D$40,MATCH(A135,Sezoane!$C$6:$C$40,1))),INDEX('Prețuri de setat'!$G$5:$G$39,MATCH(A135,Sezoane!$C$6:$C$40,1)),"")</f>
        <v>1640</v>
      </c>
      <c r="H135" s="44" t="n">
        <f aca="false">IF(AND(ISNUMBER(MATCH(A135,Sezoane!$C$6:$C$40,1)),A135&lt;=INDEX(Sezoane!$D$6:$D$40,MATCH(A135,Sezoane!$C$6:$C$40,1))),INDEX('Prețuri de setat'!$H$5:$H$39,MATCH(A135,Sezoane!$C$6:$C$40,1)),"")</f>
        <v>1580</v>
      </c>
      <c r="I135" s="44" t="n">
        <f aca="false">IF(AND(ISNUMBER(MATCH(A135,Sezoane!$C$6:$C$40,1)),A135&lt;=INDEX(Sezoane!$D$6:$D$40,MATCH(A135,Sezoane!$C$6:$C$40,1))),INDEX('Prețuri de setat'!$I$5:$I$39,MATCH(A135,Sezoane!$C$6:$C$40,1)),"")</f>
        <v>1402</v>
      </c>
    </row>
    <row r="136" customFormat="false" ht="15" hidden="false" customHeight="false" outlineLevel="0" collapsed="false">
      <c r="A136" s="41" t="n">
        <f aca="false">$B$2+131</f>
        <v>46447</v>
      </c>
      <c r="B136" s="42" t="str">
        <f aca="false">CHOOSE(WEEKDAY(A136,2),"Lu","Ma","Mi","Jo","Vi","Sâ","Du")</f>
        <v>Lu</v>
      </c>
      <c r="C136" s="42" t="str">
        <f aca="false">IF(AND(ISNUMBER(MATCH(A136,Sezoane!$C$6:$C$40,1)),A136&lt;=INDEX(Sezoane!$D$6:$D$40,MATCH(A136,Sezoane!$C$6:$C$40,1))),INDEX(Sezoane!$A$6:$A$40,MATCH(A136,Sezoane!$C$6:$C$40,1)),"⚠ fără sezon")</f>
        <v>Vacanta-schi-2027</v>
      </c>
      <c r="D136" s="43" t="n">
        <f aca="false">IF(AND(ISNUMBER(MATCH(A136,Sezoane!$C$6:$C$40,1)),A136&lt;=INDEX(Sezoane!$D$6:$D$40,MATCH(A136,Sezoane!$C$6:$C$40,1))),INDEX(Sezoane!$F$6:$F$40,MATCH(A136,Sezoane!$C$6:$C$40,1)),"")</f>
        <v>2</v>
      </c>
      <c r="E136" s="44" t="n">
        <f aca="false">IF(AND(ISNUMBER(MATCH(A136,Sezoane!$C$6:$C$40,1)),A136&lt;=INDEX(Sezoane!$D$6:$D$40,MATCH(A136,Sezoane!$C$6:$C$40,1))),INDEX('Prețuri de setat'!$E$5:$E$39,MATCH(A136,Sezoane!$C$6:$C$40,1)),"")</f>
        <v>1450</v>
      </c>
      <c r="F136" s="44" t="n">
        <f aca="false">IF(AND(ISNUMBER(MATCH(A136,Sezoane!$C$6:$C$40,1)),A136&lt;=INDEX(Sezoane!$D$6:$D$40,MATCH(A136,Sezoane!$C$6:$C$40,1))),INDEX('Prețuri de setat'!$F$5:$F$39,MATCH(A136,Sezoane!$C$6:$C$40,1)),"")</f>
        <v>1830</v>
      </c>
      <c r="G136" s="44" t="n">
        <f aca="false">IF(AND(ISNUMBER(MATCH(A136,Sezoane!$C$6:$C$40,1)),A136&lt;=INDEX(Sezoane!$D$6:$D$40,MATCH(A136,Sezoane!$C$6:$C$40,1))),INDEX('Prețuri de setat'!$G$5:$G$39,MATCH(A136,Sezoane!$C$6:$C$40,1)),"")</f>
        <v>1640</v>
      </c>
      <c r="H136" s="44" t="n">
        <f aca="false">IF(AND(ISNUMBER(MATCH(A136,Sezoane!$C$6:$C$40,1)),A136&lt;=INDEX(Sezoane!$D$6:$D$40,MATCH(A136,Sezoane!$C$6:$C$40,1))),INDEX('Prețuri de setat'!$H$5:$H$39,MATCH(A136,Sezoane!$C$6:$C$40,1)),"")</f>
        <v>1580</v>
      </c>
      <c r="I136" s="44" t="n">
        <f aca="false">IF(AND(ISNUMBER(MATCH(A136,Sezoane!$C$6:$C$40,1)),A136&lt;=INDEX(Sezoane!$D$6:$D$40,MATCH(A136,Sezoane!$C$6:$C$40,1))),INDEX('Prețuri de setat'!$I$5:$I$39,MATCH(A136,Sezoane!$C$6:$C$40,1)),"")</f>
        <v>1402</v>
      </c>
    </row>
    <row r="137" customFormat="false" ht="15" hidden="false" customHeight="false" outlineLevel="0" collapsed="false">
      <c r="A137" s="41" t="n">
        <f aca="false">$B$2+132</f>
        <v>46448</v>
      </c>
      <c r="B137" s="42" t="str">
        <f aca="false">CHOOSE(WEEKDAY(A137,2),"Lu","Ma","Mi","Jo","Vi","Sâ","Du")</f>
        <v>Ma</v>
      </c>
      <c r="C137" s="42" t="str">
        <f aca="false">IF(AND(ISNUMBER(MATCH(A137,Sezoane!$C$6:$C$40,1)),A137&lt;=INDEX(Sezoane!$D$6:$D$40,MATCH(A137,Sezoane!$C$6:$C$40,1))),INDEX(Sezoane!$A$6:$A$40,MATCH(A137,Sezoane!$C$6:$C$40,1)),"⚠ fără sezon")</f>
        <v>Vacanta-schi-2027</v>
      </c>
      <c r="D137" s="43" t="n">
        <f aca="false">IF(AND(ISNUMBER(MATCH(A137,Sezoane!$C$6:$C$40,1)),A137&lt;=INDEX(Sezoane!$D$6:$D$40,MATCH(A137,Sezoane!$C$6:$C$40,1))),INDEX(Sezoane!$F$6:$F$40,MATCH(A137,Sezoane!$C$6:$C$40,1)),"")</f>
        <v>2</v>
      </c>
      <c r="E137" s="44" t="n">
        <f aca="false">IF(AND(ISNUMBER(MATCH(A137,Sezoane!$C$6:$C$40,1)),A137&lt;=INDEX(Sezoane!$D$6:$D$40,MATCH(A137,Sezoane!$C$6:$C$40,1))),INDEX('Prețuri de setat'!$E$5:$E$39,MATCH(A137,Sezoane!$C$6:$C$40,1)),"")</f>
        <v>1450</v>
      </c>
      <c r="F137" s="44" t="n">
        <f aca="false">IF(AND(ISNUMBER(MATCH(A137,Sezoane!$C$6:$C$40,1)),A137&lt;=INDEX(Sezoane!$D$6:$D$40,MATCH(A137,Sezoane!$C$6:$C$40,1))),INDEX('Prețuri de setat'!$F$5:$F$39,MATCH(A137,Sezoane!$C$6:$C$40,1)),"")</f>
        <v>1830</v>
      </c>
      <c r="G137" s="44" t="n">
        <f aca="false">IF(AND(ISNUMBER(MATCH(A137,Sezoane!$C$6:$C$40,1)),A137&lt;=INDEX(Sezoane!$D$6:$D$40,MATCH(A137,Sezoane!$C$6:$C$40,1))),INDEX('Prețuri de setat'!$G$5:$G$39,MATCH(A137,Sezoane!$C$6:$C$40,1)),"")</f>
        <v>1640</v>
      </c>
      <c r="H137" s="44" t="n">
        <f aca="false">IF(AND(ISNUMBER(MATCH(A137,Sezoane!$C$6:$C$40,1)),A137&lt;=INDEX(Sezoane!$D$6:$D$40,MATCH(A137,Sezoane!$C$6:$C$40,1))),INDEX('Prețuri de setat'!$H$5:$H$39,MATCH(A137,Sezoane!$C$6:$C$40,1)),"")</f>
        <v>1580</v>
      </c>
      <c r="I137" s="44" t="n">
        <f aca="false">IF(AND(ISNUMBER(MATCH(A137,Sezoane!$C$6:$C$40,1)),A137&lt;=INDEX(Sezoane!$D$6:$D$40,MATCH(A137,Sezoane!$C$6:$C$40,1))),INDEX('Prețuri de setat'!$I$5:$I$39,MATCH(A137,Sezoane!$C$6:$C$40,1)),"")</f>
        <v>1402</v>
      </c>
    </row>
    <row r="138" customFormat="false" ht="15" hidden="false" customHeight="false" outlineLevel="0" collapsed="false">
      <c r="A138" s="41" t="n">
        <f aca="false">$B$2+133</f>
        <v>46449</v>
      </c>
      <c r="B138" s="42" t="str">
        <f aca="false">CHOOSE(WEEKDAY(A138,2),"Lu","Ma","Mi","Jo","Vi","Sâ","Du")</f>
        <v>Mi</v>
      </c>
      <c r="C138" s="42" t="str">
        <f aca="false">IF(AND(ISNUMBER(MATCH(A138,Sezoane!$C$6:$C$40,1)),A138&lt;=INDEX(Sezoane!$D$6:$D$40,MATCH(A138,Sezoane!$C$6:$C$40,1))),INDEX(Sezoane!$A$6:$A$40,MATCH(A138,Sezoane!$C$6:$C$40,1)),"⚠ fără sezon")</f>
        <v>Vacanta-schi-2027</v>
      </c>
      <c r="D138" s="43" t="n">
        <f aca="false">IF(AND(ISNUMBER(MATCH(A138,Sezoane!$C$6:$C$40,1)),A138&lt;=INDEX(Sezoane!$D$6:$D$40,MATCH(A138,Sezoane!$C$6:$C$40,1))),INDEX(Sezoane!$F$6:$F$40,MATCH(A138,Sezoane!$C$6:$C$40,1)),"")</f>
        <v>2</v>
      </c>
      <c r="E138" s="44" t="n">
        <f aca="false">IF(AND(ISNUMBER(MATCH(A138,Sezoane!$C$6:$C$40,1)),A138&lt;=INDEX(Sezoane!$D$6:$D$40,MATCH(A138,Sezoane!$C$6:$C$40,1))),INDEX('Prețuri de setat'!$E$5:$E$39,MATCH(A138,Sezoane!$C$6:$C$40,1)),"")</f>
        <v>1450</v>
      </c>
      <c r="F138" s="44" t="n">
        <f aca="false">IF(AND(ISNUMBER(MATCH(A138,Sezoane!$C$6:$C$40,1)),A138&lt;=INDEX(Sezoane!$D$6:$D$40,MATCH(A138,Sezoane!$C$6:$C$40,1))),INDEX('Prețuri de setat'!$F$5:$F$39,MATCH(A138,Sezoane!$C$6:$C$40,1)),"")</f>
        <v>1830</v>
      </c>
      <c r="G138" s="44" t="n">
        <f aca="false">IF(AND(ISNUMBER(MATCH(A138,Sezoane!$C$6:$C$40,1)),A138&lt;=INDEX(Sezoane!$D$6:$D$40,MATCH(A138,Sezoane!$C$6:$C$40,1))),INDEX('Prețuri de setat'!$G$5:$G$39,MATCH(A138,Sezoane!$C$6:$C$40,1)),"")</f>
        <v>1640</v>
      </c>
      <c r="H138" s="44" t="n">
        <f aca="false">IF(AND(ISNUMBER(MATCH(A138,Sezoane!$C$6:$C$40,1)),A138&lt;=INDEX(Sezoane!$D$6:$D$40,MATCH(A138,Sezoane!$C$6:$C$40,1))),INDEX('Prețuri de setat'!$H$5:$H$39,MATCH(A138,Sezoane!$C$6:$C$40,1)),"")</f>
        <v>1580</v>
      </c>
      <c r="I138" s="44" t="n">
        <f aca="false">IF(AND(ISNUMBER(MATCH(A138,Sezoane!$C$6:$C$40,1)),A138&lt;=INDEX(Sezoane!$D$6:$D$40,MATCH(A138,Sezoane!$C$6:$C$40,1))),INDEX('Prețuri de setat'!$I$5:$I$39,MATCH(A138,Sezoane!$C$6:$C$40,1)),"")</f>
        <v>1402</v>
      </c>
    </row>
    <row r="139" customFormat="false" ht="15" hidden="false" customHeight="false" outlineLevel="0" collapsed="false">
      <c r="A139" s="41" t="n">
        <f aca="false">$B$2+134</f>
        <v>46450</v>
      </c>
      <c r="B139" s="42" t="str">
        <f aca="false">CHOOSE(WEEKDAY(A139,2),"Lu","Ma","Mi","Jo","Vi","Sâ","Du")</f>
        <v>Jo</v>
      </c>
      <c r="C139" s="42" t="str">
        <f aca="false">IF(AND(ISNUMBER(MATCH(A139,Sezoane!$C$6:$C$40,1)),A139&lt;=INDEX(Sezoane!$D$6:$D$40,MATCH(A139,Sezoane!$C$6:$C$40,1))),INDEX(Sezoane!$A$6:$A$40,MATCH(A139,Sezoane!$C$6:$C$40,1)),"⚠ fără sezon")</f>
        <v>Vacanta-schi-2027</v>
      </c>
      <c r="D139" s="43" t="n">
        <f aca="false">IF(AND(ISNUMBER(MATCH(A139,Sezoane!$C$6:$C$40,1)),A139&lt;=INDEX(Sezoane!$D$6:$D$40,MATCH(A139,Sezoane!$C$6:$C$40,1))),INDEX(Sezoane!$F$6:$F$40,MATCH(A139,Sezoane!$C$6:$C$40,1)),"")</f>
        <v>2</v>
      </c>
      <c r="E139" s="44" t="n">
        <f aca="false">IF(AND(ISNUMBER(MATCH(A139,Sezoane!$C$6:$C$40,1)),A139&lt;=INDEX(Sezoane!$D$6:$D$40,MATCH(A139,Sezoane!$C$6:$C$40,1))),INDEX('Prețuri de setat'!$E$5:$E$39,MATCH(A139,Sezoane!$C$6:$C$40,1)),"")</f>
        <v>1450</v>
      </c>
      <c r="F139" s="44" t="n">
        <f aca="false">IF(AND(ISNUMBER(MATCH(A139,Sezoane!$C$6:$C$40,1)),A139&lt;=INDEX(Sezoane!$D$6:$D$40,MATCH(A139,Sezoane!$C$6:$C$40,1))),INDEX('Prețuri de setat'!$F$5:$F$39,MATCH(A139,Sezoane!$C$6:$C$40,1)),"")</f>
        <v>1830</v>
      </c>
      <c r="G139" s="44" t="n">
        <f aca="false">IF(AND(ISNUMBER(MATCH(A139,Sezoane!$C$6:$C$40,1)),A139&lt;=INDEX(Sezoane!$D$6:$D$40,MATCH(A139,Sezoane!$C$6:$C$40,1))),INDEX('Prețuri de setat'!$G$5:$G$39,MATCH(A139,Sezoane!$C$6:$C$40,1)),"")</f>
        <v>1640</v>
      </c>
      <c r="H139" s="44" t="n">
        <f aca="false">IF(AND(ISNUMBER(MATCH(A139,Sezoane!$C$6:$C$40,1)),A139&lt;=INDEX(Sezoane!$D$6:$D$40,MATCH(A139,Sezoane!$C$6:$C$40,1))),INDEX('Prețuri de setat'!$H$5:$H$39,MATCH(A139,Sezoane!$C$6:$C$40,1)),"")</f>
        <v>1580</v>
      </c>
      <c r="I139" s="44" t="n">
        <f aca="false">IF(AND(ISNUMBER(MATCH(A139,Sezoane!$C$6:$C$40,1)),A139&lt;=INDEX(Sezoane!$D$6:$D$40,MATCH(A139,Sezoane!$C$6:$C$40,1))),INDEX('Prețuri de setat'!$I$5:$I$39,MATCH(A139,Sezoane!$C$6:$C$40,1)),"")</f>
        <v>1402</v>
      </c>
    </row>
    <row r="140" customFormat="false" ht="15" hidden="false" customHeight="false" outlineLevel="0" collapsed="false">
      <c r="A140" s="41" t="n">
        <f aca="false">$B$2+135</f>
        <v>46451</v>
      </c>
      <c r="B140" s="42" t="str">
        <f aca="false">CHOOSE(WEEKDAY(A140,2),"Lu","Ma","Mi","Jo","Vi","Sâ","Du")</f>
        <v>Vi</v>
      </c>
      <c r="C140" s="42" t="str">
        <f aca="false">IF(AND(ISNUMBER(MATCH(A140,Sezoane!$C$6:$C$40,1)),A140&lt;=INDEX(Sezoane!$D$6:$D$40,MATCH(A140,Sezoane!$C$6:$C$40,1))),INDEX(Sezoane!$A$6:$A$40,MATCH(A140,Sezoane!$C$6:$C$40,1)),"⚠ fără sezon")</f>
        <v>Vacanta-schi-2027</v>
      </c>
      <c r="D140" s="43" t="n">
        <f aca="false">IF(AND(ISNUMBER(MATCH(A140,Sezoane!$C$6:$C$40,1)),A140&lt;=INDEX(Sezoane!$D$6:$D$40,MATCH(A140,Sezoane!$C$6:$C$40,1))),INDEX(Sezoane!$F$6:$F$40,MATCH(A140,Sezoane!$C$6:$C$40,1)),"")</f>
        <v>2</v>
      </c>
      <c r="E140" s="44" t="n">
        <f aca="false">IF(AND(ISNUMBER(MATCH(A140,Sezoane!$C$6:$C$40,1)),A140&lt;=INDEX(Sezoane!$D$6:$D$40,MATCH(A140,Sezoane!$C$6:$C$40,1))),INDEX('Prețuri de setat'!$E$5:$E$39,MATCH(A140,Sezoane!$C$6:$C$40,1)),"")</f>
        <v>1450</v>
      </c>
      <c r="F140" s="44" t="n">
        <f aca="false">IF(AND(ISNUMBER(MATCH(A140,Sezoane!$C$6:$C$40,1)),A140&lt;=INDEX(Sezoane!$D$6:$D$40,MATCH(A140,Sezoane!$C$6:$C$40,1))),INDEX('Prețuri de setat'!$F$5:$F$39,MATCH(A140,Sezoane!$C$6:$C$40,1)),"")</f>
        <v>1830</v>
      </c>
      <c r="G140" s="44" t="n">
        <f aca="false">IF(AND(ISNUMBER(MATCH(A140,Sezoane!$C$6:$C$40,1)),A140&lt;=INDEX(Sezoane!$D$6:$D$40,MATCH(A140,Sezoane!$C$6:$C$40,1))),INDEX('Prețuri de setat'!$G$5:$G$39,MATCH(A140,Sezoane!$C$6:$C$40,1)),"")</f>
        <v>1640</v>
      </c>
      <c r="H140" s="44" t="n">
        <f aca="false">IF(AND(ISNUMBER(MATCH(A140,Sezoane!$C$6:$C$40,1)),A140&lt;=INDEX(Sezoane!$D$6:$D$40,MATCH(A140,Sezoane!$C$6:$C$40,1))),INDEX('Prețuri de setat'!$H$5:$H$39,MATCH(A140,Sezoane!$C$6:$C$40,1)),"")</f>
        <v>1580</v>
      </c>
      <c r="I140" s="44" t="n">
        <f aca="false">IF(AND(ISNUMBER(MATCH(A140,Sezoane!$C$6:$C$40,1)),A140&lt;=INDEX(Sezoane!$D$6:$D$40,MATCH(A140,Sezoane!$C$6:$C$40,1))),INDEX('Prețuri de setat'!$I$5:$I$39,MATCH(A140,Sezoane!$C$6:$C$40,1)),"")</f>
        <v>1402</v>
      </c>
    </row>
    <row r="141" customFormat="false" ht="15" hidden="false" customHeight="false" outlineLevel="0" collapsed="false">
      <c r="A141" s="41" t="n">
        <f aca="false">$B$2+136</f>
        <v>46452</v>
      </c>
      <c r="B141" s="42" t="str">
        <f aca="false">CHOOSE(WEEKDAY(A141,2),"Lu","Ma","Mi","Jo","Vi","Sâ","Du")</f>
        <v>Sâ</v>
      </c>
      <c r="C141" s="42" t="str">
        <f aca="false">IF(AND(ISNUMBER(MATCH(A141,Sezoane!$C$6:$C$40,1)),A141&lt;=INDEX(Sezoane!$D$6:$D$40,MATCH(A141,Sezoane!$C$6:$C$40,1))),INDEX(Sezoane!$A$6:$A$40,MATCH(A141,Sezoane!$C$6:$C$40,1)),"⚠ fără sezon")</f>
        <v>Vacanta-schi-2027</v>
      </c>
      <c r="D141" s="43" t="n">
        <f aca="false">IF(AND(ISNUMBER(MATCH(A141,Sezoane!$C$6:$C$40,1)),A141&lt;=INDEX(Sezoane!$D$6:$D$40,MATCH(A141,Sezoane!$C$6:$C$40,1))),INDEX(Sezoane!$F$6:$F$40,MATCH(A141,Sezoane!$C$6:$C$40,1)),"")</f>
        <v>2</v>
      </c>
      <c r="E141" s="44" t="n">
        <f aca="false">IF(AND(ISNUMBER(MATCH(A141,Sezoane!$C$6:$C$40,1)),A141&lt;=INDEX(Sezoane!$D$6:$D$40,MATCH(A141,Sezoane!$C$6:$C$40,1))),INDEX('Prețuri de setat'!$E$5:$E$39,MATCH(A141,Sezoane!$C$6:$C$40,1)),"")</f>
        <v>1450</v>
      </c>
      <c r="F141" s="44" t="n">
        <f aca="false">IF(AND(ISNUMBER(MATCH(A141,Sezoane!$C$6:$C$40,1)),A141&lt;=INDEX(Sezoane!$D$6:$D$40,MATCH(A141,Sezoane!$C$6:$C$40,1))),INDEX('Prețuri de setat'!$F$5:$F$39,MATCH(A141,Sezoane!$C$6:$C$40,1)),"")</f>
        <v>1830</v>
      </c>
      <c r="G141" s="44" t="n">
        <f aca="false">IF(AND(ISNUMBER(MATCH(A141,Sezoane!$C$6:$C$40,1)),A141&lt;=INDEX(Sezoane!$D$6:$D$40,MATCH(A141,Sezoane!$C$6:$C$40,1))),INDEX('Prețuri de setat'!$G$5:$G$39,MATCH(A141,Sezoane!$C$6:$C$40,1)),"")</f>
        <v>1640</v>
      </c>
      <c r="H141" s="44" t="n">
        <f aca="false">IF(AND(ISNUMBER(MATCH(A141,Sezoane!$C$6:$C$40,1)),A141&lt;=INDEX(Sezoane!$D$6:$D$40,MATCH(A141,Sezoane!$C$6:$C$40,1))),INDEX('Prețuri de setat'!$H$5:$H$39,MATCH(A141,Sezoane!$C$6:$C$40,1)),"")</f>
        <v>1580</v>
      </c>
      <c r="I141" s="44" t="n">
        <f aca="false">IF(AND(ISNUMBER(MATCH(A141,Sezoane!$C$6:$C$40,1)),A141&lt;=INDEX(Sezoane!$D$6:$D$40,MATCH(A141,Sezoane!$C$6:$C$40,1))),INDEX('Prețuri de setat'!$I$5:$I$39,MATCH(A141,Sezoane!$C$6:$C$40,1)),"")</f>
        <v>1402</v>
      </c>
    </row>
    <row r="142" customFormat="false" ht="15" hidden="false" customHeight="false" outlineLevel="0" collapsed="false">
      <c r="A142" s="41" t="n">
        <f aca="false">$B$2+137</f>
        <v>46453</v>
      </c>
      <c r="B142" s="42" t="str">
        <f aca="false">CHOOSE(WEEKDAY(A142,2),"Lu","Ma","Mi","Jo","Vi","Sâ","Du")</f>
        <v>Du</v>
      </c>
      <c r="C142" s="42" t="str">
        <f aca="false">IF(AND(ISNUMBER(MATCH(A142,Sezoane!$C$6:$C$40,1)),A142&lt;=INDEX(Sezoane!$D$6:$D$40,MATCH(A142,Sezoane!$C$6:$C$40,1))),INDEX(Sezoane!$A$6:$A$40,MATCH(A142,Sezoane!$C$6:$C$40,1)),"⚠ fără sezon")</f>
        <v>Vacanta-schi-2027</v>
      </c>
      <c r="D142" s="43" t="n">
        <f aca="false">IF(AND(ISNUMBER(MATCH(A142,Sezoane!$C$6:$C$40,1)),A142&lt;=INDEX(Sezoane!$D$6:$D$40,MATCH(A142,Sezoane!$C$6:$C$40,1))),INDEX(Sezoane!$F$6:$F$40,MATCH(A142,Sezoane!$C$6:$C$40,1)),"")</f>
        <v>2</v>
      </c>
      <c r="E142" s="44" t="n">
        <f aca="false">IF(AND(ISNUMBER(MATCH(A142,Sezoane!$C$6:$C$40,1)),A142&lt;=INDEX(Sezoane!$D$6:$D$40,MATCH(A142,Sezoane!$C$6:$C$40,1))),INDEX('Prețuri de setat'!$E$5:$E$39,MATCH(A142,Sezoane!$C$6:$C$40,1)),"")</f>
        <v>1450</v>
      </c>
      <c r="F142" s="44" t="n">
        <f aca="false">IF(AND(ISNUMBER(MATCH(A142,Sezoane!$C$6:$C$40,1)),A142&lt;=INDEX(Sezoane!$D$6:$D$40,MATCH(A142,Sezoane!$C$6:$C$40,1))),INDEX('Prețuri de setat'!$F$5:$F$39,MATCH(A142,Sezoane!$C$6:$C$40,1)),"")</f>
        <v>1830</v>
      </c>
      <c r="G142" s="44" t="n">
        <f aca="false">IF(AND(ISNUMBER(MATCH(A142,Sezoane!$C$6:$C$40,1)),A142&lt;=INDEX(Sezoane!$D$6:$D$40,MATCH(A142,Sezoane!$C$6:$C$40,1))),INDEX('Prețuri de setat'!$G$5:$G$39,MATCH(A142,Sezoane!$C$6:$C$40,1)),"")</f>
        <v>1640</v>
      </c>
      <c r="H142" s="44" t="n">
        <f aca="false">IF(AND(ISNUMBER(MATCH(A142,Sezoane!$C$6:$C$40,1)),A142&lt;=INDEX(Sezoane!$D$6:$D$40,MATCH(A142,Sezoane!$C$6:$C$40,1))),INDEX('Prețuri de setat'!$H$5:$H$39,MATCH(A142,Sezoane!$C$6:$C$40,1)),"")</f>
        <v>1580</v>
      </c>
      <c r="I142" s="44" t="n">
        <f aca="false">IF(AND(ISNUMBER(MATCH(A142,Sezoane!$C$6:$C$40,1)),A142&lt;=INDEX(Sezoane!$D$6:$D$40,MATCH(A142,Sezoane!$C$6:$C$40,1))),INDEX('Prețuri de setat'!$I$5:$I$39,MATCH(A142,Sezoane!$C$6:$C$40,1)),"")</f>
        <v>1402</v>
      </c>
    </row>
    <row r="143" customFormat="false" ht="15" hidden="false" customHeight="false" outlineLevel="0" collapsed="false">
      <c r="A143" s="41" t="n">
        <f aca="false">$B$2+138</f>
        <v>46454</v>
      </c>
      <c r="B143" s="42" t="str">
        <f aca="false">CHOOSE(WEEKDAY(A143,2),"Lu","Ma","Mi","Jo","Vi","Sâ","Du")</f>
        <v>Lu</v>
      </c>
      <c r="C143" s="42" t="str">
        <f aca="false">IF(AND(ISNUMBER(MATCH(A143,Sezoane!$C$6:$C$40,1)),A143&lt;=INDEX(Sezoane!$D$6:$D$40,MATCH(A143,Sezoane!$C$6:$C$40,1))),INDEX(Sezoane!$A$6:$A$40,MATCH(A143,Sezoane!$C$6:$C$40,1)),"⚠ fără sezon")</f>
        <v>⚠ fără sezon</v>
      </c>
      <c r="D143" s="42" t="str">
        <f aca="false">IF(AND(ISNUMBER(MATCH(A143,Sezoane!$C$6:$C$40,1)),A143&lt;=INDEX(Sezoane!$D$6:$D$40,MATCH(A143,Sezoane!$C$6:$C$40,1))),INDEX(Sezoane!$F$6:$F$40,MATCH(A143,Sezoane!$C$6:$C$40,1)),"")</f>
        <v/>
      </c>
      <c r="E143" s="44" t="str">
        <f aca="false">IF(AND(ISNUMBER(MATCH(A143,Sezoane!$C$6:$C$40,1)),A143&lt;=INDEX(Sezoane!$D$6:$D$40,MATCH(A143,Sezoane!$C$6:$C$40,1))),INDEX('Prețuri de setat'!$E$5:$E$39,MATCH(A143,Sezoane!$C$6:$C$40,1)),"")</f>
        <v/>
      </c>
      <c r="F143" s="44" t="str">
        <f aca="false">IF(AND(ISNUMBER(MATCH(A143,Sezoane!$C$6:$C$40,1)),A143&lt;=INDEX(Sezoane!$D$6:$D$40,MATCH(A143,Sezoane!$C$6:$C$40,1))),INDEX('Prețuri de setat'!$F$5:$F$39,MATCH(A143,Sezoane!$C$6:$C$40,1)),"")</f>
        <v/>
      </c>
      <c r="G143" s="44" t="str">
        <f aca="false">IF(AND(ISNUMBER(MATCH(A143,Sezoane!$C$6:$C$40,1)),A143&lt;=INDEX(Sezoane!$D$6:$D$40,MATCH(A143,Sezoane!$C$6:$C$40,1))),INDEX('Prețuri de setat'!$G$5:$G$39,MATCH(A143,Sezoane!$C$6:$C$40,1)),"")</f>
        <v/>
      </c>
      <c r="H143" s="44" t="str">
        <f aca="false">IF(AND(ISNUMBER(MATCH(A143,Sezoane!$C$6:$C$40,1)),A143&lt;=INDEX(Sezoane!$D$6:$D$40,MATCH(A143,Sezoane!$C$6:$C$40,1))),INDEX('Prețuri de setat'!$H$5:$H$39,MATCH(A143,Sezoane!$C$6:$C$40,1)),"")</f>
        <v/>
      </c>
      <c r="I143" s="44" t="str">
        <f aca="false">IF(AND(ISNUMBER(MATCH(A143,Sezoane!$C$6:$C$40,1)),A143&lt;=INDEX(Sezoane!$D$6:$D$40,MATCH(A143,Sezoane!$C$6:$C$40,1))),INDEX('Prețuri de setat'!$I$5:$I$39,MATCH(A143,Sezoane!$C$6:$C$40,1)),"")</f>
        <v/>
      </c>
    </row>
    <row r="144" customFormat="false" ht="15" hidden="false" customHeight="false" outlineLevel="0" collapsed="false">
      <c r="A144" s="41" t="n">
        <f aca="false">$B$2+139</f>
        <v>46455</v>
      </c>
      <c r="B144" s="42" t="str">
        <f aca="false">CHOOSE(WEEKDAY(A144,2),"Lu","Ma","Mi","Jo","Vi","Sâ","Du")</f>
        <v>Ma</v>
      </c>
      <c r="C144" s="42" t="str">
        <f aca="false">IF(AND(ISNUMBER(MATCH(A144,Sezoane!$C$6:$C$40,1)),A144&lt;=INDEX(Sezoane!$D$6:$D$40,MATCH(A144,Sezoane!$C$6:$C$40,1))),INDEX(Sezoane!$A$6:$A$40,MATCH(A144,Sezoane!$C$6:$C$40,1)),"⚠ fără sezon")</f>
        <v>⚠ fără sezon</v>
      </c>
      <c r="D144" s="42" t="str">
        <f aca="false">IF(AND(ISNUMBER(MATCH(A144,Sezoane!$C$6:$C$40,1)),A144&lt;=INDEX(Sezoane!$D$6:$D$40,MATCH(A144,Sezoane!$C$6:$C$40,1))),INDEX(Sezoane!$F$6:$F$40,MATCH(A144,Sezoane!$C$6:$C$40,1)),"")</f>
        <v/>
      </c>
      <c r="E144" s="44" t="str">
        <f aca="false">IF(AND(ISNUMBER(MATCH(A144,Sezoane!$C$6:$C$40,1)),A144&lt;=INDEX(Sezoane!$D$6:$D$40,MATCH(A144,Sezoane!$C$6:$C$40,1))),INDEX('Prețuri de setat'!$E$5:$E$39,MATCH(A144,Sezoane!$C$6:$C$40,1)),"")</f>
        <v/>
      </c>
      <c r="F144" s="44" t="str">
        <f aca="false">IF(AND(ISNUMBER(MATCH(A144,Sezoane!$C$6:$C$40,1)),A144&lt;=INDEX(Sezoane!$D$6:$D$40,MATCH(A144,Sezoane!$C$6:$C$40,1))),INDEX('Prețuri de setat'!$F$5:$F$39,MATCH(A144,Sezoane!$C$6:$C$40,1)),"")</f>
        <v/>
      </c>
      <c r="G144" s="44" t="str">
        <f aca="false">IF(AND(ISNUMBER(MATCH(A144,Sezoane!$C$6:$C$40,1)),A144&lt;=INDEX(Sezoane!$D$6:$D$40,MATCH(A144,Sezoane!$C$6:$C$40,1))),INDEX('Prețuri de setat'!$G$5:$G$39,MATCH(A144,Sezoane!$C$6:$C$40,1)),"")</f>
        <v/>
      </c>
      <c r="H144" s="44" t="str">
        <f aca="false">IF(AND(ISNUMBER(MATCH(A144,Sezoane!$C$6:$C$40,1)),A144&lt;=INDEX(Sezoane!$D$6:$D$40,MATCH(A144,Sezoane!$C$6:$C$40,1))),INDEX('Prețuri de setat'!$H$5:$H$39,MATCH(A144,Sezoane!$C$6:$C$40,1)),"")</f>
        <v/>
      </c>
      <c r="I144" s="44" t="str">
        <f aca="false">IF(AND(ISNUMBER(MATCH(A144,Sezoane!$C$6:$C$40,1)),A144&lt;=INDEX(Sezoane!$D$6:$D$40,MATCH(A144,Sezoane!$C$6:$C$40,1))),INDEX('Prețuri de setat'!$I$5:$I$39,MATCH(A144,Sezoane!$C$6:$C$40,1)),"")</f>
        <v/>
      </c>
    </row>
    <row r="145" customFormat="false" ht="15" hidden="false" customHeight="false" outlineLevel="0" collapsed="false">
      <c r="A145" s="41" t="n">
        <f aca="false">$B$2+140</f>
        <v>46456</v>
      </c>
      <c r="B145" s="42" t="str">
        <f aca="false">CHOOSE(WEEKDAY(A145,2),"Lu","Ma","Mi","Jo","Vi","Sâ","Du")</f>
        <v>Mi</v>
      </c>
      <c r="C145" s="42" t="str">
        <f aca="false">IF(AND(ISNUMBER(MATCH(A145,Sezoane!$C$6:$C$40,1)),A145&lt;=INDEX(Sezoane!$D$6:$D$40,MATCH(A145,Sezoane!$C$6:$C$40,1))),INDEX(Sezoane!$A$6:$A$40,MATCH(A145,Sezoane!$C$6:$C$40,1)),"⚠ fără sezon")</f>
        <v>⚠ fără sezon</v>
      </c>
      <c r="D145" s="42" t="str">
        <f aca="false">IF(AND(ISNUMBER(MATCH(A145,Sezoane!$C$6:$C$40,1)),A145&lt;=INDEX(Sezoane!$D$6:$D$40,MATCH(A145,Sezoane!$C$6:$C$40,1))),INDEX(Sezoane!$F$6:$F$40,MATCH(A145,Sezoane!$C$6:$C$40,1)),"")</f>
        <v/>
      </c>
      <c r="E145" s="44" t="str">
        <f aca="false">IF(AND(ISNUMBER(MATCH(A145,Sezoane!$C$6:$C$40,1)),A145&lt;=INDEX(Sezoane!$D$6:$D$40,MATCH(A145,Sezoane!$C$6:$C$40,1))),INDEX('Prețuri de setat'!$E$5:$E$39,MATCH(A145,Sezoane!$C$6:$C$40,1)),"")</f>
        <v/>
      </c>
      <c r="F145" s="44" t="str">
        <f aca="false">IF(AND(ISNUMBER(MATCH(A145,Sezoane!$C$6:$C$40,1)),A145&lt;=INDEX(Sezoane!$D$6:$D$40,MATCH(A145,Sezoane!$C$6:$C$40,1))),INDEX('Prețuri de setat'!$F$5:$F$39,MATCH(A145,Sezoane!$C$6:$C$40,1)),"")</f>
        <v/>
      </c>
      <c r="G145" s="44" t="str">
        <f aca="false">IF(AND(ISNUMBER(MATCH(A145,Sezoane!$C$6:$C$40,1)),A145&lt;=INDEX(Sezoane!$D$6:$D$40,MATCH(A145,Sezoane!$C$6:$C$40,1))),INDEX('Prețuri de setat'!$G$5:$G$39,MATCH(A145,Sezoane!$C$6:$C$40,1)),"")</f>
        <v/>
      </c>
      <c r="H145" s="44" t="str">
        <f aca="false">IF(AND(ISNUMBER(MATCH(A145,Sezoane!$C$6:$C$40,1)),A145&lt;=INDEX(Sezoane!$D$6:$D$40,MATCH(A145,Sezoane!$C$6:$C$40,1))),INDEX('Prețuri de setat'!$H$5:$H$39,MATCH(A145,Sezoane!$C$6:$C$40,1)),"")</f>
        <v/>
      </c>
      <c r="I145" s="44" t="str">
        <f aca="false">IF(AND(ISNUMBER(MATCH(A145,Sezoane!$C$6:$C$40,1)),A145&lt;=INDEX(Sezoane!$D$6:$D$40,MATCH(A145,Sezoane!$C$6:$C$40,1))),INDEX('Prețuri de setat'!$I$5:$I$39,MATCH(A145,Sezoane!$C$6:$C$40,1)),"")</f>
        <v/>
      </c>
    </row>
    <row r="146" customFormat="false" ht="15" hidden="false" customHeight="false" outlineLevel="0" collapsed="false">
      <c r="A146" s="41" t="n">
        <f aca="false">$B$2+141</f>
        <v>46457</v>
      </c>
      <c r="B146" s="42" t="str">
        <f aca="false">CHOOSE(WEEKDAY(A146,2),"Lu","Ma","Mi","Jo","Vi","Sâ","Du")</f>
        <v>Jo</v>
      </c>
      <c r="C146" s="42" t="str">
        <f aca="false">IF(AND(ISNUMBER(MATCH(A146,Sezoane!$C$6:$C$40,1)),A146&lt;=INDEX(Sezoane!$D$6:$D$40,MATCH(A146,Sezoane!$C$6:$C$40,1))),INDEX(Sezoane!$A$6:$A$40,MATCH(A146,Sezoane!$C$6:$C$40,1)),"⚠ fără sezon")</f>
        <v>⚠ fără sezon</v>
      </c>
      <c r="D146" s="42" t="str">
        <f aca="false">IF(AND(ISNUMBER(MATCH(A146,Sezoane!$C$6:$C$40,1)),A146&lt;=INDEX(Sezoane!$D$6:$D$40,MATCH(A146,Sezoane!$C$6:$C$40,1))),INDEX(Sezoane!$F$6:$F$40,MATCH(A146,Sezoane!$C$6:$C$40,1)),"")</f>
        <v/>
      </c>
      <c r="E146" s="44" t="str">
        <f aca="false">IF(AND(ISNUMBER(MATCH(A146,Sezoane!$C$6:$C$40,1)),A146&lt;=INDEX(Sezoane!$D$6:$D$40,MATCH(A146,Sezoane!$C$6:$C$40,1))),INDEX('Prețuri de setat'!$E$5:$E$39,MATCH(A146,Sezoane!$C$6:$C$40,1)),"")</f>
        <v/>
      </c>
      <c r="F146" s="44" t="str">
        <f aca="false">IF(AND(ISNUMBER(MATCH(A146,Sezoane!$C$6:$C$40,1)),A146&lt;=INDEX(Sezoane!$D$6:$D$40,MATCH(A146,Sezoane!$C$6:$C$40,1))),INDEX('Prețuri de setat'!$F$5:$F$39,MATCH(A146,Sezoane!$C$6:$C$40,1)),"")</f>
        <v/>
      </c>
      <c r="G146" s="44" t="str">
        <f aca="false">IF(AND(ISNUMBER(MATCH(A146,Sezoane!$C$6:$C$40,1)),A146&lt;=INDEX(Sezoane!$D$6:$D$40,MATCH(A146,Sezoane!$C$6:$C$40,1))),INDEX('Prețuri de setat'!$G$5:$G$39,MATCH(A146,Sezoane!$C$6:$C$40,1)),"")</f>
        <v/>
      </c>
      <c r="H146" s="44" t="str">
        <f aca="false">IF(AND(ISNUMBER(MATCH(A146,Sezoane!$C$6:$C$40,1)),A146&lt;=INDEX(Sezoane!$D$6:$D$40,MATCH(A146,Sezoane!$C$6:$C$40,1))),INDEX('Prețuri de setat'!$H$5:$H$39,MATCH(A146,Sezoane!$C$6:$C$40,1)),"")</f>
        <v/>
      </c>
      <c r="I146" s="44" t="str">
        <f aca="false">IF(AND(ISNUMBER(MATCH(A146,Sezoane!$C$6:$C$40,1)),A146&lt;=INDEX(Sezoane!$D$6:$D$40,MATCH(A146,Sezoane!$C$6:$C$40,1))),INDEX('Prețuri de setat'!$I$5:$I$39,MATCH(A146,Sezoane!$C$6:$C$40,1)),"")</f>
        <v/>
      </c>
    </row>
    <row r="147" customFormat="false" ht="15" hidden="false" customHeight="false" outlineLevel="0" collapsed="false">
      <c r="A147" s="41" t="n">
        <f aca="false">$B$2+142</f>
        <v>46458</v>
      </c>
      <c r="B147" s="42" t="str">
        <f aca="false">CHOOSE(WEEKDAY(A147,2),"Lu","Ma","Mi","Jo","Vi","Sâ","Du")</f>
        <v>Vi</v>
      </c>
      <c r="C147" s="42" t="str">
        <f aca="false">IF(AND(ISNUMBER(MATCH(A147,Sezoane!$C$6:$C$40,1)),A147&lt;=INDEX(Sezoane!$D$6:$D$40,MATCH(A147,Sezoane!$C$6:$C$40,1))),INDEX(Sezoane!$A$6:$A$40,MATCH(A147,Sezoane!$C$6:$C$40,1)),"⚠ fără sezon")</f>
        <v>⚠ fără sezon</v>
      </c>
      <c r="D147" s="42" t="str">
        <f aca="false">IF(AND(ISNUMBER(MATCH(A147,Sezoane!$C$6:$C$40,1)),A147&lt;=INDEX(Sezoane!$D$6:$D$40,MATCH(A147,Sezoane!$C$6:$C$40,1))),INDEX(Sezoane!$F$6:$F$40,MATCH(A147,Sezoane!$C$6:$C$40,1)),"")</f>
        <v/>
      </c>
      <c r="E147" s="44" t="str">
        <f aca="false">IF(AND(ISNUMBER(MATCH(A147,Sezoane!$C$6:$C$40,1)),A147&lt;=INDEX(Sezoane!$D$6:$D$40,MATCH(A147,Sezoane!$C$6:$C$40,1))),INDEX('Prețuri de setat'!$E$5:$E$39,MATCH(A147,Sezoane!$C$6:$C$40,1)),"")</f>
        <v/>
      </c>
      <c r="F147" s="44" t="str">
        <f aca="false">IF(AND(ISNUMBER(MATCH(A147,Sezoane!$C$6:$C$40,1)),A147&lt;=INDEX(Sezoane!$D$6:$D$40,MATCH(A147,Sezoane!$C$6:$C$40,1))),INDEX('Prețuri de setat'!$F$5:$F$39,MATCH(A147,Sezoane!$C$6:$C$40,1)),"")</f>
        <v/>
      </c>
      <c r="G147" s="44" t="str">
        <f aca="false">IF(AND(ISNUMBER(MATCH(A147,Sezoane!$C$6:$C$40,1)),A147&lt;=INDEX(Sezoane!$D$6:$D$40,MATCH(A147,Sezoane!$C$6:$C$40,1))),INDEX('Prețuri de setat'!$G$5:$G$39,MATCH(A147,Sezoane!$C$6:$C$40,1)),"")</f>
        <v/>
      </c>
      <c r="H147" s="44" t="str">
        <f aca="false">IF(AND(ISNUMBER(MATCH(A147,Sezoane!$C$6:$C$40,1)),A147&lt;=INDEX(Sezoane!$D$6:$D$40,MATCH(A147,Sezoane!$C$6:$C$40,1))),INDEX('Prețuri de setat'!$H$5:$H$39,MATCH(A147,Sezoane!$C$6:$C$40,1)),"")</f>
        <v/>
      </c>
      <c r="I147" s="44" t="str">
        <f aca="false">IF(AND(ISNUMBER(MATCH(A147,Sezoane!$C$6:$C$40,1)),A147&lt;=INDEX(Sezoane!$D$6:$D$40,MATCH(A147,Sezoane!$C$6:$C$40,1))),INDEX('Prețuri de setat'!$I$5:$I$39,MATCH(A147,Sezoane!$C$6:$C$40,1)),"")</f>
        <v/>
      </c>
    </row>
    <row r="148" customFormat="false" ht="15" hidden="false" customHeight="false" outlineLevel="0" collapsed="false">
      <c r="A148" s="41" t="n">
        <f aca="false">$B$2+143</f>
        <v>46459</v>
      </c>
      <c r="B148" s="42" t="str">
        <f aca="false">CHOOSE(WEEKDAY(A148,2),"Lu","Ma","Mi","Jo","Vi","Sâ","Du")</f>
        <v>Sâ</v>
      </c>
      <c r="C148" s="42" t="str">
        <f aca="false">IF(AND(ISNUMBER(MATCH(A148,Sezoane!$C$6:$C$40,1)),A148&lt;=INDEX(Sezoane!$D$6:$D$40,MATCH(A148,Sezoane!$C$6:$C$40,1))),INDEX(Sezoane!$A$6:$A$40,MATCH(A148,Sezoane!$C$6:$C$40,1)),"⚠ fără sezon")</f>
        <v>⚠ fără sezon</v>
      </c>
      <c r="D148" s="42" t="str">
        <f aca="false">IF(AND(ISNUMBER(MATCH(A148,Sezoane!$C$6:$C$40,1)),A148&lt;=INDEX(Sezoane!$D$6:$D$40,MATCH(A148,Sezoane!$C$6:$C$40,1))),INDEX(Sezoane!$F$6:$F$40,MATCH(A148,Sezoane!$C$6:$C$40,1)),"")</f>
        <v/>
      </c>
      <c r="E148" s="44" t="str">
        <f aca="false">IF(AND(ISNUMBER(MATCH(A148,Sezoane!$C$6:$C$40,1)),A148&lt;=INDEX(Sezoane!$D$6:$D$40,MATCH(A148,Sezoane!$C$6:$C$40,1))),INDEX('Prețuri de setat'!$E$5:$E$39,MATCH(A148,Sezoane!$C$6:$C$40,1)),"")</f>
        <v/>
      </c>
      <c r="F148" s="44" t="str">
        <f aca="false">IF(AND(ISNUMBER(MATCH(A148,Sezoane!$C$6:$C$40,1)),A148&lt;=INDEX(Sezoane!$D$6:$D$40,MATCH(A148,Sezoane!$C$6:$C$40,1))),INDEX('Prețuri de setat'!$F$5:$F$39,MATCH(A148,Sezoane!$C$6:$C$40,1)),"")</f>
        <v/>
      </c>
      <c r="G148" s="44" t="str">
        <f aca="false">IF(AND(ISNUMBER(MATCH(A148,Sezoane!$C$6:$C$40,1)),A148&lt;=INDEX(Sezoane!$D$6:$D$40,MATCH(A148,Sezoane!$C$6:$C$40,1))),INDEX('Prețuri de setat'!$G$5:$G$39,MATCH(A148,Sezoane!$C$6:$C$40,1)),"")</f>
        <v/>
      </c>
      <c r="H148" s="44" t="str">
        <f aca="false">IF(AND(ISNUMBER(MATCH(A148,Sezoane!$C$6:$C$40,1)),A148&lt;=INDEX(Sezoane!$D$6:$D$40,MATCH(A148,Sezoane!$C$6:$C$40,1))),INDEX('Prețuri de setat'!$H$5:$H$39,MATCH(A148,Sezoane!$C$6:$C$40,1)),"")</f>
        <v/>
      </c>
      <c r="I148" s="44" t="str">
        <f aca="false">IF(AND(ISNUMBER(MATCH(A148,Sezoane!$C$6:$C$40,1)),A148&lt;=INDEX(Sezoane!$D$6:$D$40,MATCH(A148,Sezoane!$C$6:$C$40,1))),INDEX('Prețuri de setat'!$I$5:$I$39,MATCH(A148,Sezoane!$C$6:$C$40,1)),"")</f>
        <v/>
      </c>
    </row>
    <row r="149" customFormat="false" ht="15" hidden="false" customHeight="false" outlineLevel="0" collapsed="false">
      <c r="A149" s="41" t="n">
        <f aca="false">$B$2+144</f>
        <v>46460</v>
      </c>
      <c r="B149" s="42" t="str">
        <f aca="false">CHOOSE(WEEKDAY(A149,2),"Lu","Ma","Mi","Jo","Vi","Sâ","Du")</f>
        <v>Du</v>
      </c>
      <c r="C149" s="42" t="str">
        <f aca="false">IF(AND(ISNUMBER(MATCH(A149,Sezoane!$C$6:$C$40,1)),A149&lt;=INDEX(Sezoane!$D$6:$D$40,MATCH(A149,Sezoane!$C$6:$C$40,1))),INDEX(Sezoane!$A$6:$A$40,MATCH(A149,Sezoane!$C$6:$C$40,1)),"⚠ fără sezon")</f>
        <v>⚠ fără sezon</v>
      </c>
      <c r="D149" s="42" t="str">
        <f aca="false">IF(AND(ISNUMBER(MATCH(A149,Sezoane!$C$6:$C$40,1)),A149&lt;=INDEX(Sezoane!$D$6:$D$40,MATCH(A149,Sezoane!$C$6:$C$40,1))),INDEX(Sezoane!$F$6:$F$40,MATCH(A149,Sezoane!$C$6:$C$40,1)),"")</f>
        <v/>
      </c>
      <c r="E149" s="44" t="str">
        <f aca="false">IF(AND(ISNUMBER(MATCH(A149,Sezoane!$C$6:$C$40,1)),A149&lt;=INDEX(Sezoane!$D$6:$D$40,MATCH(A149,Sezoane!$C$6:$C$40,1))),INDEX('Prețuri de setat'!$E$5:$E$39,MATCH(A149,Sezoane!$C$6:$C$40,1)),"")</f>
        <v/>
      </c>
      <c r="F149" s="44" t="str">
        <f aca="false">IF(AND(ISNUMBER(MATCH(A149,Sezoane!$C$6:$C$40,1)),A149&lt;=INDEX(Sezoane!$D$6:$D$40,MATCH(A149,Sezoane!$C$6:$C$40,1))),INDEX('Prețuri de setat'!$F$5:$F$39,MATCH(A149,Sezoane!$C$6:$C$40,1)),"")</f>
        <v/>
      </c>
      <c r="G149" s="44" t="str">
        <f aca="false">IF(AND(ISNUMBER(MATCH(A149,Sezoane!$C$6:$C$40,1)),A149&lt;=INDEX(Sezoane!$D$6:$D$40,MATCH(A149,Sezoane!$C$6:$C$40,1))),INDEX('Prețuri de setat'!$G$5:$G$39,MATCH(A149,Sezoane!$C$6:$C$40,1)),"")</f>
        <v/>
      </c>
      <c r="H149" s="44" t="str">
        <f aca="false">IF(AND(ISNUMBER(MATCH(A149,Sezoane!$C$6:$C$40,1)),A149&lt;=INDEX(Sezoane!$D$6:$D$40,MATCH(A149,Sezoane!$C$6:$C$40,1))),INDEX('Prețuri de setat'!$H$5:$H$39,MATCH(A149,Sezoane!$C$6:$C$40,1)),"")</f>
        <v/>
      </c>
      <c r="I149" s="44" t="str">
        <f aca="false">IF(AND(ISNUMBER(MATCH(A149,Sezoane!$C$6:$C$40,1)),A149&lt;=INDEX(Sezoane!$D$6:$D$40,MATCH(A149,Sezoane!$C$6:$C$40,1))),INDEX('Prețuri de setat'!$I$5:$I$39,MATCH(A149,Sezoane!$C$6:$C$40,1)),"")</f>
        <v/>
      </c>
    </row>
    <row r="150" customFormat="false" ht="15" hidden="false" customHeight="false" outlineLevel="0" collapsed="false">
      <c r="A150" s="41" t="n">
        <f aca="false">$B$2+145</f>
        <v>46461</v>
      </c>
      <c r="B150" s="42" t="str">
        <f aca="false">CHOOSE(WEEKDAY(A150,2),"Lu","Ma","Mi","Jo","Vi","Sâ","Du")</f>
        <v>Lu</v>
      </c>
      <c r="C150" s="42" t="str">
        <f aca="false">IF(AND(ISNUMBER(MATCH(A150,Sezoane!$C$6:$C$40,1)),A150&lt;=INDEX(Sezoane!$D$6:$D$40,MATCH(A150,Sezoane!$C$6:$C$40,1))),INDEX(Sezoane!$A$6:$A$40,MATCH(A150,Sezoane!$C$6:$C$40,1)),"⚠ fără sezon")</f>
        <v>⚠ fără sezon</v>
      </c>
      <c r="D150" s="42" t="str">
        <f aca="false">IF(AND(ISNUMBER(MATCH(A150,Sezoane!$C$6:$C$40,1)),A150&lt;=INDEX(Sezoane!$D$6:$D$40,MATCH(A150,Sezoane!$C$6:$C$40,1))),INDEX(Sezoane!$F$6:$F$40,MATCH(A150,Sezoane!$C$6:$C$40,1)),"")</f>
        <v/>
      </c>
      <c r="E150" s="44" t="str">
        <f aca="false">IF(AND(ISNUMBER(MATCH(A150,Sezoane!$C$6:$C$40,1)),A150&lt;=INDEX(Sezoane!$D$6:$D$40,MATCH(A150,Sezoane!$C$6:$C$40,1))),INDEX('Prețuri de setat'!$E$5:$E$39,MATCH(A150,Sezoane!$C$6:$C$40,1)),"")</f>
        <v/>
      </c>
      <c r="F150" s="44" t="str">
        <f aca="false">IF(AND(ISNUMBER(MATCH(A150,Sezoane!$C$6:$C$40,1)),A150&lt;=INDEX(Sezoane!$D$6:$D$40,MATCH(A150,Sezoane!$C$6:$C$40,1))),INDEX('Prețuri de setat'!$F$5:$F$39,MATCH(A150,Sezoane!$C$6:$C$40,1)),"")</f>
        <v/>
      </c>
      <c r="G150" s="44" t="str">
        <f aca="false">IF(AND(ISNUMBER(MATCH(A150,Sezoane!$C$6:$C$40,1)),A150&lt;=INDEX(Sezoane!$D$6:$D$40,MATCH(A150,Sezoane!$C$6:$C$40,1))),INDEX('Prețuri de setat'!$G$5:$G$39,MATCH(A150,Sezoane!$C$6:$C$40,1)),"")</f>
        <v/>
      </c>
      <c r="H150" s="44" t="str">
        <f aca="false">IF(AND(ISNUMBER(MATCH(A150,Sezoane!$C$6:$C$40,1)),A150&lt;=INDEX(Sezoane!$D$6:$D$40,MATCH(A150,Sezoane!$C$6:$C$40,1))),INDEX('Prețuri de setat'!$H$5:$H$39,MATCH(A150,Sezoane!$C$6:$C$40,1)),"")</f>
        <v/>
      </c>
      <c r="I150" s="44" t="str">
        <f aca="false">IF(AND(ISNUMBER(MATCH(A150,Sezoane!$C$6:$C$40,1)),A150&lt;=INDEX(Sezoane!$D$6:$D$40,MATCH(A150,Sezoane!$C$6:$C$40,1))),INDEX('Prețuri de setat'!$I$5:$I$39,MATCH(A150,Sezoane!$C$6:$C$40,1)),"")</f>
        <v/>
      </c>
    </row>
    <row r="151" customFormat="false" ht="15" hidden="false" customHeight="false" outlineLevel="0" collapsed="false">
      <c r="A151" s="41" t="n">
        <f aca="false">$B$2+146</f>
        <v>46462</v>
      </c>
      <c r="B151" s="42" t="str">
        <f aca="false">CHOOSE(WEEKDAY(A151,2),"Lu","Ma","Mi","Jo","Vi","Sâ","Du")</f>
        <v>Ma</v>
      </c>
      <c r="C151" s="42" t="str">
        <f aca="false">IF(AND(ISNUMBER(MATCH(A151,Sezoane!$C$6:$C$40,1)),A151&lt;=INDEX(Sezoane!$D$6:$D$40,MATCH(A151,Sezoane!$C$6:$C$40,1))),INDEX(Sezoane!$A$6:$A$40,MATCH(A151,Sezoane!$C$6:$C$40,1)),"⚠ fără sezon")</f>
        <v>⚠ fără sezon</v>
      </c>
      <c r="D151" s="42" t="str">
        <f aca="false">IF(AND(ISNUMBER(MATCH(A151,Sezoane!$C$6:$C$40,1)),A151&lt;=INDEX(Sezoane!$D$6:$D$40,MATCH(A151,Sezoane!$C$6:$C$40,1))),INDEX(Sezoane!$F$6:$F$40,MATCH(A151,Sezoane!$C$6:$C$40,1)),"")</f>
        <v/>
      </c>
      <c r="E151" s="44" t="str">
        <f aca="false">IF(AND(ISNUMBER(MATCH(A151,Sezoane!$C$6:$C$40,1)),A151&lt;=INDEX(Sezoane!$D$6:$D$40,MATCH(A151,Sezoane!$C$6:$C$40,1))),INDEX('Prețuri de setat'!$E$5:$E$39,MATCH(A151,Sezoane!$C$6:$C$40,1)),"")</f>
        <v/>
      </c>
      <c r="F151" s="44" t="str">
        <f aca="false">IF(AND(ISNUMBER(MATCH(A151,Sezoane!$C$6:$C$40,1)),A151&lt;=INDEX(Sezoane!$D$6:$D$40,MATCH(A151,Sezoane!$C$6:$C$40,1))),INDEX('Prețuri de setat'!$F$5:$F$39,MATCH(A151,Sezoane!$C$6:$C$40,1)),"")</f>
        <v/>
      </c>
      <c r="G151" s="44" t="str">
        <f aca="false">IF(AND(ISNUMBER(MATCH(A151,Sezoane!$C$6:$C$40,1)),A151&lt;=INDEX(Sezoane!$D$6:$D$40,MATCH(A151,Sezoane!$C$6:$C$40,1))),INDEX('Prețuri de setat'!$G$5:$G$39,MATCH(A151,Sezoane!$C$6:$C$40,1)),"")</f>
        <v/>
      </c>
      <c r="H151" s="44" t="str">
        <f aca="false">IF(AND(ISNUMBER(MATCH(A151,Sezoane!$C$6:$C$40,1)),A151&lt;=INDEX(Sezoane!$D$6:$D$40,MATCH(A151,Sezoane!$C$6:$C$40,1))),INDEX('Prețuri de setat'!$H$5:$H$39,MATCH(A151,Sezoane!$C$6:$C$40,1)),"")</f>
        <v/>
      </c>
      <c r="I151" s="44" t="str">
        <f aca="false">IF(AND(ISNUMBER(MATCH(A151,Sezoane!$C$6:$C$40,1)),A151&lt;=INDEX(Sezoane!$D$6:$D$40,MATCH(A151,Sezoane!$C$6:$C$40,1))),INDEX('Prețuri de setat'!$I$5:$I$39,MATCH(A151,Sezoane!$C$6:$C$40,1)),"")</f>
        <v/>
      </c>
    </row>
    <row r="152" customFormat="false" ht="15" hidden="false" customHeight="false" outlineLevel="0" collapsed="false">
      <c r="A152" s="41" t="n">
        <f aca="false">$B$2+147</f>
        <v>46463</v>
      </c>
      <c r="B152" s="42" t="str">
        <f aca="false">CHOOSE(WEEKDAY(A152,2),"Lu","Ma","Mi","Jo","Vi","Sâ","Du")</f>
        <v>Mi</v>
      </c>
      <c r="C152" s="42" t="str">
        <f aca="false">IF(AND(ISNUMBER(MATCH(A152,Sezoane!$C$6:$C$40,1)),A152&lt;=INDEX(Sezoane!$D$6:$D$40,MATCH(A152,Sezoane!$C$6:$C$40,1))),INDEX(Sezoane!$A$6:$A$40,MATCH(A152,Sezoane!$C$6:$C$40,1)),"⚠ fără sezon")</f>
        <v>⚠ fără sezon</v>
      </c>
      <c r="D152" s="42" t="str">
        <f aca="false">IF(AND(ISNUMBER(MATCH(A152,Sezoane!$C$6:$C$40,1)),A152&lt;=INDEX(Sezoane!$D$6:$D$40,MATCH(A152,Sezoane!$C$6:$C$40,1))),INDEX(Sezoane!$F$6:$F$40,MATCH(A152,Sezoane!$C$6:$C$40,1)),"")</f>
        <v/>
      </c>
      <c r="E152" s="44" t="str">
        <f aca="false">IF(AND(ISNUMBER(MATCH(A152,Sezoane!$C$6:$C$40,1)),A152&lt;=INDEX(Sezoane!$D$6:$D$40,MATCH(A152,Sezoane!$C$6:$C$40,1))),INDEX('Prețuri de setat'!$E$5:$E$39,MATCH(A152,Sezoane!$C$6:$C$40,1)),"")</f>
        <v/>
      </c>
      <c r="F152" s="44" t="str">
        <f aca="false">IF(AND(ISNUMBER(MATCH(A152,Sezoane!$C$6:$C$40,1)),A152&lt;=INDEX(Sezoane!$D$6:$D$40,MATCH(A152,Sezoane!$C$6:$C$40,1))),INDEX('Prețuri de setat'!$F$5:$F$39,MATCH(A152,Sezoane!$C$6:$C$40,1)),"")</f>
        <v/>
      </c>
      <c r="G152" s="44" t="str">
        <f aca="false">IF(AND(ISNUMBER(MATCH(A152,Sezoane!$C$6:$C$40,1)),A152&lt;=INDEX(Sezoane!$D$6:$D$40,MATCH(A152,Sezoane!$C$6:$C$40,1))),INDEX('Prețuri de setat'!$G$5:$G$39,MATCH(A152,Sezoane!$C$6:$C$40,1)),"")</f>
        <v/>
      </c>
      <c r="H152" s="44" t="str">
        <f aca="false">IF(AND(ISNUMBER(MATCH(A152,Sezoane!$C$6:$C$40,1)),A152&lt;=INDEX(Sezoane!$D$6:$D$40,MATCH(A152,Sezoane!$C$6:$C$40,1))),INDEX('Prețuri de setat'!$H$5:$H$39,MATCH(A152,Sezoane!$C$6:$C$40,1)),"")</f>
        <v/>
      </c>
      <c r="I152" s="44" t="str">
        <f aca="false">IF(AND(ISNUMBER(MATCH(A152,Sezoane!$C$6:$C$40,1)),A152&lt;=INDEX(Sezoane!$D$6:$D$40,MATCH(A152,Sezoane!$C$6:$C$40,1))),INDEX('Prețuri de setat'!$I$5:$I$39,MATCH(A152,Sezoane!$C$6:$C$40,1)),"")</f>
        <v/>
      </c>
    </row>
    <row r="153" customFormat="false" ht="15" hidden="false" customHeight="false" outlineLevel="0" collapsed="false">
      <c r="A153" s="41" t="n">
        <f aca="false">$B$2+148</f>
        <v>46464</v>
      </c>
      <c r="B153" s="42" t="str">
        <f aca="false">CHOOSE(WEEKDAY(A153,2),"Lu","Ma","Mi","Jo","Vi","Sâ","Du")</f>
        <v>Jo</v>
      </c>
      <c r="C153" s="42" t="str">
        <f aca="false">IF(AND(ISNUMBER(MATCH(A153,Sezoane!$C$6:$C$40,1)),A153&lt;=INDEX(Sezoane!$D$6:$D$40,MATCH(A153,Sezoane!$C$6:$C$40,1))),INDEX(Sezoane!$A$6:$A$40,MATCH(A153,Sezoane!$C$6:$C$40,1)),"⚠ fără sezon")</f>
        <v>⚠ fără sezon</v>
      </c>
      <c r="D153" s="42" t="str">
        <f aca="false">IF(AND(ISNUMBER(MATCH(A153,Sezoane!$C$6:$C$40,1)),A153&lt;=INDEX(Sezoane!$D$6:$D$40,MATCH(A153,Sezoane!$C$6:$C$40,1))),INDEX(Sezoane!$F$6:$F$40,MATCH(A153,Sezoane!$C$6:$C$40,1)),"")</f>
        <v/>
      </c>
      <c r="E153" s="44" t="str">
        <f aca="false">IF(AND(ISNUMBER(MATCH(A153,Sezoane!$C$6:$C$40,1)),A153&lt;=INDEX(Sezoane!$D$6:$D$40,MATCH(A153,Sezoane!$C$6:$C$40,1))),INDEX('Prețuri de setat'!$E$5:$E$39,MATCH(A153,Sezoane!$C$6:$C$40,1)),"")</f>
        <v/>
      </c>
      <c r="F153" s="44" t="str">
        <f aca="false">IF(AND(ISNUMBER(MATCH(A153,Sezoane!$C$6:$C$40,1)),A153&lt;=INDEX(Sezoane!$D$6:$D$40,MATCH(A153,Sezoane!$C$6:$C$40,1))),INDEX('Prețuri de setat'!$F$5:$F$39,MATCH(A153,Sezoane!$C$6:$C$40,1)),"")</f>
        <v/>
      </c>
      <c r="G153" s="44" t="str">
        <f aca="false">IF(AND(ISNUMBER(MATCH(A153,Sezoane!$C$6:$C$40,1)),A153&lt;=INDEX(Sezoane!$D$6:$D$40,MATCH(A153,Sezoane!$C$6:$C$40,1))),INDEX('Prețuri de setat'!$G$5:$G$39,MATCH(A153,Sezoane!$C$6:$C$40,1)),"")</f>
        <v/>
      </c>
      <c r="H153" s="44" t="str">
        <f aca="false">IF(AND(ISNUMBER(MATCH(A153,Sezoane!$C$6:$C$40,1)),A153&lt;=INDEX(Sezoane!$D$6:$D$40,MATCH(A153,Sezoane!$C$6:$C$40,1))),INDEX('Prețuri de setat'!$H$5:$H$39,MATCH(A153,Sezoane!$C$6:$C$40,1)),"")</f>
        <v/>
      </c>
      <c r="I153" s="44" t="str">
        <f aca="false">IF(AND(ISNUMBER(MATCH(A153,Sezoane!$C$6:$C$40,1)),A153&lt;=INDEX(Sezoane!$D$6:$D$40,MATCH(A153,Sezoane!$C$6:$C$40,1))),INDEX('Prețuri de setat'!$I$5:$I$39,MATCH(A153,Sezoane!$C$6:$C$40,1)),"")</f>
        <v/>
      </c>
    </row>
    <row r="154" customFormat="false" ht="15" hidden="false" customHeight="false" outlineLevel="0" collapsed="false">
      <c r="A154" s="41" t="n">
        <f aca="false">$B$2+149</f>
        <v>46465</v>
      </c>
      <c r="B154" s="42" t="str">
        <f aca="false">CHOOSE(WEEKDAY(A154,2),"Lu","Ma","Mi","Jo","Vi","Sâ","Du")</f>
        <v>Vi</v>
      </c>
      <c r="C154" s="42" t="str">
        <f aca="false">IF(AND(ISNUMBER(MATCH(A154,Sezoane!$C$6:$C$40,1)),A154&lt;=INDEX(Sezoane!$D$6:$D$40,MATCH(A154,Sezoane!$C$6:$C$40,1))),INDEX(Sezoane!$A$6:$A$40,MATCH(A154,Sezoane!$C$6:$C$40,1)),"⚠ fără sezon")</f>
        <v>⚠ fără sezon</v>
      </c>
      <c r="D154" s="42" t="str">
        <f aca="false">IF(AND(ISNUMBER(MATCH(A154,Sezoane!$C$6:$C$40,1)),A154&lt;=INDEX(Sezoane!$D$6:$D$40,MATCH(A154,Sezoane!$C$6:$C$40,1))),INDEX(Sezoane!$F$6:$F$40,MATCH(A154,Sezoane!$C$6:$C$40,1)),"")</f>
        <v/>
      </c>
      <c r="E154" s="44" t="str">
        <f aca="false">IF(AND(ISNUMBER(MATCH(A154,Sezoane!$C$6:$C$40,1)),A154&lt;=INDEX(Sezoane!$D$6:$D$40,MATCH(A154,Sezoane!$C$6:$C$40,1))),INDEX('Prețuri de setat'!$E$5:$E$39,MATCH(A154,Sezoane!$C$6:$C$40,1)),"")</f>
        <v/>
      </c>
      <c r="F154" s="44" t="str">
        <f aca="false">IF(AND(ISNUMBER(MATCH(A154,Sezoane!$C$6:$C$40,1)),A154&lt;=INDEX(Sezoane!$D$6:$D$40,MATCH(A154,Sezoane!$C$6:$C$40,1))),INDEX('Prețuri de setat'!$F$5:$F$39,MATCH(A154,Sezoane!$C$6:$C$40,1)),"")</f>
        <v/>
      </c>
      <c r="G154" s="44" t="str">
        <f aca="false">IF(AND(ISNUMBER(MATCH(A154,Sezoane!$C$6:$C$40,1)),A154&lt;=INDEX(Sezoane!$D$6:$D$40,MATCH(A154,Sezoane!$C$6:$C$40,1))),INDEX('Prețuri de setat'!$G$5:$G$39,MATCH(A154,Sezoane!$C$6:$C$40,1)),"")</f>
        <v/>
      </c>
      <c r="H154" s="44" t="str">
        <f aca="false">IF(AND(ISNUMBER(MATCH(A154,Sezoane!$C$6:$C$40,1)),A154&lt;=INDEX(Sezoane!$D$6:$D$40,MATCH(A154,Sezoane!$C$6:$C$40,1))),INDEX('Prețuri de setat'!$H$5:$H$39,MATCH(A154,Sezoane!$C$6:$C$40,1)),"")</f>
        <v/>
      </c>
      <c r="I154" s="44" t="str">
        <f aca="false">IF(AND(ISNUMBER(MATCH(A154,Sezoane!$C$6:$C$40,1)),A154&lt;=INDEX(Sezoane!$D$6:$D$40,MATCH(A154,Sezoane!$C$6:$C$40,1))),INDEX('Prețuri de setat'!$I$5:$I$39,MATCH(A154,Sezoane!$C$6:$C$40,1)),"")</f>
        <v/>
      </c>
    </row>
    <row r="155" customFormat="false" ht="15" hidden="false" customHeight="false" outlineLevel="0" collapsed="false">
      <c r="A155" s="41" t="n">
        <f aca="false">$B$2+150</f>
        <v>46466</v>
      </c>
      <c r="B155" s="42" t="str">
        <f aca="false">CHOOSE(WEEKDAY(A155,2),"Lu","Ma","Mi","Jo","Vi","Sâ","Du")</f>
        <v>Sâ</v>
      </c>
      <c r="C155" s="42" t="str">
        <f aca="false">IF(AND(ISNUMBER(MATCH(A155,Sezoane!$C$6:$C$40,1)),A155&lt;=INDEX(Sezoane!$D$6:$D$40,MATCH(A155,Sezoane!$C$6:$C$40,1))),INDEX(Sezoane!$A$6:$A$40,MATCH(A155,Sezoane!$C$6:$C$40,1)),"⚠ fără sezon")</f>
        <v>⚠ fără sezon</v>
      </c>
      <c r="D155" s="42" t="str">
        <f aca="false">IF(AND(ISNUMBER(MATCH(A155,Sezoane!$C$6:$C$40,1)),A155&lt;=INDEX(Sezoane!$D$6:$D$40,MATCH(A155,Sezoane!$C$6:$C$40,1))),INDEX(Sezoane!$F$6:$F$40,MATCH(A155,Sezoane!$C$6:$C$40,1)),"")</f>
        <v/>
      </c>
      <c r="E155" s="44" t="str">
        <f aca="false">IF(AND(ISNUMBER(MATCH(A155,Sezoane!$C$6:$C$40,1)),A155&lt;=INDEX(Sezoane!$D$6:$D$40,MATCH(A155,Sezoane!$C$6:$C$40,1))),INDEX('Prețuri de setat'!$E$5:$E$39,MATCH(A155,Sezoane!$C$6:$C$40,1)),"")</f>
        <v/>
      </c>
      <c r="F155" s="44" t="str">
        <f aca="false">IF(AND(ISNUMBER(MATCH(A155,Sezoane!$C$6:$C$40,1)),A155&lt;=INDEX(Sezoane!$D$6:$D$40,MATCH(A155,Sezoane!$C$6:$C$40,1))),INDEX('Prețuri de setat'!$F$5:$F$39,MATCH(A155,Sezoane!$C$6:$C$40,1)),"")</f>
        <v/>
      </c>
      <c r="G155" s="44" t="str">
        <f aca="false">IF(AND(ISNUMBER(MATCH(A155,Sezoane!$C$6:$C$40,1)),A155&lt;=INDEX(Sezoane!$D$6:$D$40,MATCH(A155,Sezoane!$C$6:$C$40,1))),INDEX('Prețuri de setat'!$G$5:$G$39,MATCH(A155,Sezoane!$C$6:$C$40,1)),"")</f>
        <v/>
      </c>
      <c r="H155" s="44" t="str">
        <f aca="false">IF(AND(ISNUMBER(MATCH(A155,Sezoane!$C$6:$C$40,1)),A155&lt;=INDEX(Sezoane!$D$6:$D$40,MATCH(A155,Sezoane!$C$6:$C$40,1))),INDEX('Prețuri de setat'!$H$5:$H$39,MATCH(A155,Sezoane!$C$6:$C$40,1)),"")</f>
        <v/>
      </c>
      <c r="I155" s="44" t="str">
        <f aca="false">IF(AND(ISNUMBER(MATCH(A155,Sezoane!$C$6:$C$40,1)),A155&lt;=INDEX(Sezoane!$D$6:$D$40,MATCH(A155,Sezoane!$C$6:$C$40,1))),INDEX('Prețuri de setat'!$I$5:$I$39,MATCH(A155,Sezoane!$C$6:$C$40,1)),"")</f>
        <v/>
      </c>
    </row>
    <row r="156" customFormat="false" ht="15" hidden="false" customHeight="false" outlineLevel="0" collapsed="false">
      <c r="A156" s="41" t="n">
        <f aca="false">$B$2+151</f>
        <v>46467</v>
      </c>
      <c r="B156" s="42" t="str">
        <f aca="false">CHOOSE(WEEKDAY(A156,2),"Lu","Ma","Mi","Jo","Vi","Sâ","Du")</f>
        <v>Du</v>
      </c>
      <c r="C156" s="42" t="str">
        <f aca="false">IF(AND(ISNUMBER(MATCH(A156,Sezoane!$C$6:$C$40,1)),A156&lt;=INDEX(Sezoane!$D$6:$D$40,MATCH(A156,Sezoane!$C$6:$C$40,1))),INDEX(Sezoane!$A$6:$A$40,MATCH(A156,Sezoane!$C$6:$C$40,1)),"⚠ fără sezon")</f>
        <v>⚠ fără sezon</v>
      </c>
      <c r="D156" s="42" t="str">
        <f aca="false">IF(AND(ISNUMBER(MATCH(A156,Sezoane!$C$6:$C$40,1)),A156&lt;=INDEX(Sezoane!$D$6:$D$40,MATCH(A156,Sezoane!$C$6:$C$40,1))),INDEX(Sezoane!$F$6:$F$40,MATCH(A156,Sezoane!$C$6:$C$40,1)),"")</f>
        <v/>
      </c>
      <c r="E156" s="44" t="str">
        <f aca="false">IF(AND(ISNUMBER(MATCH(A156,Sezoane!$C$6:$C$40,1)),A156&lt;=INDEX(Sezoane!$D$6:$D$40,MATCH(A156,Sezoane!$C$6:$C$40,1))),INDEX('Prețuri de setat'!$E$5:$E$39,MATCH(A156,Sezoane!$C$6:$C$40,1)),"")</f>
        <v/>
      </c>
      <c r="F156" s="44" t="str">
        <f aca="false">IF(AND(ISNUMBER(MATCH(A156,Sezoane!$C$6:$C$40,1)),A156&lt;=INDEX(Sezoane!$D$6:$D$40,MATCH(A156,Sezoane!$C$6:$C$40,1))),INDEX('Prețuri de setat'!$F$5:$F$39,MATCH(A156,Sezoane!$C$6:$C$40,1)),"")</f>
        <v/>
      </c>
      <c r="G156" s="44" t="str">
        <f aca="false">IF(AND(ISNUMBER(MATCH(A156,Sezoane!$C$6:$C$40,1)),A156&lt;=INDEX(Sezoane!$D$6:$D$40,MATCH(A156,Sezoane!$C$6:$C$40,1))),INDEX('Prețuri de setat'!$G$5:$G$39,MATCH(A156,Sezoane!$C$6:$C$40,1)),"")</f>
        <v/>
      </c>
      <c r="H156" s="44" t="str">
        <f aca="false">IF(AND(ISNUMBER(MATCH(A156,Sezoane!$C$6:$C$40,1)),A156&lt;=INDEX(Sezoane!$D$6:$D$40,MATCH(A156,Sezoane!$C$6:$C$40,1))),INDEX('Prețuri de setat'!$H$5:$H$39,MATCH(A156,Sezoane!$C$6:$C$40,1)),"")</f>
        <v/>
      </c>
      <c r="I156" s="44" t="str">
        <f aca="false">IF(AND(ISNUMBER(MATCH(A156,Sezoane!$C$6:$C$40,1)),A156&lt;=INDEX(Sezoane!$D$6:$D$40,MATCH(A156,Sezoane!$C$6:$C$40,1))),INDEX('Prețuri de setat'!$I$5:$I$39,MATCH(A156,Sezoane!$C$6:$C$40,1)),"")</f>
        <v/>
      </c>
    </row>
    <row r="157" customFormat="false" ht="15" hidden="false" customHeight="false" outlineLevel="0" collapsed="false">
      <c r="A157" s="41" t="n">
        <f aca="false">$B$2+152</f>
        <v>46468</v>
      </c>
      <c r="B157" s="42" t="str">
        <f aca="false">CHOOSE(WEEKDAY(A157,2),"Lu","Ma","Mi","Jo","Vi","Sâ","Du")</f>
        <v>Lu</v>
      </c>
      <c r="C157" s="42" t="str">
        <f aca="false">IF(AND(ISNUMBER(MATCH(A157,Sezoane!$C$6:$C$40,1)),A157&lt;=INDEX(Sezoane!$D$6:$D$40,MATCH(A157,Sezoane!$C$6:$C$40,1))),INDEX(Sezoane!$A$6:$A$40,MATCH(A157,Sezoane!$C$6:$C$40,1)),"⚠ fără sezon")</f>
        <v>⚠ fără sezon</v>
      </c>
      <c r="D157" s="42" t="str">
        <f aca="false">IF(AND(ISNUMBER(MATCH(A157,Sezoane!$C$6:$C$40,1)),A157&lt;=INDEX(Sezoane!$D$6:$D$40,MATCH(A157,Sezoane!$C$6:$C$40,1))),INDEX(Sezoane!$F$6:$F$40,MATCH(A157,Sezoane!$C$6:$C$40,1)),"")</f>
        <v/>
      </c>
      <c r="E157" s="44" t="str">
        <f aca="false">IF(AND(ISNUMBER(MATCH(A157,Sezoane!$C$6:$C$40,1)),A157&lt;=INDEX(Sezoane!$D$6:$D$40,MATCH(A157,Sezoane!$C$6:$C$40,1))),INDEX('Prețuri de setat'!$E$5:$E$39,MATCH(A157,Sezoane!$C$6:$C$40,1)),"")</f>
        <v/>
      </c>
      <c r="F157" s="44" t="str">
        <f aca="false">IF(AND(ISNUMBER(MATCH(A157,Sezoane!$C$6:$C$40,1)),A157&lt;=INDEX(Sezoane!$D$6:$D$40,MATCH(A157,Sezoane!$C$6:$C$40,1))),INDEX('Prețuri de setat'!$F$5:$F$39,MATCH(A157,Sezoane!$C$6:$C$40,1)),"")</f>
        <v/>
      </c>
      <c r="G157" s="44" t="str">
        <f aca="false">IF(AND(ISNUMBER(MATCH(A157,Sezoane!$C$6:$C$40,1)),A157&lt;=INDEX(Sezoane!$D$6:$D$40,MATCH(A157,Sezoane!$C$6:$C$40,1))),INDEX('Prețuri de setat'!$G$5:$G$39,MATCH(A157,Sezoane!$C$6:$C$40,1)),"")</f>
        <v/>
      </c>
      <c r="H157" s="44" t="str">
        <f aca="false">IF(AND(ISNUMBER(MATCH(A157,Sezoane!$C$6:$C$40,1)),A157&lt;=INDEX(Sezoane!$D$6:$D$40,MATCH(A157,Sezoane!$C$6:$C$40,1))),INDEX('Prețuri de setat'!$H$5:$H$39,MATCH(A157,Sezoane!$C$6:$C$40,1)),"")</f>
        <v/>
      </c>
      <c r="I157" s="44" t="str">
        <f aca="false">IF(AND(ISNUMBER(MATCH(A157,Sezoane!$C$6:$C$40,1)),A157&lt;=INDEX(Sezoane!$D$6:$D$40,MATCH(A157,Sezoane!$C$6:$C$40,1))),INDEX('Prețuri de setat'!$I$5:$I$39,MATCH(A157,Sezoane!$C$6:$C$40,1)),"")</f>
        <v/>
      </c>
    </row>
    <row r="158" customFormat="false" ht="15" hidden="false" customHeight="false" outlineLevel="0" collapsed="false">
      <c r="A158" s="41" t="n">
        <f aca="false">$B$2+153</f>
        <v>46469</v>
      </c>
      <c r="B158" s="42" t="str">
        <f aca="false">CHOOSE(WEEKDAY(A158,2),"Lu","Ma","Mi","Jo","Vi","Sâ","Du")</f>
        <v>Ma</v>
      </c>
      <c r="C158" s="42" t="str">
        <f aca="false">IF(AND(ISNUMBER(MATCH(A158,Sezoane!$C$6:$C$40,1)),A158&lt;=INDEX(Sezoane!$D$6:$D$40,MATCH(A158,Sezoane!$C$6:$C$40,1))),INDEX(Sezoane!$A$6:$A$40,MATCH(A158,Sezoane!$C$6:$C$40,1)),"⚠ fără sezon")</f>
        <v>⚠ fără sezon</v>
      </c>
      <c r="D158" s="42" t="str">
        <f aca="false">IF(AND(ISNUMBER(MATCH(A158,Sezoane!$C$6:$C$40,1)),A158&lt;=INDEX(Sezoane!$D$6:$D$40,MATCH(A158,Sezoane!$C$6:$C$40,1))),INDEX(Sezoane!$F$6:$F$40,MATCH(A158,Sezoane!$C$6:$C$40,1)),"")</f>
        <v/>
      </c>
      <c r="E158" s="44" t="str">
        <f aca="false">IF(AND(ISNUMBER(MATCH(A158,Sezoane!$C$6:$C$40,1)),A158&lt;=INDEX(Sezoane!$D$6:$D$40,MATCH(A158,Sezoane!$C$6:$C$40,1))),INDEX('Prețuri de setat'!$E$5:$E$39,MATCH(A158,Sezoane!$C$6:$C$40,1)),"")</f>
        <v/>
      </c>
      <c r="F158" s="44" t="str">
        <f aca="false">IF(AND(ISNUMBER(MATCH(A158,Sezoane!$C$6:$C$40,1)),A158&lt;=INDEX(Sezoane!$D$6:$D$40,MATCH(A158,Sezoane!$C$6:$C$40,1))),INDEX('Prețuri de setat'!$F$5:$F$39,MATCH(A158,Sezoane!$C$6:$C$40,1)),"")</f>
        <v/>
      </c>
      <c r="G158" s="44" t="str">
        <f aca="false">IF(AND(ISNUMBER(MATCH(A158,Sezoane!$C$6:$C$40,1)),A158&lt;=INDEX(Sezoane!$D$6:$D$40,MATCH(A158,Sezoane!$C$6:$C$40,1))),INDEX('Prețuri de setat'!$G$5:$G$39,MATCH(A158,Sezoane!$C$6:$C$40,1)),"")</f>
        <v/>
      </c>
      <c r="H158" s="44" t="str">
        <f aca="false">IF(AND(ISNUMBER(MATCH(A158,Sezoane!$C$6:$C$40,1)),A158&lt;=INDEX(Sezoane!$D$6:$D$40,MATCH(A158,Sezoane!$C$6:$C$40,1))),INDEX('Prețuri de setat'!$H$5:$H$39,MATCH(A158,Sezoane!$C$6:$C$40,1)),"")</f>
        <v/>
      </c>
      <c r="I158" s="44" t="str">
        <f aca="false">IF(AND(ISNUMBER(MATCH(A158,Sezoane!$C$6:$C$40,1)),A158&lt;=INDEX(Sezoane!$D$6:$D$40,MATCH(A158,Sezoane!$C$6:$C$40,1))),INDEX('Prețuri de setat'!$I$5:$I$39,MATCH(A158,Sezoane!$C$6:$C$40,1)),"")</f>
        <v/>
      </c>
    </row>
    <row r="159" customFormat="false" ht="15" hidden="false" customHeight="false" outlineLevel="0" collapsed="false">
      <c r="A159" s="41" t="n">
        <f aca="false">$B$2+154</f>
        <v>46470</v>
      </c>
      <c r="B159" s="42" t="str">
        <f aca="false">CHOOSE(WEEKDAY(A159,2),"Lu","Ma","Mi","Jo","Vi","Sâ","Du")</f>
        <v>Mi</v>
      </c>
      <c r="C159" s="42" t="str">
        <f aca="false">IF(AND(ISNUMBER(MATCH(A159,Sezoane!$C$6:$C$40,1)),A159&lt;=INDEX(Sezoane!$D$6:$D$40,MATCH(A159,Sezoane!$C$6:$C$40,1))),INDEX(Sezoane!$A$6:$A$40,MATCH(A159,Sezoane!$C$6:$C$40,1)),"⚠ fără sezon")</f>
        <v>⚠ fără sezon</v>
      </c>
      <c r="D159" s="42" t="str">
        <f aca="false">IF(AND(ISNUMBER(MATCH(A159,Sezoane!$C$6:$C$40,1)),A159&lt;=INDEX(Sezoane!$D$6:$D$40,MATCH(A159,Sezoane!$C$6:$C$40,1))),INDEX(Sezoane!$F$6:$F$40,MATCH(A159,Sezoane!$C$6:$C$40,1)),"")</f>
        <v/>
      </c>
      <c r="E159" s="44" t="str">
        <f aca="false">IF(AND(ISNUMBER(MATCH(A159,Sezoane!$C$6:$C$40,1)),A159&lt;=INDEX(Sezoane!$D$6:$D$40,MATCH(A159,Sezoane!$C$6:$C$40,1))),INDEX('Prețuri de setat'!$E$5:$E$39,MATCH(A159,Sezoane!$C$6:$C$40,1)),"")</f>
        <v/>
      </c>
      <c r="F159" s="44" t="str">
        <f aca="false">IF(AND(ISNUMBER(MATCH(A159,Sezoane!$C$6:$C$40,1)),A159&lt;=INDEX(Sezoane!$D$6:$D$40,MATCH(A159,Sezoane!$C$6:$C$40,1))),INDEX('Prețuri de setat'!$F$5:$F$39,MATCH(A159,Sezoane!$C$6:$C$40,1)),"")</f>
        <v/>
      </c>
      <c r="G159" s="44" t="str">
        <f aca="false">IF(AND(ISNUMBER(MATCH(A159,Sezoane!$C$6:$C$40,1)),A159&lt;=INDEX(Sezoane!$D$6:$D$40,MATCH(A159,Sezoane!$C$6:$C$40,1))),INDEX('Prețuri de setat'!$G$5:$G$39,MATCH(A159,Sezoane!$C$6:$C$40,1)),"")</f>
        <v/>
      </c>
      <c r="H159" s="44" t="str">
        <f aca="false">IF(AND(ISNUMBER(MATCH(A159,Sezoane!$C$6:$C$40,1)),A159&lt;=INDEX(Sezoane!$D$6:$D$40,MATCH(A159,Sezoane!$C$6:$C$40,1))),INDEX('Prețuri de setat'!$H$5:$H$39,MATCH(A159,Sezoane!$C$6:$C$40,1)),"")</f>
        <v/>
      </c>
      <c r="I159" s="44" t="str">
        <f aca="false">IF(AND(ISNUMBER(MATCH(A159,Sezoane!$C$6:$C$40,1)),A159&lt;=INDEX(Sezoane!$D$6:$D$40,MATCH(A159,Sezoane!$C$6:$C$40,1))),INDEX('Prețuri de setat'!$I$5:$I$39,MATCH(A159,Sezoane!$C$6:$C$40,1)),"")</f>
        <v/>
      </c>
    </row>
    <row r="160" customFormat="false" ht="15" hidden="false" customHeight="false" outlineLevel="0" collapsed="false">
      <c r="A160" s="41" t="n">
        <f aca="false">$B$2+155</f>
        <v>46471</v>
      </c>
      <c r="B160" s="42" t="str">
        <f aca="false">CHOOSE(WEEKDAY(A160,2),"Lu","Ma","Mi","Jo","Vi","Sâ","Du")</f>
        <v>Jo</v>
      </c>
      <c r="C160" s="42" t="str">
        <f aca="false">IF(AND(ISNUMBER(MATCH(A160,Sezoane!$C$6:$C$40,1)),A160&lt;=INDEX(Sezoane!$D$6:$D$40,MATCH(A160,Sezoane!$C$6:$C$40,1))),INDEX(Sezoane!$A$6:$A$40,MATCH(A160,Sezoane!$C$6:$C$40,1)),"⚠ fără sezon")</f>
        <v>⚠ fără sezon</v>
      </c>
      <c r="D160" s="42" t="str">
        <f aca="false">IF(AND(ISNUMBER(MATCH(A160,Sezoane!$C$6:$C$40,1)),A160&lt;=INDEX(Sezoane!$D$6:$D$40,MATCH(A160,Sezoane!$C$6:$C$40,1))),INDEX(Sezoane!$F$6:$F$40,MATCH(A160,Sezoane!$C$6:$C$40,1)),"")</f>
        <v/>
      </c>
      <c r="E160" s="44" t="str">
        <f aca="false">IF(AND(ISNUMBER(MATCH(A160,Sezoane!$C$6:$C$40,1)),A160&lt;=INDEX(Sezoane!$D$6:$D$40,MATCH(A160,Sezoane!$C$6:$C$40,1))),INDEX('Prețuri de setat'!$E$5:$E$39,MATCH(A160,Sezoane!$C$6:$C$40,1)),"")</f>
        <v/>
      </c>
      <c r="F160" s="44" t="str">
        <f aca="false">IF(AND(ISNUMBER(MATCH(A160,Sezoane!$C$6:$C$40,1)),A160&lt;=INDEX(Sezoane!$D$6:$D$40,MATCH(A160,Sezoane!$C$6:$C$40,1))),INDEX('Prețuri de setat'!$F$5:$F$39,MATCH(A160,Sezoane!$C$6:$C$40,1)),"")</f>
        <v/>
      </c>
      <c r="G160" s="44" t="str">
        <f aca="false">IF(AND(ISNUMBER(MATCH(A160,Sezoane!$C$6:$C$40,1)),A160&lt;=INDEX(Sezoane!$D$6:$D$40,MATCH(A160,Sezoane!$C$6:$C$40,1))),INDEX('Prețuri de setat'!$G$5:$G$39,MATCH(A160,Sezoane!$C$6:$C$40,1)),"")</f>
        <v/>
      </c>
      <c r="H160" s="44" t="str">
        <f aca="false">IF(AND(ISNUMBER(MATCH(A160,Sezoane!$C$6:$C$40,1)),A160&lt;=INDEX(Sezoane!$D$6:$D$40,MATCH(A160,Sezoane!$C$6:$C$40,1))),INDEX('Prețuri de setat'!$H$5:$H$39,MATCH(A160,Sezoane!$C$6:$C$40,1)),"")</f>
        <v/>
      </c>
      <c r="I160" s="44" t="str">
        <f aca="false">IF(AND(ISNUMBER(MATCH(A160,Sezoane!$C$6:$C$40,1)),A160&lt;=INDEX(Sezoane!$D$6:$D$40,MATCH(A160,Sezoane!$C$6:$C$40,1))),INDEX('Prețuri de setat'!$I$5:$I$39,MATCH(A160,Sezoane!$C$6:$C$40,1)),"")</f>
        <v/>
      </c>
    </row>
    <row r="161" customFormat="false" ht="15" hidden="false" customHeight="false" outlineLevel="0" collapsed="false">
      <c r="A161" s="41" t="n">
        <f aca="false">$B$2+156</f>
        <v>46472</v>
      </c>
      <c r="B161" s="42" t="str">
        <f aca="false">CHOOSE(WEEKDAY(A161,2),"Lu","Ma","Mi","Jo","Vi","Sâ","Du")</f>
        <v>Vi</v>
      </c>
      <c r="C161" s="42" t="str">
        <f aca="false">IF(AND(ISNUMBER(MATCH(A161,Sezoane!$C$6:$C$40,1)),A161&lt;=INDEX(Sezoane!$D$6:$D$40,MATCH(A161,Sezoane!$C$6:$C$40,1))),INDEX(Sezoane!$A$6:$A$40,MATCH(A161,Sezoane!$C$6:$C$40,1)),"⚠ fără sezon")</f>
        <v>⚠ fără sezon</v>
      </c>
      <c r="D161" s="42" t="str">
        <f aca="false">IF(AND(ISNUMBER(MATCH(A161,Sezoane!$C$6:$C$40,1)),A161&lt;=INDEX(Sezoane!$D$6:$D$40,MATCH(A161,Sezoane!$C$6:$C$40,1))),INDEX(Sezoane!$F$6:$F$40,MATCH(A161,Sezoane!$C$6:$C$40,1)),"")</f>
        <v/>
      </c>
      <c r="E161" s="44" t="str">
        <f aca="false">IF(AND(ISNUMBER(MATCH(A161,Sezoane!$C$6:$C$40,1)),A161&lt;=INDEX(Sezoane!$D$6:$D$40,MATCH(A161,Sezoane!$C$6:$C$40,1))),INDEX('Prețuri de setat'!$E$5:$E$39,MATCH(A161,Sezoane!$C$6:$C$40,1)),"")</f>
        <v/>
      </c>
      <c r="F161" s="44" t="str">
        <f aca="false">IF(AND(ISNUMBER(MATCH(A161,Sezoane!$C$6:$C$40,1)),A161&lt;=INDEX(Sezoane!$D$6:$D$40,MATCH(A161,Sezoane!$C$6:$C$40,1))),INDEX('Prețuri de setat'!$F$5:$F$39,MATCH(A161,Sezoane!$C$6:$C$40,1)),"")</f>
        <v/>
      </c>
      <c r="G161" s="44" t="str">
        <f aca="false">IF(AND(ISNUMBER(MATCH(A161,Sezoane!$C$6:$C$40,1)),A161&lt;=INDEX(Sezoane!$D$6:$D$40,MATCH(A161,Sezoane!$C$6:$C$40,1))),INDEX('Prețuri de setat'!$G$5:$G$39,MATCH(A161,Sezoane!$C$6:$C$40,1)),"")</f>
        <v/>
      </c>
      <c r="H161" s="44" t="str">
        <f aca="false">IF(AND(ISNUMBER(MATCH(A161,Sezoane!$C$6:$C$40,1)),A161&lt;=INDEX(Sezoane!$D$6:$D$40,MATCH(A161,Sezoane!$C$6:$C$40,1))),INDEX('Prețuri de setat'!$H$5:$H$39,MATCH(A161,Sezoane!$C$6:$C$40,1)),"")</f>
        <v/>
      </c>
      <c r="I161" s="44" t="str">
        <f aca="false">IF(AND(ISNUMBER(MATCH(A161,Sezoane!$C$6:$C$40,1)),A161&lt;=INDEX(Sezoane!$D$6:$D$40,MATCH(A161,Sezoane!$C$6:$C$40,1))),INDEX('Prețuri de setat'!$I$5:$I$39,MATCH(A161,Sezoane!$C$6:$C$40,1)),"")</f>
        <v/>
      </c>
    </row>
    <row r="162" customFormat="false" ht="15" hidden="false" customHeight="false" outlineLevel="0" collapsed="false">
      <c r="A162" s="41" t="n">
        <f aca="false">$B$2+157</f>
        <v>46473</v>
      </c>
      <c r="B162" s="42" t="str">
        <f aca="false">CHOOSE(WEEKDAY(A162,2),"Lu","Ma","Mi","Jo","Vi","Sâ","Du")</f>
        <v>Sâ</v>
      </c>
      <c r="C162" s="42" t="str">
        <f aca="false">IF(AND(ISNUMBER(MATCH(A162,Sezoane!$C$6:$C$40,1)),A162&lt;=INDEX(Sezoane!$D$6:$D$40,MATCH(A162,Sezoane!$C$6:$C$40,1))),INDEX(Sezoane!$A$6:$A$40,MATCH(A162,Sezoane!$C$6:$C$40,1)),"⚠ fără sezon")</f>
        <v>⚠ fără sezon</v>
      </c>
      <c r="D162" s="42" t="str">
        <f aca="false">IF(AND(ISNUMBER(MATCH(A162,Sezoane!$C$6:$C$40,1)),A162&lt;=INDEX(Sezoane!$D$6:$D$40,MATCH(A162,Sezoane!$C$6:$C$40,1))),INDEX(Sezoane!$F$6:$F$40,MATCH(A162,Sezoane!$C$6:$C$40,1)),"")</f>
        <v/>
      </c>
      <c r="E162" s="44" t="str">
        <f aca="false">IF(AND(ISNUMBER(MATCH(A162,Sezoane!$C$6:$C$40,1)),A162&lt;=INDEX(Sezoane!$D$6:$D$40,MATCH(A162,Sezoane!$C$6:$C$40,1))),INDEX('Prețuri de setat'!$E$5:$E$39,MATCH(A162,Sezoane!$C$6:$C$40,1)),"")</f>
        <v/>
      </c>
      <c r="F162" s="44" t="str">
        <f aca="false">IF(AND(ISNUMBER(MATCH(A162,Sezoane!$C$6:$C$40,1)),A162&lt;=INDEX(Sezoane!$D$6:$D$40,MATCH(A162,Sezoane!$C$6:$C$40,1))),INDEX('Prețuri de setat'!$F$5:$F$39,MATCH(A162,Sezoane!$C$6:$C$40,1)),"")</f>
        <v/>
      </c>
      <c r="G162" s="44" t="str">
        <f aca="false">IF(AND(ISNUMBER(MATCH(A162,Sezoane!$C$6:$C$40,1)),A162&lt;=INDEX(Sezoane!$D$6:$D$40,MATCH(A162,Sezoane!$C$6:$C$40,1))),INDEX('Prețuri de setat'!$G$5:$G$39,MATCH(A162,Sezoane!$C$6:$C$40,1)),"")</f>
        <v/>
      </c>
      <c r="H162" s="44" t="str">
        <f aca="false">IF(AND(ISNUMBER(MATCH(A162,Sezoane!$C$6:$C$40,1)),A162&lt;=INDEX(Sezoane!$D$6:$D$40,MATCH(A162,Sezoane!$C$6:$C$40,1))),INDEX('Prețuri de setat'!$H$5:$H$39,MATCH(A162,Sezoane!$C$6:$C$40,1)),"")</f>
        <v/>
      </c>
      <c r="I162" s="44" t="str">
        <f aca="false">IF(AND(ISNUMBER(MATCH(A162,Sezoane!$C$6:$C$40,1)),A162&lt;=INDEX(Sezoane!$D$6:$D$40,MATCH(A162,Sezoane!$C$6:$C$40,1))),INDEX('Prețuri de setat'!$I$5:$I$39,MATCH(A162,Sezoane!$C$6:$C$40,1)),"")</f>
        <v/>
      </c>
    </row>
    <row r="163" customFormat="false" ht="15" hidden="false" customHeight="false" outlineLevel="0" collapsed="false">
      <c r="A163" s="41" t="n">
        <f aca="false">$B$2+158</f>
        <v>46474</v>
      </c>
      <c r="B163" s="42" t="str">
        <f aca="false">CHOOSE(WEEKDAY(A163,2),"Lu","Ma","Mi","Jo","Vi","Sâ","Du")</f>
        <v>Du</v>
      </c>
      <c r="C163" s="42" t="str">
        <f aca="false">IF(AND(ISNUMBER(MATCH(A163,Sezoane!$C$6:$C$40,1)),A163&lt;=INDEX(Sezoane!$D$6:$D$40,MATCH(A163,Sezoane!$C$6:$C$40,1))),INDEX(Sezoane!$A$6:$A$40,MATCH(A163,Sezoane!$C$6:$C$40,1)),"⚠ fără sezon")</f>
        <v>⚠ fără sezon</v>
      </c>
      <c r="D163" s="42" t="str">
        <f aca="false">IF(AND(ISNUMBER(MATCH(A163,Sezoane!$C$6:$C$40,1)),A163&lt;=INDEX(Sezoane!$D$6:$D$40,MATCH(A163,Sezoane!$C$6:$C$40,1))),INDEX(Sezoane!$F$6:$F$40,MATCH(A163,Sezoane!$C$6:$C$40,1)),"")</f>
        <v/>
      </c>
      <c r="E163" s="44" t="str">
        <f aca="false">IF(AND(ISNUMBER(MATCH(A163,Sezoane!$C$6:$C$40,1)),A163&lt;=INDEX(Sezoane!$D$6:$D$40,MATCH(A163,Sezoane!$C$6:$C$40,1))),INDEX('Prețuri de setat'!$E$5:$E$39,MATCH(A163,Sezoane!$C$6:$C$40,1)),"")</f>
        <v/>
      </c>
      <c r="F163" s="44" t="str">
        <f aca="false">IF(AND(ISNUMBER(MATCH(A163,Sezoane!$C$6:$C$40,1)),A163&lt;=INDEX(Sezoane!$D$6:$D$40,MATCH(A163,Sezoane!$C$6:$C$40,1))),INDEX('Prețuri de setat'!$F$5:$F$39,MATCH(A163,Sezoane!$C$6:$C$40,1)),"")</f>
        <v/>
      </c>
      <c r="G163" s="44" t="str">
        <f aca="false">IF(AND(ISNUMBER(MATCH(A163,Sezoane!$C$6:$C$40,1)),A163&lt;=INDEX(Sezoane!$D$6:$D$40,MATCH(A163,Sezoane!$C$6:$C$40,1))),INDEX('Prețuri de setat'!$G$5:$G$39,MATCH(A163,Sezoane!$C$6:$C$40,1)),"")</f>
        <v/>
      </c>
      <c r="H163" s="44" t="str">
        <f aca="false">IF(AND(ISNUMBER(MATCH(A163,Sezoane!$C$6:$C$40,1)),A163&lt;=INDEX(Sezoane!$D$6:$D$40,MATCH(A163,Sezoane!$C$6:$C$40,1))),INDEX('Prețuri de setat'!$H$5:$H$39,MATCH(A163,Sezoane!$C$6:$C$40,1)),"")</f>
        <v/>
      </c>
      <c r="I163" s="44" t="str">
        <f aca="false">IF(AND(ISNUMBER(MATCH(A163,Sezoane!$C$6:$C$40,1)),A163&lt;=INDEX(Sezoane!$D$6:$D$40,MATCH(A163,Sezoane!$C$6:$C$40,1))),INDEX('Prețuri de setat'!$I$5:$I$39,MATCH(A163,Sezoane!$C$6:$C$40,1)),"")</f>
        <v/>
      </c>
    </row>
    <row r="164" customFormat="false" ht="15" hidden="false" customHeight="false" outlineLevel="0" collapsed="false">
      <c r="A164" s="41" t="n">
        <f aca="false">$B$2+159</f>
        <v>46475</v>
      </c>
      <c r="B164" s="42" t="str">
        <f aca="false">CHOOSE(WEEKDAY(A164,2),"Lu","Ma","Mi","Jo","Vi","Sâ","Du")</f>
        <v>Lu</v>
      </c>
      <c r="C164" s="42" t="str">
        <f aca="false">IF(AND(ISNUMBER(MATCH(A164,Sezoane!$C$6:$C$40,1)),A164&lt;=INDEX(Sezoane!$D$6:$D$40,MATCH(A164,Sezoane!$C$6:$C$40,1))),INDEX(Sezoane!$A$6:$A$40,MATCH(A164,Sezoane!$C$6:$C$40,1)),"⚠ fără sezon")</f>
        <v>⚠ fără sezon</v>
      </c>
      <c r="D164" s="42" t="str">
        <f aca="false">IF(AND(ISNUMBER(MATCH(A164,Sezoane!$C$6:$C$40,1)),A164&lt;=INDEX(Sezoane!$D$6:$D$40,MATCH(A164,Sezoane!$C$6:$C$40,1))),INDEX(Sezoane!$F$6:$F$40,MATCH(A164,Sezoane!$C$6:$C$40,1)),"")</f>
        <v/>
      </c>
      <c r="E164" s="44" t="str">
        <f aca="false">IF(AND(ISNUMBER(MATCH(A164,Sezoane!$C$6:$C$40,1)),A164&lt;=INDEX(Sezoane!$D$6:$D$40,MATCH(A164,Sezoane!$C$6:$C$40,1))),INDEX('Prețuri de setat'!$E$5:$E$39,MATCH(A164,Sezoane!$C$6:$C$40,1)),"")</f>
        <v/>
      </c>
      <c r="F164" s="44" t="str">
        <f aca="false">IF(AND(ISNUMBER(MATCH(A164,Sezoane!$C$6:$C$40,1)),A164&lt;=INDEX(Sezoane!$D$6:$D$40,MATCH(A164,Sezoane!$C$6:$C$40,1))),INDEX('Prețuri de setat'!$F$5:$F$39,MATCH(A164,Sezoane!$C$6:$C$40,1)),"")</f>
        <v/>
      </c>
      <c r="G164" s="44" t="str">
        <f aca="false">IF(AND(ISNUMBER(MATCH(A164,Sezoane!$C$6:$C$40,1)),A164&lt;=INDEX(Sezoane!$D$6:$D$40,MATCH(A164,Sezoane!$C$6:$C$40,1))),INDEX('Prețuri de setat'!$G$5:$G$39,MATCH(A164,Sezoane!$C$6:$C$40,1)),"")</f>
        <v/>
      </c>
      <c r="H164" s="44" t="str">
        <f aca="false">IF(AND(ISNUMBER(MATCH(A164,Sezoane!$C$6:$C$40,1)),A164&lt;=INDEX(Sezoane!$D$6:$D$40,MATCH(A164,Sezoane!$C$6:$C$40,1))),INDEX('Prețuri de setat'!$H$5:$H$39,MATCH(A164,Sezoane!$C$6:$C$40,1)),"")</f>
        <v/>
      </c>
      <c r="I164" s="44" t="str">
        <f aca="false">IF(AND(ISNUMBER(MATCH(A164,Sezoane!$C$6:$C$40,1)),A164&lt;=INDEX(Sezoane!$D$6:$D$40,MATCH(A164,Sezoane!$C$6:$C$40,1))),INDEX('Prețuri de setat'!$I$5:$I$39,MATCH(A164,Sezoane!$C$6:$C$40,1)),"")</f>
        <v/>
      </c>
    </row>
    <row r="165" customFormat="false" ht="15" hidden="false" customHeight="false" outlineLevel="0" collapsed="false">
      <c r="A165" s="41" t="n">
        <f aca="false">$B$2+160</f>
        <v>46476</v>
      </c>
      <c r="B165" s="42" t="str">
        <f aca="false">CHOOSE(WEEKDAY(A165,2),"Lu","Ma","Mi","Jo","Vi","Sâ","Du")</f>
        <v>Ma</v>
      </c>
      <c r="C165" s="42" t="str">
        <f aca="false">IF(AND(ISNUMBER(MATCH(A165,Sezoane!$C$6:$C$40,1)),A165&lt;=INDEX(Sezoane!$D$6:$D$40,MATCH(A165,Sezoane!$C$6:$C$40,1))),INDEX(Sezoane!$A$6:$A$40,MATCH(A165,Sezoane!$C$6:$C$40,1)),"⚠ fără sezon")</f>
        <v>⚠ fără sezon</v>
      </c>
      <c r="D165" s="42" t="str">
        <f aca="false">IF(AND(ISNUMBER(MATCH(A165,Sezoane!$C$6:$C$40,1)),A165&lt;=INDEX(Sezoane!$D$6:$D$40,MATCH(A165,Sezoane!$C$6:$C$40,1))),INDEX(Sezoane!$F$6:$F$40,MATCH(A165,Sezoane!$C$6:$C$40,1)),"")</f>
        <v/>
      </c>
      <c r="E165" s="44" t="str">
        <f aca="false">IF(AND(ISNUMBER(MATCH(A165,Sezoane!$C$6:$C$40,1)),A165&lt;=INDEX(Sezoane!$D$6:$D$40,MATCH(A165,Sezoane!$C$6:$C$40,1))),INDEX('Prețuri de setat'!$E$5:$E$39,MATCH(A165,Sezoane!$C$6:$C$40,1)),"")</f>
        <v/>
      </c>
      <c r="F165" s="44" t="str">
        <f aca="false">IF(AND(ISNUMBER(MATCH(A165,Sezoane!$C$6:$C$40,1)),A165&lt;=INDEX(Sezoane!$D$6:$D$40,MATCH(A165,Sezoane!$C$6:$C$40,1))),INDEX('Prețuri de setat'!$F$5:$F$39,MATCH(A165,Sezoane!$C$6:$C$40,1)),"")</f>
        <v/>
      </c>
      <c r="G165" s="44" t="str">
        <f aca="false">IF(AND(ISNUMBER(MATCH(A165,Sezoane!$C$6:$C$40,1)),A165&lt;=INDEX(Sezoane!$D$6:$D$40,MATCH(A165,Sezoane!$C$6:$C$40,1))),INDEX('Prețuri de setat'!$G$5:$G$39,MATCH(A165,Sezoane!$C$6:$C$40,1)),"")</f>
        <v/>
      </c>
      <c r="H165" s="44" t="str">
        <f aca="false">IF(AND(ISNUMBER(MATCH(A165,Sezoane!$C$6:$C$40,1)),A165&lt;=INDEX(Sezoane!$D$6:$D$40,MATCH(A165,Sezoane!$C$6:$C$40,1))),INDEX('Prețuri de setat'!$H$5:$H$39,MATCH(A165,Sezoane!$C$6:$C$40,1)),"")</f>
        <v/>
      </c>
      <c r="I165" s="44" t="str">
        <f aca="false">IF(AND(ISNUMBER(MATCH(A165,Sezoane!$C$6:$C$40,1)),A165&lt;=INDEX(Sezoane!$D$6:$D$40,MATCH(A165,Sezoane!$C$6:$C$40,1))),INDEX('Prețuri de setat'!$I$5:$I$39,MATCH(A165,Sezoane!$C$6:$C$40,1)),"")</f>
        <v/>
      </c>
    </row>
    <row r="166" customFormat="false" ht="15" hidden="false" customHeight="false" outlineLevel="0" collapsed="false">
      <c r="A166" s="41" t="n">
        <f aca="false">$B$2+161</f>
        <v>46477</v>
      </c>
      <c r="B166" s="42" t="str">
        <f aca="false">CHOOSE(WEEKDAY(A166,2),"Lu","Ma","Mi","Jo","Vi","Sâ","Du")</f>
        <v>Mi</v>
      </c>
      <c r="C166" s="42" t="str">
        <f aca="false">IF(AND(ISNUMBER(MATCH(A166,Sezoane!$C$6:$C$40,1)),A166&lt;=INDEX(Sezoane!$D$6:$D$40,MATCH(A166,Sezoane!$C$6:$C$40,1))),INDEX(Sezoane!$A$6:$A$40,MATCH(A166,Sezoane!$C$6:$C$40,1)),"⚠ fără sezon")</f>
        <v>⚠ fără sezon</v>
      </c>
      <c r="D166" s="42" t="str">
        <f aca="false">IF(AND(ISNUMBER(MATCH(A166,Sezoane!$C$6:$C$40,1)),A166&lt;=INDEX(Sezoane!$D$6:$D$40,MATCH(A166,Sezoane!$C$6:$C$40,1))),INDEX(Sezoane!$F$6:$F$40,MATCH(A166,Sezoane!$C$6:$C$40,1)),"")</f>
        <v/>
      </c>
      <c r="E166" s="44" t="str">
        <f aca="false">IF(AND(ISNUMBER(MATCH(A166,Sezoane!$C$6:$C$40,1)),A166&lt;=INDEX(Sezoane!$D$6:$D$40,MATCH(A166,Sezoane!$C$6:$C$40,1))),INDEX('Prețuri de setat'!$E$5:$E$39,MATCH(A166,Sezoane!$C$6:$C$40,1)),"")</f>
        <v/>
      </c>
      <c r="F166" s="44" t="str">
        <f aca="false">IF(AND(ISNUMBER(MATCH(A166,Sezoane!$C$6:$C$40,1)),A166&lt;=INDEX(Sezoane!$D$6:$D$40,MATCH(A166,Sezoane!$C$6:$C$40,1))),INDEX('Prețuri de setat'!$F$5:$F$39,MATCH(A166,Sezoane!$C$6:$C$40,1)),"")</f>
        <v/>
      </c>
      <c r="G166" s="44" t="str">
        <f aca="false">IF(AND(ISNUMBER(MATCH(A166,Sezoane!$C$6:$C$40,1)),A166&lt;=INDEX(Sezoane!$D$6:$D$40,MATCH(A166,Sezoane!$C$6:$C$40,1))),INDEX('Prețuri de setat'!$G$5:$G$39,MATCH(A166,Sezoane!$C$6:$C$40,1)),"")</f>
        <v/>
      </c>
      <c r="H166" s="44" t="str">
        <f aca="false">IF(AND(ISNUMBER(MATCH(A166,Sezoane!$C$6:$C$40,1)),A166&lt;=INDEX(Sezoane!$D$6:$D$40,MATCH(A166,Sezoane!$C$6:$C$40,1))),INDEX('Prețuri de setat'!$H$5:$H$39,MATCH(A166,Sezoane!$C$6:$C$40,1)),"")</f>
        <v/>
      </c>
      <c r="I166" s="44" t="str">
        <f aca="false">IF(AND(ISNUMBER(MATCH(A166,Sezoane!$C$6:$C$40,1)),A166&lt;=INDEX(Sezoane!$D$6:$D$40,MATCH(A166,Sezoane!$C$6:$C$40,1))),INDEX('Prețuri de setat'!$I$5:$I$39,MATCH(A166,Sezoane!$C$6:$C$40,1)),"")</f>
        <v/>
      </c>
    </row>
    <row r="167" customFormat="false" ht="15" hidden="false" customHeight="false" outlineLevel="0" collapsed="false">
      <c r="A167" s="41" t="n">
        <f aca="false">$B$2+162</f>
        <v>46478</v>
      </c>
      <c r="B167" s="42" t="str">
        <f aca="false">CHOOSE(WEEKDAY(A167,2),"Lu","Ma","Mi","Jo","Vi","Sâ","Du")</f>
        <v>Jo</v>
      </c>
      <c r="C167" s="42" t="str">
        <f aca="false">IF(AND(ISNUMBER(MATCH(A167,Sezoane!$C$6:$C$40,1)),A167&lt;=INDEX(Sezoane!$D$6:$D$40,MATCH(A167,Sezoane!$C$6:$C$40,1))),INDEX(Sezoane!$A$6:$A$40,MATCH(A167,Sezoane!$C$6:$C$40,1)),"⚠ fără sezon")</f>
        <v>⚠ fără sezon</v>
      </c>
      <c r="D167" s="42" t="str">
        <f aca="false">IF(AND(ISNUMBER(MATCH(A167,Sezoane!$C$6:$C$40,1)),A167&lt;=INDEX(Sezoane!$D$6:$D$40,MATCH(A167,Sezoane!$C$6:$C$40,1))),INDEX(Sezoane!$F$6:$F$40,MATCH(A167,Sezoane!$C$6:$C$40,1)),"")</f>
        <v/>
      </c>
      <c r="E167" s="44" t="str">
        <f aca="false">IF(AND(ISNUMBER(MATCH(A167,Sezoane!$C$6:$C$40,1)),A167&lt;=INDEX(Sezoane!$D$6:$D$40,MATCH(A167,Sezoane!$C$6:$C$40,1))),INDEX('Prețuri de setat'!$E$5:$E$39,MATCH(A167,Sezoane!$C$6:$C$40,1)),"")</f>
        <v/>
      </c>
      <c r="F167" s="44" t="str">
        <f aca="false">IF(AND(ISNUMBER(MATCH(A167,Sezoane!$C$6:$C$40,1)),A167&lt;=INDEX(Sezoane!$D$6:$D$40,MATCH(A167,Sezoane!$C$6:$C$40,1))),INDEX('Prețuri de setat'!$F$5:$F$39,MATCH(A167,Sezoane!$C$6:$C$40,1)),"")</f>
        <v/>
      </c>
      <c r="G167" s="44" t="str">
        <f aca="false">IF(AND(ISNUMBER(MATCH(A167,Sezoane!$C$6:$C$40,1)),A167&lt;=INDEX(Sezoane!$D$6:$D$40,MATCH(A167,Sezoane!$C$6:$C$40,1))),INDEX('Prețuri de setat'!$G$5:$G$39,MATCH(A167,Sezoane!$C$6:$C$40,1)),"")</f>
        <v/>
      </c>
      <c r="H167" s="44" t="str">
        <f aca="false">IF(AND(ISNUMBER(MATCH(A167,Sezoane!$C$6:$C$40,1)),A167&lt;=INDEX(Sezoane!$D$6:$D$40,MATCH(A167,Sezoane!$C$6:$C$40,1))),INDEX('Prețuri de setat'!$H$5:$H$39,MATCH(A167,Sezoane!$C$6:$C$40,1)),"")</f>
        <v/>
      </c>
      <c r="I167" s="44" t="str">
        <f aca="false">IF(AND(ISNUMBER(MATCH(A167,Sezoane!$C$6:$C$40,1)),A167&lt;=INDEX(Sezoane!$D$6:$D$40,MATCH(A167,Sezoane!$C$6:$C$40,1))),INDEX('Prețuri de setat'!$I$5:$I$39,MATCH(A167,Sezoane!$C$6:$C$40,1)),"")</f>
        <v/>
      </c>
    </row>
    <row r="168" customFormat="false" ht="15" hidden="false" customHeight="false" outlineLevel="0" collapsed="false">
      <c r="A168" s="41" t="n">
        <f aca="false">$B$2+163</f>
        <v>46479</v>
      </c>
      <c r="B168" s="42" t="str">
        <f aca="false">CHOOSE(WEEKDAY(A168,2),"Lu","Ma","Mi","Jo","Vi","Sâ","Du")</f>
        <v>Vi</v>
      </c>
      <c r="C168" s="42" t="str">
        <f aca="false">IF(AND(ISNUMBER(MATCH(A168,Sezoane!$C$6:$C$40,1)),A168&lt;=INDEX(Sezoane!$D$6:$D$40,MATCH(A168,Sezoane!$C$6:$C$40,1))),INDEX(Sezoane!$A$6:$A$40,MATCH(A168,Sezoane!$C$6:$C$40,1)),"⚠ fără sezon")</f>
        <v>⚠ fără sezon</v>
      </c>
      <c r="D168" s="42" t="str">
        <f aca="false">IF(AND(ISNUMBER(MATCH(A168,Sezoane!$C$6:$C$40,1)),A168&lt;=INDEX(Sezoane!$D$6:$D$40,MATCH(A168,Sezoane!$C$6:$C$40,1))),INDEX(Sezoane!$F$6:$F$40,MATCH(A168,Sezoane!$C$6:$C$40,1)),"")</f>
        <v/>
      </c>
      <c r="E168" s="44" t="str">
        <f aca="false">IF(AND(ISNUMBER(MATCH(A168,Sezoane!$C$6:$C$40,1)),A168&lt;=INDEX(Sezoane!$D$6:$D$40,MATCH(A168,Sezoane!$C$6:$C$40,1))),INDEX('Prețuri de setat'!$E$5:$E$39,MATCH(A168,Sezoane!$C$6:$C$40,1)),"")</f>
        <v/>
      </c>
      <c r="F168" s="44" t="str">
        <f aca="false">IF(AND(ISNUMBER(MATCH(A168,Sezoane!$C$6:$C$40,1)),A168&lt;=INDEX(Sezoane!$D$6:$D$40,MATCH(A168,Sezoane!$C$6:$C$40,1))),INDEX('Prețuri de setat'!$F$5:$F$39,MATCH(A168,Sezoane!$C$6:$C$40,1)),"")</f>
        <v/>
      </c>
      <c r="G168" s="44" t="str">
        <f aca="false">IF(AND(ISNUMBER(MATCH(A168,Sezoane!$C$6:$C$40,1)),A168&lt;=INDEX(Sezoane!$D$6:$D$40,MATCH(A168,Sezoane!$C$6:$C$40,1))),INDEX('Prețuri de setat'!$G$5:$G$39,MATCH(A168,Sezoane!$C$6:$C$40,1)),"")</f>
        <v/>
      </c>
      <c r="H168" s="44" t="str">
        <f aca="false">IF(AND(ISNUMBER(MATCH(A168,Sezoane!$C$6:$C$40,1)),A168&lt;=INDEX(Sezoane!$D$6:$D$40,MATCH(A168,Sezoane!$C$6:$C$40,1))),INDEX('Prețuri de setat'!$H$5:$H$39,MATCH(A168,Sezoane!$C$6:$C$40,1)),"")</f>
        <v/>
      </c>
      <c r="I168" s="44" t="str">
        <f aca="false">IF(AND(ISNUMBER(MATCH(A168,Sezoane!$C$6:$C$40,1)),A168&lt;=INDEX(Sezoane!$D$6:$D$40,MATCH(A168,Sezoane!$C$6:$C$40,1))),INDEX('Prețuri de setat'!$I$5:$I$39,MATCH(A168,Sezoane!$C$6:$C$40,1)),"")</f>
        <v/>
      </c>
    </row>
    <row r="169" customFormat="false" ht="15" hidden="false" customHeight="false" outlineLevel="0" collapsed="false">
      <c r="A169" s="41" t="n">
        <f aca="false">$B$2+164</f>
        <v>46480</v>
      </c>
      <c r="B169" s="42" t="str">
        <f aca="false">CHOOSE(WEEKDAY(A169,2),"Lu","Ma","Mi","Jo","Vi","Sâ","Du")</f>
        <v>Sâ</v>
      </c>
      <c r="C169" s="42" t="str">
        <f aca="false">IF(AND(ISNUMBER(MATCH(A169,Sezoane!$C$6:$C$40,1)),A169&lt;=INDEX(Sezoane!$D$6:$D$40,MATCH(A169,Sezoane!$C$6:$C$40,1))),INDEX(Sezoane!$A$6:$A$40,MATCH(A169,Sezoane!$C$6:$C$40,1)),"⚠ fără sezon")</f>
        <v>⚠ fără sezon</v>
      </c>
      <c r="D169" s="42" t="str">
        <f aca="false">IF(AND(ISNUMBER(MATCH(A169,Sezoane!$C$6:$C$40,1)),A169&lt;=INDEX(Sezoane!$D$6:$D$40,MATCH(A169,Sezoane!$C$6:$C$40,1))),INDEX(Sezoane!$F$6:$F$40,MATCH(A169,Sezoane!$C$6:$C$40,1)),"")</f>
        <v/>
      </c>
      <c r="E169" s="44" t="str">
        <f aca="false">IF(AND(ISNUMBER(MATCH(A169,Sezoane!$C$6:$C$40,1)),A169&lt;=INDEX(Sezoane!$D$6:$D$40,MATCH(A169,Sezoane!$C$6:$C$40,1))),INDEX('Prețuri de setat'!$E$5:$E$39,MATCH(A169,Sezoane!$C$6:$C$40,1)),"")</f>
        <v/>
      </c>
      <c r="F169" s="44" t="str">
        <f aca="false">IF(AND(ISNUMBER(MATCH(A169,Sezoane!$C$6:$C$40,1)),A169&lt;=INDEX(Sezoane!$D$6:$D$40,MATCH(A169,Sezoane!$C$6:$C$40,1))),INDEX('Prețuri de setat'!$F$5:$F$39,MATCH(A169,Sezoane!$C$6:$C$40,1)),"")</f>
        <v/>
      </c>
      <c r="G169" s="44" t="str">
        <f aca="false">IF(AND(ISNUMBER(MATCH(A169,Sezoane!$C$6:$C$40,1)),A169&lt;=INDEX(Sezoane!$D$6:$D$40,MATCH(A169,Sezoane!$C$6:$C$40,1))),INDEX('Prețuri de setat'!$G$5:$G$39,MATCH(A169,Sezoane!$C$6:$C$40,1)),"")</f>
        <v/>
      </c>
      <c r="H169" s="44" t="str">
        <f aca="false">IF(AND(ISNUMBER(MATCH(A169,Sezoane!$C$6:$C$40,1)),A169&lt;=INDEX(Sezoane!$D$6:$D$40,MATCH(A169,Sezoane!$C$6:$C$40,1))),INDEX('Prețuri de setat'!$H$5:$H$39,MATCH(A169,Sezoane!$C$6:$C$40,1)),"")</f>
        <v/>
      </c>
      <c r="I169" s="44" t="str">
        <f aca="false">IF(AND(ISNUMBER(MATCH(A169,Sezoane!$C$6:$C$40,1)),A169&lt;=INDEX(Sezoane!$D$6:$D$40,MATCH(A169,Sezoane!$C$6:$C$40,1))),INDEX('Prețuri de setat'!$I$5:$I$39,MATCH(A169,Sezoane!$C$6:$C$40,1)),"")</f>
        <v/>
      </c>
    </row>
    <row r="170" customFormat="false" ht="15" hidden="false" customHeight="false" outlineLevel="0" collapsed="false">
      <c r="A170" s="41" t="n">
        <f aca="false">$B$2+165</f>
        <v>46481</v>
      </c>
      <c r="B170" s="42" t="str">
        <f aca="false">CHOOSE(WEEKDAY(A170,2),"Lu","Ma","Mi","Jo","Vi","Sâ","Du")</f>
        <v>Du</v>
      </c>
      <c r="C170" s="42" t="str">
        <f aca="false">IF(AND(ISNUMBER(MATCH(A170,Sezoane!$C$6:$C$40,1)),A170&lt;=INDEX(Sezoane!$D$6:$D$40,MATCH(A170,Sezoane!$C$6:$C$40,1))),INDEX(Sezoane!$A$6:$A$40,MATCH(A170,Sezoane!$C$6:$C$40,1)),"⚠ fără sezon")</f>
        <v>⚠ fără sezon</v>
      </c>
      <c r="D170" s="42" t="str">
        <f aca="false">IF(AND(ISNUMBER(MATCH(A170,Sezoane!$C$6:$C$40,1)),A170&lt;=INDEX(Sezoane!$D$6:$D$40,MATCH(A170,Sezoane!$C$6:$C$40,1))),INDEX(Sezoane!$F$6:$F$40,MATCH(A170,Sezoane!$C$6:$C$40,1)),"")</f>
        <v/>
      </c>
      <c r="E170" s="44" t="str">
        <f aca="false">IF(AND(ISNUMBER(MATCH(A170,Sezoane!$C$6:$C$40,1)),A170&lt;=INDEX(Sezoane!$D$6:$D$40,MATCH(A170,Sezoane!$C$6:$C$40,1))),INDEX('Prețuri de setat'!$E$5:$E$39,MATCH(A170,Sezoane!$C$6:$C$40,1)),"")</f>
        <v/>
      </c>
      <c r="F170" s="44" t="str">
        <f aca="false">IF(AND(ISNUMBER(MATCH(A170,Sezoane!$C$6:$C$40,1)),A170&lt;=INDEX(Sezoane!$D$6:$D$40,MATCH(A170,Sezoane!$C$6:$C$40,1))),INDEX('Prețuri de setat'!$F$5:$F$39,MATCH(A170,Sezoane!$C$6:$C$40,1)),"")</f>
        <v/>
      </c>
      <c r="G170" s="44" t="str">
        <f aca="false">IF(AND(ISNUMBER(MATCH(A170,Sezoane!$C$6:$C$40,1)),A170&lt;=INDEX(Sezoane!$D$6:$D$40,MATCH(A170,Sezoane!$C$6:$C$40,1))),INDEX('Prețuri de setat'!$G$5:$G$39,MATCH(A170,Sezoane!$C$6:$C$40,1)),"")</f>
        <v/>
      </c>
      <c r="H170" s="44" t="str">
        <f aca="false">IF(AND(ISNUMBER(MATCH(A170,Sezoane!$C$6:$C$40,1)),A170&lt;=INDEX(Sezoane!$D$6:$D$40,MATCH(A170,Sezoane!$C$6:$C$40,1))),INDEX('Prețuri de setat'!$H$5:$H$39,MATCH(A170,Sezoane!$C$6:$C$40,1)),"")</f>
        <v/>
      </c>
      <c r="I170" s="44" t="str">
        <f aca="false">IF(AND(ISNUMBER(MATCH(A170,Sezoane!$C$6:$C$40,1)),A170&lt;=INDEX(Sezoane!$D$6:$D$40,MATCH(A170,Sezoane!$C$6:$C$40,1))),INDEX('Prețuri de setat'!$I$5:$I$39,MATCH(A170,Sezoane!$C$6:$C$40,1)),"")</f>
        <v/>
      </c>
    </row>
    <row r="171" customFormat="false" ht="15" hidden="false" customHeight="false" outlineLevel="0" collapsed="false">
      <c r="A171" s="41" t="n">
        <f aca="false">$B$2+166</f>
        <v>46482</v>
      </c>
      <c r="B171" s="42" t="str">
        <f aca="false">CHOOSE(WEEKDAY(A171,2),"Lu","Ma","Mi","Jo","Vi","Sâ","Du")</f>
        <v>Lu</v>
      </c>
      <c r="C171" s="42" t="str">
        <f aca="false">IF(AND(ISNUMBER(MATCH(A171,Sezoane!$C$6:$C$40,1)),A171&lt;=INDEX(Sezoane!$D$6:$D$40,MATCH(A171,Sezoane!$C$6:$C$40,1))),INDEX(Sezoane!$A$6:$A$40,MATCH(A171,Sezoane!$C$6:$C$40,1)),"⚠ fără sezon")</f>
        <v>⚠ fără sezon</v>
      </c>
      <c r="D171" s="42" t="str">
        <f aca="false">IF(AND(ISNUMBER(MATCH(A171,Sezoane!$C$6:$C$40,1)),A171&lt;=INDEX(Sezoane!$D$6:$D$40,MATCH(A171,Sezoane!$C$6:$C$40,1))),INDEX(Sezoane!$F$6:$F$40,MATCH(A171,Sezoane!$C$6:$C$40,1)),"")</f>
        <v/>
      </c>
      <c r="E171" s="44" t="str">
        <f aca="false">IF(AND(ISNUMBER(MATCH(A171,Sezoane!$C$6:$C$40,1)),A171&lt;=INDEX(Sezoane!$D$6:$D$40,MATCH(A171,Sezoane!$C$6:$C$40,1))),INDEX('Prețuri de setat'!$E$5:$E$39,MATCH(A171,Sezoane!$C$6:$C$40,1)),"")</f>
        <v/>
      </c>
      <c r="F171" s="44" t="str">
        <f aca="false">IF(AND(ISNUMBER(MATCH(A171,Sezoane!$C$6:$C$40,1)),A171&lt;=INDEX(Sezoane!$D$6:$D$40,MATCH(A171,Sezoane!$C$6:$C$40,1))),INDEX('Prețuri de setat'!$F$5:$F$39,MATCH(A171,Sezoane!$C$6:$C$40,1)),"")</f>
        <v/>
      </c>
      <c r="G171" s="44" t="str">
        <f aca="false">IF(AND(ISNUMBER(MATCH(A171,Sezoane!$C$6:$C$40,1)),A171&lt;=INDEX(Sezoane!$D$6:$D$40,MATCH(A171,Sezoane!$C$6:$C$40,1))),INDEX('Prețuri de setat'!$G$5:$G$39,MATCH(A171,Sezoane!$C$6:$C$40,1)),"")</f>
        <v/>
      </c>
      <c r="H171" s="44" t="str">
        <f aca="false">IF(AND(ISNUMBER(MATCH(A171,Sezoane!$C$6:$C$40,1)),A171&lt;=INDEX(Sezoane!$D$6:$D$40,MATCH(A171,Sezoane!$C$6:$C$40,1))),INDEX('Prețuri de setat'!$H$5:$H$39,MATCH(A171,Sezoane!$C$6:$C$40,1)),"")</f>
        <v/>
      </c>
      <c r="I171" s="44" t="str">
        <f aca="false">IF(AND(ISNUMBER(MATCH(A171,Sezoane!$C$6:$C$40,1)),A171&lt;=INDEX(Sezoane!$D$6:$D$40,MATCH(A171,Sezoane!$C$6:$C$40,1))),INDEX('Prețuri de setat'!$I$5:$I$39,MATCH(A171,Sezoane!$C$6:$C$40,1)),"")</f>
        <v/>
      </c>
    </row>
    <row r="172" customFormat="false" ht="15" hidden="false" customHeight="false" outlineLevel="0" collapsed="false">
      <c r="A172" s="41" t="n">
        <f aca="false">$B$2+167</f>
        <v>46483</v>
      </c>
      <c r="B172" s="42" t="str">
        <f aca="false">CHOOSE(WEEKDAY(A172,2),"Lu","Ma","Mi","Jo","Vi","Sâ","Du")</f>
        <v>Ma</v>
      </c>
      <c r="C172" s="42" t="str">
        <f aca="false">IF(AND(ISNUMBER(MATCH(A172,Sezoane!$C$6:$C$40,1)),A172&lt;=INDEX(Sezoane!$D$6:$D$40,MATCH(A172,Sezoane!$C$6:$C$40,1))),INDEX(Sezoane!$A$6:$A$40,MATCH(A172,Sezoane!$C$6:$C$40,1)),"⚠ fără sezon")</f>
        <v>⚠ fără sezon</v>
      </c>
      <c r="D172" s="42" t="str">
        <f aca="false">IF(AND(ISNUMBER(MATCH(A172,Sezoane!$C$6:$C$40,1)),A172&lt;=INDEX(Sezoane!$D$6:$D$40,MATCH(A172,Sezoane!$C$6:$C$40,1))),INDEX(Sezoane!$F$6:$F$40,MATCH(A172,Sezoane!$C$6:$C$40,1)),"")</f>
        <v/>
      </c>
      <c r="E172" s="44" t="str">
        <f aca="false">IF(AND(ISNUMBER(MATCH(A172,Sezoane!$C$6:$C$40,1)),A172&lt;=INDEX(Sezoane!$D$6:$D$40,MATCH(A172,Sezoane!$C$6:$C$40,1))),INDEX('Prețuri de setat'!$E$5:$E$39,MATCH(A172,Sezoane!$C$6:$C$40,1)),"")</f>
        <v/>
      </c>
      <c r="F172" s="44" t="str">
        <f aca="false">IF(AND(ISNUMBER(MATCH(A172,Sezoane!$C$6:$C$40,1)),A172&lt;=INDEX(Sezoane!$D$6:$D$40,MATCH(A172,Sezoane!$C$6:$C$40,1))),INDEX('Prețuri de setat'!$F$5:$F$39,MATCH(A172,Sezoane!$C$6:$C$40,1)),"")</f>
        <v/>
      </c>
      <c r="G172" s="44" t="str">
        <f aca="false">IF(AND(ISNUMBER(MATCH(A172,Sezoane!$C$6:$C$40,1)),A172&lt;=INDEX(Sezoane!$D$6:$D$40,MATCH(A172,Sezoane!$C$6:$C$40,1))),INDEX('Prețuri de setat'!$G$5:$G$39,MATCH(A172,Sezoane!$C$6:$C$40,1)),"")</f>
        <v/>
      </c>
      <c r="H172" s="44" t="str">
        <f aca="false">IF(AND(ISNUMBER(MATCH(A172,Sezoane!$C$6:$C$40,1)),A172&lt;=INDEX(Sezoane!$D$6:$D$40,MATCH(A172,Sezoane!$C$6:$C$40,1))),INDEX('Prețuri de setat'!$H$5:$H$39,MATCH(A172,Sezoane!$C$6:$C$40,1)),"")</f>
        <v/>
      </c>
      <c r="I172" s="44" t="str">
        <f aca="false">IF(AND(ISNUMBER(MATCH(A172,Sezoane!$C$6:$C$40,1)),A172&lt;=INDEX(Sezoane!$D$6:$D$40,MATCH(A172,Sezoane!$C$6:$C$40,1))),INDEX('Prețuri de setat'!$I$5:$I$39,MATCH(A172,Sezoane!$C$6:$C$40,1)),"")</f>
        <v/>
      </c>
    </row>
    <row r="173" customFormat="false" ht="15" hidden="false" customHeight="false" outlineLevel="0" collapsed="false">
      <c r="A173" s="41" t="n">
        <f aca="false">$B$2+168</f>
        <v>46484</v>
      </c>
      <c r="B173" s="42" t="str">
        <f aca="false">CHOOSE(WEEKDAY(A173,2),"Lu","Ma","Mi","Jo","Vi","Sâ","Du")</f>
        <v>Mi</v>
      </c>
      <c r="C173" s="42" t="str">
        <f aca="false">IF(AND(ISNUMBER(MATCH(A173,Sezoane!$C$6:$C$40,1)),A173&lt;=INDEX(Sezoane!$D$6:$D$40,MATCH(A173,Sezoane!$C$6:$C$40,1))),INDEX(Sezoane!$A$6:$A$40,MATCH(A173,Sezoane!$C$6:$C$40,1)),"⚠ fără sezon")</f>
        <v>⚠ fără sezon</v>
      </c>
      <c r="D173" s="42" t="str">
        <f aca="false">IF(AND(ISNUMBER(MATCH(A173,Sezoane!$C$6:$C$40,1)),A173&lt;=INDEX(Sezoane!$D$6:$D$40,MATCH(A173,Sezoane!$C$6:$C$40,1))),INDEX(Sezoane!$F$6:$F$40,MATCH(A173,Sezoane!$C$6:$C$40,1)),"")</f>
        <v/>
      </c>
      <c r="E173" s="44" t="str">
        <f aca="false">IF(AND(ISNUMBER(MATCH(A173,Sezoane!$C$6:$C$40,1)),A173&lt;=INDEX(Sezoane!$D$6:$D$40,MATCH(A173,Sezoane!$C$6:$C$40,1))),INDEX('Prețuri de setat'!$E$5:$E$39,MATCH(A173,Sezoane!$C$6:$C$40,1)),"")</f>
        <v/>
      </c>
      <c r="F173" s="44" t="str">
        <f aca="false">IF(AND(ISNUMBER(MATCH(A173,Sezoane!$C$6:$C$40,1)),A173&lt;=INDEX(Sezoane!$D$6:$D$40,MATCH(A173,Sezoane!$C$6:$C$40,1))),INDEX('Prețuri de setat'!$F$5:$F$39,MATCH(A173,Sezoane!$C$6:$C$40,1)),"")</f>
        <v/>
      </c>
      <c r="G173" s="44" t="str">
        <f aca="false">IF(AND(ISNUMBER(MATCH(A173,Sezoane!$C$6:$C$40,1)),A173&lt;=INDEX(Sezoane!$D$6:$D$40,MATCH(A173,Sezoane!$C$6:$C$40,1))),INDEX('Prețuri de setat'!$G$5:$G$39,MATCH(A173,Sezoane!$C$6:$C$40,1)),"")</f>
        <v/>
      </c>
      <c r="H173" s="44" t="str">
        <f aca="false">IF(AND(ISNUMBER(MATCH(A173,Sezoane!$C$6:$C$40,1)),A173&lt;=INDEX(Sezoane!$D$6:$D$40,MATCH(A173,Sezoane!$C$6:$C$40,1))),INDEX('Prețuri de setat'!$H$5:$H$39,MATCH(A173,Sezoane!$C$6:$C$40,1)),"")</f>
        <v/>
      </c>
      <c r="I173" s="44" t="str">
        <f aca="false">IF(AND(ISNUMBER(MATCH(A173,Sezoane!$C$6:$C$40,1)),A173&lt;=INDEX(Sezoane!$D$6:$D$40,MATCH(A173,Sezoane!$C$6:$C$40,1))),INDEX('Prețuri de setat'!$I$5:$I$39,MATCH(A173,Sezoane!$C$6:$C$40,1)),"")</f>
        <v/>
      </c>
    </row>
    <row r="174" customFormat="false" ht="15" hidden="false" customHeight="false" outlineLevel="0" collapsed="false">
      <c r="A174" s="41" t="n">
        <f aca="false">$B$2+169</f>
        <v>46485</v>
      </c>
      <c r="B174" s="42" t="str">
        <f aca="false">CHOOSE(WEEKDAY(A174,2),"Lu","Ma","Mi","Jo","Vi","Sâ","Du")</f>
        <v>Jo</v>
      </c>
      <c r="C174" s="42" t="str">
        <f aca="false">IF(AND(ISNUMBER(MATCH(A174,Sezoane!$C$6:$C$40,1)),A174&lt;=INDEX(Sezoane!$D$6:$D$40,MATCH(A174,Sezoane!$C$6:$C$40,1))),INDEX(Sezoane!$A$6:$A$40,MATCH(A174,Sezoane!$C$6:$C$40,1)),"⚠ fără sezon")</f>
        <v>⚠ fără sezon</v>
      </c>
      <c r="D174" s="42" t="str">
        <f aca="false">IF(AND(ISNUMBER(MATCH(A174,Sezoane!$C$6:$C$40,1)),A174&lt;=INDEX(Sezoane!$D$6:$D$40,MATCH(A174,Sezoane!$C$6:$C$40,1))),INDEX(Sezoane!$F$6:$F$40,MATCH(A174,Sezoane!$C$6:$C$40,1)),"")</f>
        <v/>
      </c>
      <c r="E174" s="44" t="str">
        <f aca="false">IF(AND(ISNUMBER(MATCH(A174,Sezoane!$C$6:$C$40,1)),A174&lt;=INDEX(Sezoane!$D$6:$D$40,MATCH(A174,Sezoane!$C$6:$C$40,1))),INDEX('Prețuri de setat'!$E$5:$E$39,MATCH(A174,Sezoane!$C$6:$C$40,1)),"")</f>
        <v/>
      </c>
      <c r="F174" s="44" t="str">
        <f aca="false">IF(AND(ISNUMBER(MATCH(A174,Sezoane!$C$6:$C$40,1)),A174&lt;=INDEX(Sezoane!$D$6:$D$40,MATCH(A174,Sezoane!$C$6:$C$40,1))),INDEX('Prețuri de setat'!$F$5:$F$39,MATCH(A174,Sezoane!$C$6:$C$40,1)),"")</f>
        <v/>
      </c>
      <c r="G174" s="44" t="str">
        <f aca="false">IF(AND(ISNUMBER(MATCH(A174,Sezoane!$C$6:$C$40,1)),A174&lt;=INDEX(Sezoane!$D$6:$D$40,MATCH(A174,Sezoane!$C$6:$C$40,1))),INDEX('Prețuri de setat'!$G$5:$G$39,MATCH(A174,Sezoane!$C$6:$C$40,1)),"")</f>
        <v/>
      </c>
      <c r="H174" s="44" t="str">
        <f aca="false">IF(AND(ISNUMBER(MATCH(A174,Sezoane!$C$6:$C$40,1)),A174&lt;=INDEX(Sezoane!$D$6:$D$40,MATCH(A174,Sezoane!$C$6:$C$40,1))),INDEX('Prețuri de setat'!$H$5:$H$39,MATCH(A174,Sezoane!$C$6:$C$40,1)),"")</f>
        <v/>
      </c>
      <c r="I174" s="44" t="str">
        <f aca="false">IF(AND(ISNUMBER(MATCH(A174,Sezoane!$C$6:$C$40,1)),A174&lt;=INDEX(Sezoane!$D$6:$D$40,MATCH(A174,Sezoane!$C$6:$C$40,1))),INDEX('Prețuri de setat'!$I$5:$I$39,MATCH(A174,Sezoane!$C$6:$C$40,1)),"")</f>
        <v/>
      </c>
    </row>
    <row r="175" customFormat="false" ht="15" hidden="false" customHeight="false" outlineLevel="0" collapsed="false">
      <c r="A175" s="41" t="n">
        <f aca="false">$B$2+170</f>
        <v>46486</v>
      </c>
      <c r="B175" s="42" t="str">
        <f aca="false">CHOOSE(WEEKDAY(A175,2),"Lu","Ma","Mi","Jo","Vi","Sâ","Du")</f>
        <v>Vi</v>
      </c>
      <c r="C175" s="42" t="str">
        <f aca="false">IF(AND(ISNUMBER(MATCH(A175,Sezoane!$C$6:$C$40,1)),A175&lt;=INDEX(Sezoane!$D$6:$D$40,MATCH(A175,Sezoane!$C$6:$C$40,1))),INDEX(Sezoane!$A$6:$A$40,MATCH(A175,Sezoane!$C$6:$C$40,1)),"⚠ fără sezon")</f>
        <v>⚠ fără sezon</v>
      </c>
      <c r="D175" s="42" t="str">
        <f aca="false">IF(AND(ISNUMBER(MATCH(A175,Sezoane!$C$6:$C$40,1)),A175&lt;=INDEX(Sezoane!$D$6:$D$40,MATCH(A175,Sezoane!$C$6:$C$40,1))),INDEX(Sezoane!$F$6:$F$40,MATCH(A175,Sezoane!$C$6:$C$40,1)),"")</f>
        <v/>
      </c>
      <c r="E175" s="44" t="str">
        <f aca="false">IF(AND(ISNUMBER(MATCH(A175,Sezoane!$C$6:$C$40,1)),A175&lt;=INDEX(Sezoane!$D$6:$D$40,MATCH(A175,Sezoane!$C$6:$C$40,1))),INDEX('Prețuri de setat'!$E$5:$E$39,MATCH(A175,Sezoane!$C$6:$C$40,1)),"")</f>
        <v/>
      </c>
      <c r="F175" s="44" t="str">
        <f aca="false">IF(AND(ISNUMBER(MATCH(A175,Sezoane!$C$6:$C$40,1)),A175&lt;=INDEX(Sezoane!$D$6:$D$40,MATCH(A175,Sezoane!$C$6:$C$40,1))),INDEX('Prețuri de setat'!$F$5:$F$39,MATCH(A175,Sezoane!$C$6:$C$40,1)),"")</f>
        <v/>
      </c>
      <c r="G175" s="44" t="str">
        <f aca="false">IF(AND(ISNUMBER(MATCH(A175,Sezoane!$C$6:$C$40,1)),A175&lt;=INDEX(Sezoane!$D$6:$D$40,MATCH(A175,Sezoane!$C$6:$C$40,1))),INDEX('Prețuri de setat'!$G$5:$G$39,MATCH(A175,Sezoane!$C$6:$C$40,1)),"")</f>
        <v/>
      </c>
      <c r="H175" s="44" t="str">
        <f aca="false">IF(AND(ISNUMBER(MATCH(A175,Sezoane!$C$6:$C$40,1)),A175&lt;=INDEX(Sezoane!$D$6:$D$40,MATCH(A175,Sezoane!$C$6:$C$40,1))),INDEX('Prețuri de setat'!$H$5:$H$39,MATCH(A175,Sezoane!$C$6:$C$40,1)),"")</f>
        <v/>
      </c>
      <c r="I175" s="44" t="str">
        <f aca="false">IF(AND(ISNUMBER(MATCH(A175,Sezoane!$C$6:$C$40,1)),A175&lt;=INDEX(Sezoane!$D$6:$D$40,MATCH(A175,Sezoane!$C$6:$C$40,1))),INDEX('Prețuri de setat'!$I$5:$I$39,MATCH(A175,Sezoane!$C$6:$C$40,1)),"")</f>
        <v/>
      </c>
    </row>
    <row r="176" customFormat="false" ht="15" hidden="false" customHeight="false" outlineLevel="0" collapsed="false">
      <c r="A176" s="41" t="n">
        <f aca="false">$B$2+171</f>
        <v>46487</v>
      </c>
      <c r="B176" s="42" t="str">
        <f aca="false">CHOOSE(WEEKDAY(A176,2),"Lu","Ma","Mi","Jo","Vi","Sâ","Du")</f>
        <v>Sâ</v>
      </c>
      <c r="C176" s="42" t="str">
        <f aca="false">IF(AND(ISNUMBER(MATCH(A176,Sezoane!$C$6:$C$40,1)),A176&lt;=INDEX(Sezoane!$D$6:$D$40,MATCH(A176,Sezoane!$C$6:$C$40,1))),INDEX(Sezoane!$A$6:$A$40,MATCH(A176,Sezoane!$C$6:$C$40,1)),"⚠ fără sezon")</f>
        <v>⚠ fără sezon</v>
      </c>
      <c r="D176" s="42" t="str">
        <f aca="false">IF(AND(ISNUMBER(MATCH(A176,Sezoane!$C$6:$C$40,1)),A176&lt;=INDEX(Sezoane!$D$6:$D$40,MATCH(A176,Sezoane!$C$6:$C$40,1))),INDEX(Sezoane!$F$6:$F$40,MATCH(A176,Sezoane!$C$6:$C$40,1)),"")</f>
        <v/>
      </c>
      <c r="E176" s="44" t="str">
        <f aca="false">IF(AND(ISNUMBER(MATCH(A176,Sezoane!$C$6:$C$40,1)),A176&lt;=INDEX(Sezoane!$D$6:$D$40,MATCH(A176,Sezoane!$C$6:$C$40,1))),INDEX('Prețuri de setat'!$E$5:$E$39,MATCH(A176,Sezoane!$C$6:$C$40,1)),"")</f>
        <v/>
      </c>
      <c r="F176" s="44" t="str">
        <f aca="false">IF(AND(ISNUMBER(MATCH(A176,Sezoane!$C$6:$C$40,1)),A176&lt;=INDEX(Sezoane!$D$6:$D$40,MATCH(A176,Sezoane!$C$6:$C$40,1))),INDEX('Prețuri de setat'!$F$5:$F$39,MATCH(A176,Sezoane!$C$6:$C$40,1)),"")</f>
        <v/>
      </c>
      <c r="G176" s="44" t="str">
        <f aca="false">IF(AND(ISNUMBER(MATCH(A176,Sezoane!$C$6:$C$40,1)),A176&lt;=INDEX(Sezoane!$D$6:$D$40,MATCH(A176,Sezoane!$C$6:$C$40,1))),INDEX('Prețuri de setat'!$G$5:$G$39,MATCH(A176,Sezoane!$C$6:$C$40,1)),"")</f>
        <v/>
      </c>
      <c r="H176" s="44" t="str">
        <f aca="false">IF(AND(ISNUMBER(MATCH(A176,Sezoane!$C$6:$C$40,1)),A176&lt;=INDEX(Sezoane!$D$6:$D$40,MATCH(A176,Sezoane!$C$6:$C$40,1))),INDEX('Prețuri de setat'!$H$5:$H$39,MATCH(A176,Sezoane!$C$6:$C$40,1)),"")</f>
        <v/>
      </c>
      <c r="I176" s="44" t="str">
        <f aca="false">IF(AND(ISNUMBER(MATCH(A176,Sezoane!$C$6:$C$40,1)),A176&lt;=INDEX(Sezoane!$D$6:$D$40,MATCH(A176,Sezoane!$C$6:$C$40,1))),INDEX('Prețuri de setat'!$I$5:$I$39,MATCH(A176,Sezoane!$C$6:$C$40,1)),"")</f>
        <v/>
      </c>
    </row>
    <row r="177" customFormat="false" ht="15" hidden="false" customHeight="false" outlineLevel="0" collapsed="false">
      <c r="A177" s="41" t="n">
        <f aca="false">$B$2+172</f>
        <v>46488</v>
      </c>
      <c r="B177" s="42" t="str">
        <f aca="false">CHOOSE(WEEKDAY(A177,2),"Lu","Ma","Mi","Jo","Vi","Sâ","Du")</f>
        <v>Du</v>
      </c>
      <c r="C177" s="42" t="str">
        <f aca="false">IF(AND(ISNUMBER(MATCH(A177,Sezoane!$C$6:$C$40,1)),A177&lt;=INDEX(Sezoane!$D$6:$D$40,MATCH(A177,Sezoane!$C$6:$C$40,1))),INDEX(Sezoane!$A$6:$A$40,MATCH(A177,Sezoane!$C$6:$C$40,1)),"⚠ fără sezon")</f>
        <v>⚠ fără sezon</v>
      </c>
      <c r="D177" s="42" t="str">
        <f aca="false">IF(AND(ISNUMBER(MATCH(A177,Sezoane!$C$6:$C$40,1)),A177&lt;=INDEX(Sezoane!$D$6:$D$40,MATCH(A177,Sezoane!$C$6:$C$40,1))),INDEX(Sezoane!$F$6:$F$40,MATCH(A177,Sezoane!$C$6:$C$40,1)),"")</f>
        <v/>
      </c>
      <c r="E177" s="44" t="str">
        <f aca="false">IF(AND(ISNUMBER(MATCH(A177,Sezoane!$C$6:$C$40,1)),A177&lt;=INDEX(Sezoane!$D$6:$D$40,MATCH(A177,Sezoane!$C$6:$C$40,1))),INDEX('Prețuri de setat'!$E$5:$E$39,MATCH(A177,Sezoane!$C$6:$C$40,1)),"")</f>
        <v/>
      </c>
      <c r="F177" s="44" t="str">
        <f aca="false">IF(AND(ISNUMBER(MATCH(A177,Sezoane!$C$6:$C$40,1)),A177&lt;=INDEX(Sezoane!$D$6:$D$40,MATCH(A177,Sezoane!$C$6:$C$40,1))),INDEX('Prețuri de setat'!$F$5:$F$39,MATCH(A177,Sezoane!$C$6:$C$40,1)),"")</f>
        <v/>
      </c>
      <c r="G177" s="44" t="str">
        <f aca="false">IF(AND(ISNUMBER(MATCH(A177,Sezoane!$C$6:$C$40,1)),A177&lt;=INDEX(Sezoane!$D$6:$D$40,MATCH(A177,Sezoane!$C$6:$C$40,1))),INDEX('Prețuri de setat'!$G$5:$G$39,MATCH(A177,Sezoane!$C$6:$C$40,1)),"")</f>
        <v/>
      </c>
      <c r="H177" s="44" t="str">
        <f aca="false">IF(AND(ISNUMBER(MATCH(A177,Sezoane!$C$6:$C$40,1)),A177&lt;=INDEX(Sezoane!$D$6:$D$40,MATCH(A177,Sezoane!$C$6:$C$40,1))),INDEX('Prețuri de setat'!$H$5:$H$39,MATCH(A177,Sezoane!$C$6:$C$40,1)),"")</f>
        <v/>
      </c>
      <c r="I177" s="44" t="str">
        <f aca="false">IF(AND(ISNUMBER(MATCH(A177,Sezoane!$C$6:$C$40,1)),A177&lt;=INDEX(Sezoane!$D$6:$D$40,MATCH(A177,Sezoane!$C$6:$C$40,1))),INDEX('Prețuri de setat'!$I$5:$I$39,MATCH(A177,Sezoane!$C$6:$C$40,1)),"")</f>
        <v/>
      </c>
    </row>
    <row r="178" customFormat="false" ht="15" hidden="false" customHeight="false" outlineLevel="0" collapsed="false">
      <c r="A178" s="41" t="n">
        <f aca="false">$B$2+173</f>
        <v>46489</v>
      </c>
      <c r="B178" s="42" t="str">
        <f aca="false">CHOOSE(WEEKDAY(A178,2),"Lu","Ma","Mi","Jo","Vi","Sâ","Du")</f>
        <v>Lu</v>
      </c>
      <c r="C178" s="42" t="str">
        <f aca="false">IF(AND(ISNUMBER(MATCH(A178,Sezoane!$C$6:$C$40,1)),A178&lt;=INDEX(Sezoane!$D$6:$D$40,MATCH(A178,Sezoane!$C$6:$C$40,1))),INDEX(Sezoane!$A$6:$A$40,MATCH(A178,Sezoane!$C$6:$C$40,1)),"⚠ fără sezon")</f>
        <v>⚠ fără sezon</v>
      </c>
      <c r="D178" s="42" t="str">
        <f aca="false">IF(AND(ISNUMBER(MATCH(A178,Sezoane!$C$6:$C$40,1)),A178&lt;=INDEX(Sezoane!$D$6:$D$40,MATCH(A178,Sezoane!$C$6:$C$40,1))),INDEX(Sezoane!$F$6:$F$40,MATCH(A178,Sezoane!$C$6:$C$40,1)),"")</f>
        <v/>
      </c>
      <c r="E178" s="44" t="str">
        <f aca="false">IF(AND(ISNUMBER(MATCH(A178,Sezoane!$C$6:$C$40,1)),A178&lt;=INDEX(Sezoane!$D$6:$D$40,MATCH(A178,Sezoane!$C$6:$C$40,1))),INDEX('Prețuri de setat'!$E$5:$E$39,MATCH(A178,Sezoane!$C$6:$C$40,1)),"")</f>
        <v/>
      </c>
      <c r="F178" s="44" t="str">
        <f aca="false">IF(AND(ISNUMBER(MATCH(A178,Sezoane!$C$6:$C$40,1)),A178&lt;=INDEX(Sezoane!$D$6:$D$40,MATCH(A178,Sezoane!$C$6:$C$40,1))),INDEX('Prețuri de setat'!$F$5:$F$39,MATCH(A178,Sezoane!$C$6:$C$40,1)),"")</f>
        <v/>
      </c>
      <c r="G178" s="44" t="str">
        <f aca="false">IF(AND(ISNUMBER(MATCH(A178,Sezoane!$C$6:$C$40,1)),A178&lt;=INDEX(Sezoane!$D$6:$D$40,MATCH(A178,Sezoane!$C$6:$C$40,1))),INDEX('Prețuri de setat'!$G$5:$G$39,MATCH(A178,Sezoane!$C$6:$C$40,1)),"")</f>
        <v/>
      </c>
      <c r="H178" s="44" t="str">
        <f aca="false">IF(AND(ISNUMBER(MATCH(A178,Sezoane!$C$6:$C$40,1)),A178&lt;=INDEX(Sezoane!$D$6:$D$40,MATCH(A178,Sezoane!$C$6:$C$40,1))),INDEX('Prețuri de setat'!$H$5:$H$39,MATCH(A178,Sezoane!$C$6:$C$40,1)),"")</f>
        <v/>
      </c>
      <c r="I178" s="44" t="str">
        <f aca="false">IF(AND(ISNUMBER(MATCH(A178,Sezoane!$C$6:$C$40,1)),A178&lt;=INDEX(Sezoane!$D$6:$D$40,MATCH(A178,Sezoane!$C$6:$C$40,1))),INDEX('Prețuri de setat'!$I$5:$I$39,MATCH(A178,Sezoane!$C$6:$C$40,1)),"")</f>
        <v/>
      </c>
    </row>
    <row r="179" customFormat="false" ht="15" hidden="false" customHeight="false" outlineLevel="0" collapsed="false">
      <c r="A179" s="41" t="n">
        <f aca="false">$B$2+174</f>
        <v>46490</v>
      </c>
      <c r="B179" s="42" t="str">
        <f aca="false">CHOOSE(WEEKDAY(A179,2),"Lu","Ma","Mi","Jo","Vi","Sâ","Du")</f>
        <v>Ma</v>
      </c>
      <c r="C179" s="42" t="str">
        <f aca="false">IF(AND(ISNUMBER(MATCH(A179,Sezoane!$C$6:$C$40,1)),A179&lt;=INDEX(Sezoane!$D$6:$D$40,MATCH(A179,Sezoane!$C$6:$C$40,1))),INDEX(Sezoane!$A$6:$A$40,MATCH(A179,Sezoane!$C$6:$C$40,1)),"⚠ fără sezon")</f>
        <v>⚠ fără sezon</v>
      </c>
      <c r="D179" s="42" t="str">
        <f aca="false">IF(AND(ISNUMBER(MATCH(A179,Sezoane!$C$6:$C$40,1)),A179&lt;=INDEX(Sezoane!$D$6:$D$40,MATCH(A179,Sezoane!$C$6:$C$40,1))),INDEX(Sezoane!$F$6:$F$40,MATCH(A179,Sezoane!$C$6:$C$40,1)),"")</f>
        <v/>
      </c>
      <c r="E179" s="44" t="str">
        <f aca="false">IF(AND(ISNUMBER(MATCH(A179,Sezoane!$C$6:$C$40,1)),A179&lt;=INDEX(Sezoane!$D$6:$D$40,MATCH(A179,Sezoane!$C$6:$C$40,1))),INDEX('Prețuri de setat'!$E$5:$E$39,MATCH(A179,Sezoane!$C$6:$C$40,1)),"")</f>
        <v/>
      </c>
      <c r="F179" s="44" t="str">
        <f aca="false">IF(AND(ISNUMBER(MATCH(A179,Sezoane!$C$6:$C$40,1)),A179&lt;=INDEX(Sezoane!$D$6:$D$40,MATCH(A179,Sezoane!$C$6:$C$40,1))),INDEX('Prețuri de setat'!$F$5:$F$39,MATCH(A179,Sezoane!$C$6:$C$40,1)),"")</f>
        <v/>
      </c>
      <c r="G179" s="44" t="str">
        <f aca="false">IF(AND(ISNUMBER(MATCH(A179,Sezoane!$C$6:$C$40,1)),A179&lt;=INDEX(Sezoane!$D$6:$D$40,MATCH(A179,Sezoane!$C$6:$C$40,1))),INDEX('Prețuri de setat'!$G$5:$G$39,MATCH(A179,Sezoane!$C$6:$C$40,1)),"")</f>
        <v/>
      </c>
      <c r="H179" s="44" t="str">
        <f aca="false">IF(AND(ISNUMBER(MATCH(A179,Sezoane!$C$6:$C$40,1)),A179&lt;=INDEX(Sezoane!$D$6:$D$40,MATCH(A179,Sezoane!$C$6:$C$40,1))),INDEX('Prețuri de setat'!$H$5:$H$39,MATCH(A179,Sezoane!$C$6:$C$40,1)),"")</f>
        <v/>
      </c>
      <c r="I179" s="44" t="str">
        <f aca="false">IF(AND(ISNUMBER(MATCH(A179,Sezoane!$C$6:$C$40,1)),A179&lt;=INDEX(Sezoane!$D$6:$D$40,MATCH(A179,Sezoane!$C$6:$C$40,1))),INDEX('Prețuri de setat'!$I$5:$I$39,MATCH(A179,Sezoane!$C$6:$C$40,1)),"")</f>
        <v/>
      </c>
    </row>
    <row r="180" customFormat="false" ht="15" hidden="false" customHeight="false" outlineLevel="0" collapsed="false">
      <c r="A180" s="41" t="n">
        <f aca="false">$B$2+175</f>
        <v>46491</v>
      </c>
      <c r="B180" s="42" t="str">
        <f aca="false">CHOOSE(WEEKDAY(A180,2),"Lu","Ma","Mi","Jo","Vi","Sâ","Du")</f>
        <v>Mi</v>
      </c>
      <c r="C180" s="42" t="str">
        <f aca="false">IF(AND(ISNUMBER(MATCH(A180,Sezoane!$C$6:$C$40,1)),A180&lt;=INDEX(Sezoane!$D$6:$D$40,MATCH(A180,Sezoane!$C$6:$C$40,1))),INDEX(Sezoane!$A$6:$A$40,MATCH(A180,Sezoane!$C$6:$C$40,1)),"⚠ fără sezon")</f>
        <v>⚠ fără sezon</v>
      </c>
      <c r="D180" s="42" t="str">
        <f aca="false">IF(AND(ISNUMBER(MATCH(A180,Sezoane!$C$6:$C$40,1)),A180&lt;=INDEX(Sezoane!$D$6:$D$40,MATCH(A180,Sezoane!$C$6:$C$40,1))),INDEX(Sezoane!$F$6:$F$40,MATCH(A180,Sezoane!$C$6:$C$40,1)),"")</f>
        <v/>
      </c>
      <c r="E180" s="44" t="str">
        <f aca="false">IF(AND(ISNUMBER(MATCH(A180,Sezoane!$C$6:$C$40,1)),A180&lt;=INDEX(Sezoane!$D$6:$D$40,MATCH(A180,Sezoane!$C$6:$C$40,1))),INDEX('Prețuri de setat'!$E$5:$E$39,MATCH(A180,Sezoane!$C$6:$C$40,1)),"")</f>
        <v/>
      </c>
      <c r="F180" s="44" t="str">
        <f aca="false">IF(AND(ISNUMBER(MATCH(A180,Sezoane!$C$6:$C$40,1)),A180&lt;=INDEX(Sezoane!$D$6:$D$40,MATCH(A180,Sezoane!$C$6:$C$40,1))),INDEX('Prețuri de setat'!$F$5:$F$39,MATCH(A180,Sezoane!$C$6:$C$40,1)),"")</f>
        <v/>
      </c>
      <c r="G180" s="44" t="str">
        <f aca="false">IF(AND(ISNUMBER(MATCH(A180,Sezoane!$C$6:$C$40,1)),A180&lt;=INDEX(Sezoane!$D$6:$D$40,MATCH(A180,Sezoane!$C$6:$C$40,1))),INDEX('Prețuri de setat'!$G$5:$G$39,MATCH(A180,Sezoane!$C$6:$C$40,1)),"")</f>
        <v/>
      </c>
      <c r="H180" s="44" t="str">
        <f aca="false">IF(AND(ISNUMBER(MATCH(A180,Sezoane!$C$6:$C$40,1)),A180&lt;=INDEX(Sezoane!$D$6:$D$40,MATCH(A180,Sezoane!$C$6:$C$40,1))),INDEX('Prețuri de setat'!$H$5:$H$39,MATCH(A180,Sezoane!$C$6:$C$40,1)),"")</f>
        <v/>
      </c>
      <c r="I180" s="44" t="str">
        <f aca="false">IF(AND(ISNUMBER(MATCH(A180,Sezoane!$C$6:$C$40,1)),A180&lt;=INDEX(Sezoane!$D$6:$D$40,MATCH(A180,Sezoane!$C$6:$C$40,1))),INDEX('Prețuri de setat'!$I$5:$I$39,MATCH(A180,Sezoane!$C$6:$C$40,1)),"")</f>
        <v/>
      </c>
    </row>
    <row r="181" customFormat="false" ht="15" hidden="false" customHeight="false" outlineLevel="0" collapsed="false">
      <c r="A181" s="41" t="n">
        <f aca="false">$B$2+176</f>
        <v>46492</v>
      </c>
      <c r="B181" s="42" t="str">
        <f aca="false">CHOOSE(WEEKDAY(A181,2),"Lu","Ma","Mi","Jo","Vi","Sâ","Du")</f>
        <v>Jo</v>
      </c>
      <c r="C181" s="42" t="str">
        <f aca="false">IF(AND(ISNUMBER(MATCH(A181,Sezoane!$C$6:$C$40,1)),A181&lt;=INDEX(Sezoane!$D$6:$D$40,MATCH(A181,Sezoane!$C$6:$C$40,1))),INDEX(Sezoane!$A$6:$A$40,MATCH(A181,Sezoane!$C$6:$C$40,1)),"⚠ fără sezon")</f>
        <v>⚠ fără sezon</v>
      </c>
      <c r="D181" s="42" t="str">
        <f aca="false">IF(AND(ISNUMBER(MATCH(A181,Sezoane!$C$6:$C$40,1)),A181&lt;=INDEX(Sezoane!$D$6:$D$40,MATCH(A181,Sezoane!$C$6:$C$40,1))),INDEX(Sezoane!$F$6:$F$40,MATCH(A181,Sezoane!$C$6:$C$40,1)),"")</f>
        <v/>
      </c>
      <c r="E181" s="44" t="str">
        <f aca="false">IF(AND(ISNUMBER(MATCH(A181,Sezoane!$C$6:$C$40,1)),A181&lt;=INDEX(Sezoane!$D$6:$D$40,MATCH(A181,Sezoane!$C$6:$C$40,1))),INDEX('Prețuri de setat'!$E$5:$E$39,MATCH(A181,Sezoane!$C$6:$C$40,1)),"")</f>
        <v/>
      </c>
      <c r="F181" s="44" t="str">
        <f aca="false">IF(AND(ISNUMBER(MATCH(A181,Sezoane!$C$6:$C$40,1)),A181&lt;=INDEX(Sezoane!$D$6:$D$40,MATCH(A181,Sezoane!$C$6:$C$40,1))),INDEX('Prețuri de setat'!$F$5:$F$39,MATCH(A181,Sezoane!$C$6:$C$40,1)),"")</f>
        <v/>
      </c>
      <c r="G181" s="44" t="str">
        <f aca="false">IF(AND(ISNUMBER(MATCH(A181,Sezoane!$C$6:$C$40,1)),A181&lt;=INDEX(Sezoane!$D$6:$D$40,MATCH(A181,Sezoane!$C$6:$C$40,1))),INDEX('Prețuri de setat'!$G$5:$G$39,MATCH(A181,Sezoane!$C$6:$C$40,1)),"")</f>
        <v/>
      </c>
      <c r="H181" s="44" t="str">
        <f aca="false">IF(AND(ISNUMBER(MATCH(A181,Sezoane!$C$6:$C$40,1)),A181&lt;=INDEX(Sezoane!$D$6:$D$40,MATCH(A181,Sezoane!$C$6:$C$40,1))),INDEX('Prețuri de setat'!$H$5:$H$39,MATCH(A181,Sezoane!$C$6:$C$40,1)),"")</f>
        <v/>
      </c>
      <c r="I181" s="44" t="str">
        <f aca="false">IF(AND(ISNUMBER(MATCH(A181,Sezoane!$C$6:$C$40,1)),A181&lt;=INDEX(Sezoane!$D$6:$D$40,MATCH(A181,Sezoane!$C$6:$C$40,1))),INDEX('Prețuri de setat'!$I$5:$I$39,MATCH(A181,Sezoane!$C$6:$C$40,1)),"")</f>
        <v/>
      </c>
    </row>
    <row r="182" customFormat="false" ht="15" hidden="false" customHeight="false" outlineLevel="0" collapsed="false">
      <c r="A182" s="41" t="n">
        <f aca="false">$B$2+177</f>
        <v>46493</v>
      </c>
      <c r="B182" s="42" t="str">
        <f aca="false">CHOOSE(WEEKDAY(A182,2),"Lu","Ma","Mi","Jo","Vi","Sâ","Du")</f>
        <v>Vi</v>
      </c>
      <c r="C182" s="42" t="str">
        <f aca="false">IF(AND(ISNUMBER(MATCH(A182,Sezoane!$C$6:$C$40,1)),A182&lt;=INDEX(Sezoane!$D$6:$D$40,MATCH(A182,Sezoane!$C$6:$C$40,1))),INDEX(Sezoane!$A$6:$A$40,MATCH(A182,Sezoane!$C$6:$C$40,1)),"⚠ fără sezon")</f>
        <v>⚠ fără sezon</v>
      </c>
      <c r="D182" s="42" t="str">
        <f aca="false">IF(AND(ISNUMBER(MATCH(A182,Sezoane!$C$6:$C$40,1)),A182&lt;=INDEX(Sezoane!$D$6:$D$40,MATCH(A182,Sezoane!$C$6:$C$40,1))),INDEX(Sezoane!$F$6:$F$40,MATCH(A182,Sezoane!$C$6:$C$40,1)),"")</f>
        <v/>
      </c>
      <c r="E182" s="44" t="str">
        <f aca="false">IF(AND(ISNUMBER(MATCH(A182,Sezoane!$C$6:$C$40,1)),A182&lt;=INDEX(Sezoane!$D$6:$D$40,MATCH(A182,Sezoane!$C$6:$C$40,1))),INDEX('Prețuri de setat'!$E$5:$E$39,MATCH(A182,Sezoane!$C$6:$C$40,1)),"")</f>
        <v/>
      </c>
      <c r="F182" s="44" t="str">
        <f aca="false">IF(AND(ISNUMBER(MATCH(A182,Sezoane!$C$6:$C$40,1)),A182&lt;=INDEX(Sezoane!$D$6:$D$40,MATCH(A182,Sezoane!$C$6:$C$40,1))),INDEX('Prețuri de setat'!$F$5:$F$39,MATCH(A182,Sezoane!$C$6:$C$40,1)),"")</f>
        <v/>
      </c>
      <c r="G182" s="44" t="str">
        <f aca="false">IF(AND(ISNUMBER(MATCH(A182,Sezoane!$C$6:$C$40,1)),A182&lt;=INDEX(Sezoane!$D$6:$D$40,MATCH(A182,Sezoane!$C$6:$C$40,1))),INDEX('Prețuri de setat'!$G$5:$G$39,MATCH(A182,Sezoane!$C$6:$C$40,1)),"")</f>
        <v/>
      </c>
      <c r="H182" s="44" t="str">
        <f aca="false">IF(AND(ISNUMBER(MATCH(A182,Sezoane!$C$6:$C$40,1)),A182&lt;=INDEX(Sezoane!$D$6:$D$40,MATCH(A182,Sezoane!$C$6:$C$40,1))),INDEX('Prețuri de setat'!$H$5:$H$39,MATCH(A182,Sezoane!$C$6:$C$40,1)),"")</f>
        <v/>
      </c>
      <c r="I182" s="44" t="str">
        <f aca="false">IF(AND(ISNUMBER(MATCH(A182,Sezoane!$C$6:$C$40,1)),A182&lt;=INDEX(Sezoane!$D$6:$D$40,MATCH(A182,Sezoane!$C$6:$C$40,1))),INDEX('Prețuri de setat'!$I$5:$I$39,MATCH(A182,Sezoane!$C$6:$C$40,1)),"")</f>
        <v/>
      </c>
    </row>
    <row r="183" customFormat="false" ht="15" hidden="false" customHeight="false" outlineLevel="0" collapsed="false">
      <c r="A183" s="41" t="n">
        <f aca="false">$B$2+178</f>
        <v>46494</v>
      </c>
      <c r="B183" s="42" t="str">
        <f aca="false">CHOOSE(WEEKDAY(A183,2),"Lu","Ma","Mi","Jo","Vi","Sâ","Du")</f>
        <v>Sâ</v>
      </c>
      <c r="C183" s="42" t="str">
        <f aca="false">IF(AND(ISNUMBER(MATCH(A183,Sezoane!$C$6:$C$40,1)),A183&lt;=INDEX(Sezoane!$D$6:$D$40,MATCH(A183,Sezoane!$C$6:$C$40,1))),INDEX(Sezoane!$A$6:$A$40,MATCH(A183,Sezoane!$C$6:$C$40,1)),"⚠ fără sezon")</f>
        <v>⚠ fără sezon</v>
      </c>
      <c r="D183" s="42" t="str">
        <f aca="false">IF(AND(ISNUMBER(MATCH(A183,Sezoane!$C$6:$C$40,1)),A183&lt;=INDEX(Sezoane!$D$6:$D$40,MATCH(A183,Sezoane!$C$6:$C$40,1))),INDEX(Sezoane!$F$6:$F$40,MATCH(A183,Sezoane!$C$6:$C$40,1)),"")</f>
        <v/>
      </c>
      <c r="E183" s="44" t="str">
        <f aca="false">IF(AND(ISNUMBER(MATCH(A183,Sezoane!$C$6:$C$40,1)),A183&lt;=INDEX(Sezoane!$D$6:$D$40,MATCH(A183,Sezoane!$C$6:$C$40,1))),INDEX('Prețuri de setat'!$E$5:$E$39,MATCH(A183,Sezoane!$C$6:$C$40,1)),"")</f>
        <v/>
      </c>
      <c r="F183" s="44" t="str">
        <f aca="false">IF(AND(ISNUMBER(MATCH(A183,Sezoane!$C$6:$C$40,1)),A183&lt;=INDEX(Sezoane!$D$6:$D$40,MATCH(A183,Sezoane!$C$6:$C$40,1))),INDEX('Prețuri de setat'!$F$5:$F$39,MATCH(A183,Sezoane!$C$6:$C$40,1)),"")</f>
        <v/>
      </c>
      <c r="G183" s="44" t="str">
        <f aca="false">IF(AND(ISNUMBER(MATCH(A183,Sezoane!$C$6:$C$40,1)),A183&lt;=INDEX(Sezoane!$D$6:$D$40,MATCH(A183,Sezoane!$C$6:$C$40,1))),INDEX('Prețuri de setat'!$G$5:$G$39,MATCH(A183,Sezoane!$C$6:$C$40,1)),"")</f>
        <v/>
      </c>
      <c r="H183" s="44" t="str">
        <f aca="false">IF(AND(ISNUMBER(MATCH(A183,Sezoane!$C$6:$C$40,1)),A183&lt;=INDEX(Sezoane!$D$6:$D$40,MATCH(A183,Sezoane!$C$6:$C$40,1))),INDEX('Prețuri de setat'!$H$5:$H$39,MATCH(A183,Sezoane!$C$6:$C$40,1)),"")</f>
        <v/>
      </c>
      <c r="I183" s="44" t="str">
        <f aca="false">IF(AND(ISNUMBER(MATCH(A183,Sezoane!$C$6:$C$40,1)),A183&lt;=INDEX(Sezoane!$D$6:$D$40,MATCH(A183,Sezoane!$C$6:$C$40,1))),INDEX('Prețuri de setat'!$I$5:$I$39,MATCH(A183,Sezoane!$C$6:$C$40,1)),"")</f>
        <v/>
      </c>
    </row>
    <row r="184" customFormat="false" ht="15" hidden="false" customHeight="false" outlineLevel="0" collapsed="false">
      <c r="A184" s="41" t="n">
        <f aca="false">$B$2+179</f>
        <v>46495</v>
      </c>
      <c r="B184" s="42" t="str">
        <f aca="false">CHOOSE(WEEKDAY(A184,2),"Lu","Ma","Mi","Jo","Vi","Sâ","Du")</f>
        <v>Du</v>
      </c>
      <c r="C184" s="42" t="str">
        <f aca="false">IF(AND(ISNUMBER(MATCH(A184,Sezoane!$C$6:$C$40,1)),A184&lt;=INDEX(Sezoane!$D$6:$D$40,MATCH(A184,Sezoane!$C$6:$C$40,1))),INDEX(Sezoane!$A$6:$A$40,MATCH(A184,Sezoane!$C$6:$C$40,1)),"⚠ fără sezon")</f>
        <v>⚠ fără sezon</v>
      </c>
      <c r="D184" s="42" t="str">
        <f aca="false">IF(AND(ISNUMBER(MATCH(A184,Sezoane!$C$6:$C$40,1)),A184&lt;=INDEX(Sezoane!$D$6:$D$40,MATCH(A184,Sezoane!$C$6:$C$40,1))),INDEX(Sezoane!$F$6:$F$40,MATCH(A184,Sezoane!$C$6:$C$40,1)),"")</f>
        <v/>
      </c>
      <c r="E184" s="44" t="str">
        <f aca="false">IF(AND(ISNUMBER(MATCH(A184,Sezoane!$C$6:$C$40,1)),A184&lt;=INDEX(Sezoane!$D$6:$D$40,MATCH(A184,Sezoane!$C$6:$C$40,1))),INDEX('Prețuri de setat'!$E$5:$E$39,MATCH(A184,Sezoane!$C$6:$C$40,1)),"")</f>
        <v/>
      </c>
      <c r="F184" s="44" t="str">
        <f aca="false">IF(AND(ISNUMBER(MATCH(A184,Sezoane!$C$6:$C$40,1)),A184&lt;=INDEX(Sezoane!$D$6:$D$40,MATCH(A184,Sezoane!$C$6:$C$40,1))),INDEX('Prețuri de setat'!$F$5:$F$39,MATCH(A184,Sezoane!$C$6:$C$40,1)),"")</f>
        <v/>
      </c>
      <c r="G184" s="44" t="str">
        <f aca="false">IF(AND(ISNUMBER(MATCH(A184,Sezoane!$C$6:$C$40,1)),A184&lt;=INDEX(Sezoane!$D$6:$D$40,MATCH(A184,Sezoane!$C$6:$C$40,1))),INDEX('Prețuri de setat'!$G$5:$G$39,MATCH(A184,Sezoane!$C$6:$C$40,1)),"")</f>
        <v/>
      </c>
      <c r="H184" s="44" t="str">
        <f aca="false">IF(AND(ISNUMBER(MATCH(A184,Sezoane!$C$6:$C$40,1)),A184&lt;=INDEX(Sezoane!$D$6:$D$40,MATCH(A184,Sezoane!$C$6:$C$40,1))),INDEX('Prețuri de setat'!$H$5:$H$39,MATCH(A184,Sezoane!$C$6:$C$40,1)),"")</f>
        <v/>
      </c>
      <c r="I184" s="44" t="str">
        <f aca="false">IF(AND(ISNUMBER(MATCH(A184,Sezoane!$C$6:$C$40,1)),A184&lt;=INDEX(Sezoane!$D$6:$D$40,MATCH(A184,Sezoane!$C$6:$C$40,1))),INDEX('Prețuri de setat'!$I$5:$I$39,MATCH(A184,Sezoane!$C$6:$C$40,1)),"")</f>
        <v/>
      </c>
    </row>
    <row r="185" customFormat="false" ht="15" hidden="false" customHeight="false" outlineLevel="0" collapsed="false">
      <c r="A185" s="41" t="n">
        <f aca="false">$B$2+180</f>
        <v>46496</v>
      </c>
      <c r="B185" s="42" t="str">
        <f aca="false">CHOOSE(WEEKDAY(A185,2),"Lu","Ma","Mi","Jo","Vi","Sâ","Du")</f>
        <v>Lu</v>
      </c>
      <c r="C185" s="42" t="str">
        <f aca="false">IF(AND(ISNUMBER(MATCH(A185,Sezoane!$C$6:$C$40,1)),A185&lt;=INDEX(Sezoane!$D$6:$D$40,MATCH(A185,Sezoane!$C$6:$C$40,1))),INDEX(Sezoane!$A$6:$A$40,MATCH(A185,Sezoane!$C$6:$C$40,1)),"⚠ fără sezon")</f>
        <v>⚠ fără sezon</v>
      </c>
      <c r="D185" s="42" t="str">
        <f aca="false">IF(AND(ISNUMBER(MATCH(A185,Sezoane!$C$6:$C$40,1)),A185&lt;=INDEX(Sezoane!$D$6:$D$40,MATCH(A185,Sezoane!$C$6:$C$40,1))),INDEX(Sezoane!$F$6:$F$40,MATCH(A185,Sezoane!$C$6:$C$40,1)),"")</f>
        <v/>
      </c>
      <c r="E185" s="44" t="str">
        <f aca="false">IF(AND(ISNUMBER(MATCH(A185,Sezoane!$C$6:$C$40,1)),A185&lt;=INDEX(Sezoane!$D$6:$D$40,MATCH(A185,Sezoane!$C$6:$C$40,1))),INDEX('Prețuri de setat'!$E$5:$E$39,MATCH(A185,Sezoane!$C$6:$C$40,1)),"")</f>
        <v/>
      </c>
      <c r="F185" s="44" t="str">
        <f aca="false">IF(AND(ISNUMBER(MATCH(A185,Sezoane!$C$6:$C$40,1)),A185&lt;=INDEX(Sezoane!$D$6:$D$40,MATCH(A185,Sezoane!$C$6:$C$40,1))),INDEX('Prețuri de setat'!$F$5:$F$39,MATCH(A185,Sezoane!$C$6:$C$40,1)),"")</f>
        <v/>
      </c>
      <c r="G185" s="44" t="str">
        <f aca="false">IF(AND(ISNUMBER(MATCH(A185,Sezoane!$C$6:$C$40,1)),A185&lt;=INDEX(Sezoane!$D$6:$D$40,MATCH(A185,Sezoane!$C$6:$C$40,1))),INDEX('Prețuri de setat'!$G$5:$G$39,MATCH(A185,Sezoane!$C$6:$C$40,1)),"")</f>
        <v/>
      </c>
      <c r="H185" s="44" t="str">
        <f aca="false">IF(AND(ISNUMBER(MATCH(A185,Sezoane!$C$6:$C$40,1)),A185&lt;=INDEX(Sezoane!$D$6:$D$40,MATCH(A185,Sezoane!$C$6:$C$40,1))),INDEX('Prețuri de setat'!$H$5:$H$39,MATCH(A185,Sezoane!$C$6:$C$40,1)),"")</f>
        <v/>
      </c>
      <c r="I185" s="44" t="str">
        <f aca="false">IF(AND(ISNUMBER(MATCH(A185,Sezoane!$C$6:$C$40,1)),A185&lt;=INDEX(Sezoane!$D$6:$D$40,MATCH(A185,Sezoane!$C$6:$C$40,1))),INDEX('Prețuri de setat'!$I$5:$I$39,MATCH(A185,Sezoane!$C$6:$C$40,1)),"")</f>
        <v/>
      </c>
    </row>
    <row r="186" customFormat="false" ht="15" hidden="false" customHeight="false" outlineLevel="0" collapsed="false">
      <c r="A186" s="41" t="n">
        <f aca="false">$B$2+181</f>
        <v>46497</v>
      </c>
      <c r="B186" s="42" t="str">
        <f aca="false">CHOOSE(WEEKDAY(A186,2),"Lu","Ma","Mi","Jo","Vi","Sâ","Du")</f>
        <v>Ma</v>
      </c>
      <c r="C186" s="42" t="str">
        <f aca="false">IF(AND(ISNUMBER(MATCH(A186,Sezoane!$C$6:$C$40,1)),A186&lt;=INDEX(Sezoane!$D$6:$D$40,MATCH(A186,Sezoane!$C$6:$C$40,1))),INDEX(Sezoane!$A$6:$A$40,MATCH(A186,Sezoane!$C$6:$C$40,1)),"⚠ fără sezon")</f>
        <v>⚠ fără sezon</v>
      </c>
      <c r="D186" s="42" t="str">
        <f aca="false">IF(AND(ISNUMBER(MATCH(A186,Sezoane!$C$6:$C$40,1)),A186&lt;=INDEX(Sezoane!$D$6:$D$40,MATCH(A186,Sezoane!$C$6:$C$40,1))),INDEX(Sezoane!$F$6:$F$40,MATCH(A186,Sezoane!$C$6:$C$40,1)),"")</f>
        <v/>
      </c>
      <c r="E186" s="44" t="str">
        <f aca="false">IF(AND(ISNUMBER(MATCH(A186,Sezoane!$C$6:$C$40,1)),A186&lt;=INDEX(Sezoane!$D$6:$D$40,MATCH(A186,Sezoane!$C$6:$C$40,1))),INDEX('Prețuri de setat'!$E$5:$E$39,MATCH(A186,Sezoane!$C$6:$C$40,1)),"")</f>
        <v/>
      </c>
      <c r="F186" s="44" t="str">
        <f aca="false">IF(AND(ISNUMBER(MATCH(A186,Sezoane!$C$6:$C$40,1)),A186&lt;=INDEX(Sezoane!$D$6:$D$40,MATCH(A186,Sezoane!$C$6:$C$40,1))),INDEX('Prețuri de setat'!$F$5:$F$39,MATCH(A186,Sezoane!$C$6:$C$40,1)),"")</f>
        <v/>
      </c>
      <c r="G186" s="44" t="str">
        <f aca="false">IF(AND(ISNUMBER(MATCH(A186,Sezoane!$C$6:$C$40,1)),A186&lt;=INDEX(Sezoane!$D$6:$D$40,MATCH(A186,Sezoane!$C$6:$C$40,1))),INDEX('Prețuri de setat'!$G$5:$G$39,MATCH(A186,Sezoane!$C$6:$C$40,1)),"")</f>
        <v/>
      </c>
      <c r="H186" s="44" t="str">
        <f aca="false">IF(AND(ISNUMBER(MATCH(A186,Sezoane!$C$6:$C$40,1)),A186&lt;=INDEX(Sezoane!$D$6:$D$40,MATCH(A186,Sezoane!$C$6:$C$40,1))),INDEX('Prețuri de setat'!$H$5:$H$39,MATCH(A186,Sezoane!$C$6:$C$40,1)),"")</f>
        <v/>
      </c>
      <c r="I186" s="44" t="str">
        <f aca="false">IF(AND(ISNUMBER(MATCH(A186,Sezoane!$C$6:$C$40,1)),A186&lt;=INDEX(Sezoane!$D$6:$D$40,MATCH(A186,Sezoane!$C$6:$C$40,1))),INDEX('Prețuri de setat'!$I$5:$I$39,MATCH(A186,Sezoane!$C$6:$C$40,1)),"")</f>
        <v/>
      </c>
    </row>
    <row r="187" customFormat="false" ht="15" hidden="false" customHeight="false" outlineLevel="0" collapsed="false">
      <c r="A187" s="41" t="n">
        <f aca="false">$B$2+182</f>
        <v>46498</v>
      </c>
      <c r="B187" s="42" t="str">
        <f aca="false">CHOOSE(WEEKDAY(A187,2),"Lu","Ma","Mi","Jo","Vi","Sâ","Du")</f>
        <v>Mi</v>
      </c>
      <c r="C187" s="42" t="str">
        <f aca="false">IF(AND(ISNUMBER(MATCH(A187,Sezoane!$C$6:$C$40,1)),A187&lt;=INDEX(Sezoane!$D$6:$D$40,MATCH(A187,Sezoane!$C$6:$C$40,1))),INDEX(Sezoane!$A$6:$A$40,MATCH(A187,Sezoane!$C$6:$C$40,1)),"⚠ fără sezon")</f>
        <v>⚠ fără sezon</v>
      </c>
      <c r="D187" s="42" t="str">
        <f aca="false">IF(AND(ISNUMBER(MATCH(A187,Sezoane!$C$6:$C$40,1)),A187&lt;=INDEX(Sezoane!$D$6:$D$40,MATCH(A187,Sezoane!$C$6:$C$40,1))),INDEX(Sezoane!$F$6:$F$40,MATCH(A187,Sezoane!$C$6:$C$40,1)),"")</f>
        <v/>
      </c>
      <c r="E187" s="44" t="str">
        <f aca="false">IF(AND(ISNUMBER(MATCH(A187,Sezoane!$C$6:$C$40,1)),A187&lt;=INDEX(Sezoane!$D$6:$D$40,MATCH(A187,Sezoane!$C$6:$C$40,1))),INDEX('Prețuri de setat'!$E$5:$E$39,MATCH(A187,Sezoane!$C$6:$C$40,1)),"")</f>
        <v/>
      </c>
      <c r="F187" s="44" t="str">
        <f aca="false">IF(AND(ISNUMBER(MATCH(A187,Sezoane!$C$6:$C$40,1)),A187&lt;=INDEX(Sezoane!$D$6:$D$40,MATCH(A187,Sezoane!$C$6:$C$40,1))),INDEX('Prețuri de setat'!$F$5:$F$39,MATCH(A187,Sezoane!$C$6:$C$40,1)),"")</f>
        <v/>
      </c>
      <c r="G187" s="44" t="str">
        <f aca="false">IF(AND(ISNUMBER(MATCH(A187,Sezoane!$C$6:$C$40,1)),A187&lt;=INDEX(Sezoane!$D$6:$D$40,MATCH(A187,Sezoane!$C$6:$C$40,1))),INDEX('Prețuri de setat'!$G$5:$G$39,MATCH(A187,Sezoane!$C$6:$C$40,1)),"")</f>
        <v/>
      </c>
      <c r="H187" s="44" t="str">
        <f aca="false">IF(AND(ISNUMBER(MATCH(A187,Sezoane!$C$6:$C$40,1)),A187&lt;=INDEX(Sezoane!$D$6:$D$40,MATCH(A187,Sezoane!$C$6:$C$40,1))),INDEX('Prețuri de setat'!$H$5:$H$39,MATCH(A187,Sezoane!$C$6:$C$40,1)),"")</f>
        <v/>
      </c>
      <c r="I187" s="44" t="str">
        <f aca="false">IF(AND(ISNUMBER(MATCH(A187,Sezoane!$C$6:$C$40,1)),A187&lt;=INDEX(Sezoane!$D$6:$D$40,MATCH(A187,Sezoane!$C$6:$C$40,1))),INDEX('Prețuri de setat'!$I$5:$I$39,MATCH(A187,Sezoane!$C$6:$C$40,1)),"")</f>
        <v/>
      </c>
    </row>
    <row r="188" customFormat="false" ht="15" hidden="false" customHeight="false" outlineLevel="0" collapsed="false">
      <c r="A188" s="41" t="n">
        <f aca="false">$B$2+183</f>
        <v>46499</v>
      </c>
      <c r="B188" s="42" t="str">
        <f aca="false">CHOOSE(WEEKDAY(A188,2),"Lu","Ma","Mi","Jo","Vi","Sâ","Du")</f>
        <v>Jo</v>
      </c>
      <c r="C188" s="42" t="str">
        <f aca="false">IF(AND(ISNUMBER(MATCH(A188,Sezoane!$C$6:$C$40,1)),A188&lt;=INDEX(Sezoane!$D$6:$D$40,MATCH(A188,Sezoane!$C$6:$C$40,1))),INDEX(Sezoane!$A$6:$A$40,MATCH(A188,Sezoane!$C$6:$C$40,1)),"⚠ fără sezon")</f>
        <v>⚠ fără sezon</v>
      </c>
      <c r="D188" s="42" t="str">
        <f aca="false">IF(AND(ISNUMBER(MATCH(A188,Sezoane!$C$6:$C$40,1)),A188&lt;=INDEX(Sezoane!$D$6:$D$40,MATCH(A188,Sezoane!$C$6:$C$40,1))),INDEX(Sezoane!$F$6:$F$40,MATCH(A188,Sezoane!$C$6:$C$40,1)),"")</f>
        <v/>
      </c>
      <c r="E188" s="44" t="str">
        <f aca="false">IF(AND(ISNUMBER(MATCH(A188,Sezoane!$C$6:$C$40,1)),A188&lt;=INDEX(Sezoane!$D$6:$D$40,MATCH(A188,Sezoane!$C$6:$C$40,1))),INDEX('Prețuri de setat'!$E$5:$E$39,MATCH(A188,Sezoane!$C$6:$C$40,1)),"")</f>
        <v/>
      </c>
      <c r="F188" s="44" t="str">
        <f aca="false">IF(AND(ISNUMBER(MATCH(A188,Sezoane!$C$6:$C$40,1)),A188&lt;=INDEX(Sezoane!$D$6:$D$40,MATCH(A188,Sezoane!$C$6:$C$40,1))),INDEX('Prețuri de setat'!$F$5:$F$39,MATCH(A188,Sezoane!$C$6:$C$40,1)),"")</f>
        <v/>
      </c>
      <c r="G188" s="44" t="str">
        <f aca="false">IF(AND(ISNUMBER(MATCH(A188,Sezoane!$C$6:$C$40,1)),A188&lt;=INDEX(Sezoane!$D$6:$D$40,MATCH(A188,Sezoane!$C$6:$C$40,1))),INDEX('Prețuri de setat'!$G$5:$G$39,MATCH(A188,Sezoane!$C$6:$C$40,1)),"")</f>
        <v/>
      </c>
      <c r="H188" s="44" t="str">
        <f aca="false">IF(AND(ISNUMBER(MATCH(A188,Sezoane!$C$6:$C$40,1)),A188&lt;=INDEX(Sezoane!$D$6:$D$40,MATCH(A188,Sezoane!$C$6:$C$40,1))),INDEX('Prețuri de setat'!$H$5:$H$39,MATCH(A188,Sezoane!$C$6:$C$40,1)),"")</f>
        <v/>
      </c>
      <c r="I188" s="44" t="str">
        <f aca="false">IF(AND(ISNUMBER(MATCH(A188,Sezoane!$C$6:$C$40,1)),A188&lt;=INDEX(Sezoane!$D$6:$D$40,MATCH(A188,Sezoane!$C$6:$C$40,1))),INDEX('Prețuri de setat'!$I$5:$I$39,MATCH(A188,Sezoane!$C$6:$C$40,1)),"")</f>
        <v/>
      </c>
    </row>
    <row r="189" customFormat="false" ht="15" hidden="false" customHeight="false" outlineLevel="0" collapsed="false">
      <c r="A189" s="41" t="n">
        <f aca="false">$B$2+184</f>
        <v>46500</v>
      </c>
      <c r="B189" s="42" t="str">
        <f aca="false">CHOOSE(WEEKDAY(A189,2),"Lu","Ma","Mi","Jo","Vi","Sâ","Du")</f>
        <v>Vi</v>
      </c>
      <c r="C189" s="42" t="str">
        <f aca="false">IF(AND(ISNUMBER(MATCH(A189,Sezoane!$C$6:$C$40,1)),A189&lt;=INDEX(Sezoane!$D$6:$D$40,MATCH(A189,Sezoane!$C$6:$C$40,1))),INDEX(Sezoane!$A$6:$A$40,MATCH(A189,Sezoane!$C$6:$C$40,1)),"⚠ fără sezon")</f>
        <v>⚠ fără sezon</v>
      </c>
      <c r="D189" s="42" t="str">
        <f aca="false">IF(AND(ISNUMBER(MATCH(A189,Sezoane!$C$6:$C$40,1)),A189&lt;=INDEX(Sezoane!$D$6:$D$40,MATCH(A189,Sezoane!$C$6:$C$40,1))),INDEX(Sezoane!$F$6:$F$40,MATCH(A189,Sezoane!$C$6:$C$40,1)),"")</f>
        <v/>
      </c>
      <c r="E189" s="44" t="str">
        <f aca="false">IF(AND(ISNUMBER(MATCH(A189,Sezoane!$C$6:$C$40,1)),A189&lt;=INDEX(Sezoane!$D$6:$D$40,MATCH(A189,Sezoane!$C$6:$C$40,1))),INDEX('Prețuri de setat'!$E$5:$E$39,MATCH(A189,Sezoane!$C$6:$C$40,1)),"")</f>
        <v/>
      </c>
      <c r="F189" s="44" t="str">
        <f aca="false">IF(AND(ISNUMBER(MATCH(A189,Sezoane!$C$6:$C$40,1)),A189&lt;=INDEX(Sezoane!$D$6:$D$40,MATCH(A189,Sezoane!$C$6:$C$40,1))),INDEX('Prețuri de setat'!$F$5:$F$39,MATCH(A189,Sezoane!$C$6:$C$40,1)),"")</f>
        <v/>
      </c>
      <c r="G189" s="44" t="str">
        <f aca="false">IF(AND(ISNUMBER(MATCH(A189,Sezoane!$C$6:$C$40,1)),A189&lt;=INDEX(Sezoane!$D$6:$D$40,MATCH(A189,Sezoane!$C$6:$C$40,1))),INDEX('Prețuri de setat'!$G$5:$G$39,MATCH(A189,Sezoane!$C$6:$C$40,1)),"")</f>
        <v/>
      </c>
      <c r="H189" s="44" t="str">
        <f aca="false">IF(AND(ISNUMBER(MATCH(A189,Sezoane!$C$6:$C$40,1)),A189&lt;=INDEX(Sezoane!$D$6:$D$40,MATCH(A189,Sezoane!$C$6:$C$40,1))),INDEX('Prețuri de setat'!$H$5:$H$39,MATCH(A189,Sezoane!$C$6:$C$40,1)),"")</f>
        <v/>
      </c>
      <c r="I189" s="44" t="str">
        <f aca="false">IF(AND(ISNUMBER(MATCH(A189,Sezoane!$C$6:$C$40,1)),A189&lt;=INDEX(Sezoane!$D$6:$D$40,MATCH(A189,Sezoane!$C$6:$C$40,1))),INDEX('Prețuri de setat'!$I$5:$I$39,MATCH(A189,Sezoane!$C$6:$C$40,1)),"")</f>
        <v/>
      </c>
    </row>
    <row r="190" customFormat="false" ht="15" hidden="false" customHeight="false" outlineLevel="0" collapsed="false">
      <c r="A190" s="41" t="n">
        <f aca="false">$B$2+185</f>
        <v>46501</v>
      </c>
      <c r="B190" s="42" t="str">
        <f aca="false">CHOOSE(WEEKDAY(A190,2),"Lu","Ma","Mi","Jo","Vi","Sâ","Du")</f>
        <v>Sâ</v>
      </c>
      <c r="C190" s="42" t="str">
        <f aca="false">IF(AND(ISNUMBER(MATCH(A190,Sezoane!$C$6:$C$40,1)),A190&lt;=INDEX(Sezoane!$D$6:$D$40,MATCH(A190,Sezoane!$C$6:$C$40,1))),INDEX(Sezoane!$A$6:$A$40,MATCH(A190,Sezoane!$C$6:$C$40,1)),"⚠ fără sezon")</f>
        <v>⚠ fără sezon</v>
      </c>
      <c r="D190" s="42" t="str">
        <f aca="false">IF(AND(ISNUMBER(MATCH(A190,Sezoane!$C$6:$C$40,1)),A190&lt;=INDEX(Sezoane!$D$6:$D$40,MATCH(A190,Sezoane!$C$6:$C$40,1))),INDEX(Sezoane!$F$6:$F$40,MATCH(A190,Sezoane!$C$6:$C$40,1)),"")</f>
        <v/>
      </c>
      <c r="E190" s="44" t="str">
        <f aca="false">IF(AND(ISNUMBER(MATCH(A190,Sezoane!$C$6:$C$40,1)),A190&lt;=INDEX(Sezoane!$D$6:$D$40,MATCH(A190,Sezoane!$C$6:$C$40,1))),INDEX('Prețuri de setat'!$E$5:$E$39,MATCH(A190,Sezoane!$C$6:$C$40,1)),"")</f>
        <v/>
      </c>
      <c r="F190" s="44" t="str">
        <f aca="false">IF(AND(ISNUMBER(MATCH(A190,Sezoane!$C$6:$C$40,1)),A190&lt;=INDEX(Sezoane!$D$6:$D$40,MATCH(A190,Sezoane!$C$6:$C$40,1))),INDEX('Prețuri de setat'!$F$5:$F$39,MATCH(A190,Sezoane!$C$6:$C$40,1)),"")</f>
        <v/>
      </c>
      <c r="G190" s="44" t="str">
        <f aca="false">IF(AND(ISNUMBER(MATCH(A190,Sezoane!$C$6:$C$40,1)),A190&lt;=INDEX(Sezoane!$D$6:$D$40,MATCH(A190,Sezoane!$C$6:$C$40,1))),INDEX('Prețuri de setat'!$G$5:$G$39,MATCH(A190,Sezoane!$C$6:$C$40,1)),"")</f>
        <v/>
      </c>
      <c r="H190" s="44" t="str">
        <f aca="false">IF(AND(ISNUMBER(MATCH(A190,Sezoane!$C$6:$C$40,1)),A190&lt;=INDEX(Sezoane!$D$6:$D$40,MATCH(A190,Sezoane!$C$6:$C$40,1))),INDEX('Prețuri de setat'!$H$5:$H$39,MATCH(A190,Sezoane!$C$6:$C$40,1)),"")</f>
        <v/>
      </c>
      <c r="I190" s="44" t="str">
        <f aca="false">IF(AND(ISNUMBER(MATCH(A190,Sezoane!$C$6:$C$40,1)),A190&lt;=INDEX(Sezoane!$D$6:$D$40,MATCH(A190,Sezoane!$C$6:$C$40,1))),INDEX('Prețuri de setat'!$I$5:$I$39,MATCH(A190,Sezoane!$C$6:$C$40,1)),"")</f>
        <v/>
      </c>
    </row>
    <row r="191" customFormat="false" ht="15" hidden="false" customHeight="false" outlineLevel="0" collapsed="false">
      <c r="A191" s="41" t="n">
        <f aca="false">$B$2+186</f>
        <v>46502</v>
      </c>
      <c r="B191" s="42" t="str">
        <f aca="false">CHOOSE(WEEKDAY(A191,2),"Lu","Ma","Mi","Jo","Vi","Sâ","Du")</f>
        <v>Du</v>
      </c>
      <c r="C191" s="42" t="str">
        <f aca="false">IF(AND(ISNUMBER(MATCH(A191,Sezoane!$C$6:$C$40,1)),A191&lt;=INDEX(Sezoane!$D$6:$D$40,MATCH(A191,Sezoane!$C$6:$C$40,1))),INDEX(Sezoane!$A$6:$A$40,MATCH(A191,Sezoane!$C$6:$C$40,1)),"⚠ fără sezon")</f>
        <v>⚠ fără sezon</v>
      </c>
      <c r="D191" s="42" t="str">
        <f aca="false">IF(AND(ISNUMBER(MATCH(A191,Sezoane!$C$6:$C$40,1)),A191&lt;=INDEX(Sezoane!$D$6:$D$40,MATCH(A191,Sezoane!$C$6:$C$40,1))),INDEX(Sezoane!$F$6:$F$40,MATCH(A191,Sezoane!$C$6:$C$40,1)),"")</f>
        <v/>
      </c>
      <c r="E191" s="44" t="str">
        <f aca="false">IF(AND(ISNUMBER(MATCH(A191,Sezoane!$C$6:$C$40,1)),A191&lt;=INDEX(Sezoane!$D$6:$D$40,MATCH(A191,Sezoane!$C$6:$C$40,1))),INDEX('Prețuri de setat'!$E$5:$E$39,MATCH(A191,Sezoane!$C$6:$C$40,1)),"")</f>
        <v/>
      </c>
      <c r="F191" s="44" t="str">
        <f aca="false">IF(AND(ISNUMBER(MATCH(A191,Sezoane!$C$6:$C$40,1)),A191&lt;=INDEX(Sezoane!$D$6:$D$40,MATCH(A191,Sezoane!$C$6:$C$40,1))),INDEX('Prețuri de setat'!$F$5:$F$39,MATCH(A191,Sezoane!$C$6:$C$40,1)),"")</f>
        <v/>
      </c>
      <c r="G191" s="44" t="str">
        <f aca="false">IF(AND(ISNUMBER(MATCH(A191,Sezoane!$C$6:$C$40,1)),A191&lt;=INDEX(Sezoane!$D$6:$D$40,MATCH(A191,Sezoane!$C$6:$C$40,1))),INDEX('Prețuri de setat'!$G$5:$G$39,MATCH(A191,Sezoane!$C$6:$C$40,1)),"")</f>
        <v/>
      </c>
      <c r="H191" s="44" t="str">
        <f aca="false">IF(AND(ISNUMBER(MATCH(A191,Sezoane!$C$6:$C$40,1)),A191&lt;=INDEX(Sezoane!$D$6:$D$40,MATCH(A191,Sezoane!$C$6:$C$40,1))),INDEX('Prețuri de setat'!$H$5:$H$39,MATCH(A191,Sezoane!$C$6:$C$40,1)),"")</f>
        <v/>
      </c>
      <c r="I191" s="44" t="str">
        <f aca="false">IF(AND(ISNUMBER(MATCH(A191,Sezoane!$C$6:$C$40,1)),A191&lt;=INDEX(Sezoane!$D$6:$D$40,MATCH(A191,Sezoane!$C$6:$C$40,1))),INDEX('Prețuri de setat'!$I$5:$I$39,MATCH(A191,Sezoane!$C$6:$C$40,1)),"")</f>
        <v/>
      </c>
    </row>
    <row r="192" customFormat="false" ht="15" hidden="false" customHeight="false" outlineLevel="0" collapsed="false">
      <c r="A192" s="41" t="n">
        <f aca="false">$B$2+187</f>
        <v>46503</v>
      </c>
      <c r="B192" s="42" t="str">
        <f aca="false">CHOOSE(WEEKDAY(A192,2),"Lu","Ma","Mi","Jo","Vi","Sâ","Du")</f>
        <v>Lu</v>
      </c>
      <c r="C192" s="42" t="str">
        <f aca="false">IF(AND(ISNUMBER(MATCH(A192,Sezoane!$C$6:$C$40,1)),A192&lt;=INDEX(Sezoane!$D$6:$D$40,MATCH(A192,Sezoane!$C$6:$C$40,1))),INDEX(Sezoane!$A$6:$A$40,MATCH(A192,Sezoane!$C$6:$C$40,1)),"⚠ fără sezon")</f>
        <v>⚠ fără sezon</v>
      </c>
      <c r="D192" s="42" t="str">
        <f aca="false">IF(AND(ISNUMBER(MATCH(A192,Sezoane!$C$6:$C$40,1)),A192&lt;=INDEX(Sezoane!$D$6:$D$40,MATCH(A192,Sezoane!$C$6:$C$40,1))),INDEX(Sezoane!$F$6:$F$40,MATCH(A192,Sezoane!$C$6:$C$40,1)),"")</f>
        <v/>
      </c>
      <c r="E192" s="44" t="str">
        <f aca="false">IF(AND(ISNUMBER(MATCH(A192,Sezoane!$C$6:$C$40,1)),A192&lt;=INDEX(Sezoane!$D$6:$D$40,MATCH(A192,Sezoane!$C$6:$C$40,1))),INDEX('Prețuri de setat'!$E$5:$E$39,MATCH(A192,Sezoane!$C$6:$C$40,1)),"")</f>
        <v/>
      </c>
      <c r="F192" s="44" t="str">
        <f aca="false">IF(AND(ISNUMBER(MATCH(A192,Sezoane!$C$6:$C$40,1)),A192&lt;=INDEX(Sezoane!$D$6:$D$40,MATCH(A192,Sezoane!$C$6:$C$40,1))),INDEX('Prețuri de setat'!$F$5:$F$39,MATCH(A192,Sezoane!$C$6:$C$40,1)),"")</f>
        <v/>
      </c>
      <c r="G192" s="44" t="str">
        <f aca="false">IF(AND(ISNUMBER(MATCH(A192,Sezoane!$C$6:$C$40,1)),A192&lt;=INDEX(Sezoane!$D$6:$D$40,MATCH(A192,Sezoane!$C$6:$C$40,1))),INDEX('Prețuri de setat'!$G$5:$G$39,MATCH(A192,Sezoane!$C$6:$C$40,1)),"")</f>
        <v/>
      </c>
      <c r="H192" s="44" t="str">
        <f aca="false">IF(AND(ISNUMBER(MATCH(A192,Sezoane!$C$6:$C$40,1)),A192&lt;=INDEX(Sezoane!$D$6:$D$40,MATCH(A192,Sezoane!$C$6:$C$40,1))),INDEX('Prețuri de setat'!$H$5:$H$39,MATCH(A192,Sezoane!$C$6:$C$40,1)),"")</f>
        <v/>
      </c>
      <c r="I192" s="44" t="str">
        <f aca="false">IF(AND(ISNUMBER(MATCH(A192,Sezoane!$C$6:$C$40,1)),A192&lt;=INDEX(Sezoane!$D$6:$D$40,MATCH(A192,Sezoane!$C$6:$C$40,1))),INDEX('Prețuri de setat'!$I$5:$I$39,MATCH(A192,Sezoane!$C$6:$C$40,1)),"")</f>
        <v/>
      </c>
    </row>
    <row r="193" customFormat="false" ht="15" hidden="false" customHeight="false" outlineLevel="0" collapsed="false">
      <c r="A193" s="41" t="n">
        <f aca="false">$B$2+188</f>
        <v>46504</v>
      </c>
      <c r="B193" s="42" t="str">
        <f aca="false">CHOOSE(WEEKDAY(A193,2),"Lu","Ma","Mi","Jo","Vi","Sâ","Du")</f>
        <v>Ma</v>
      </c>
      <c r="C193" s="42" t="str">
        <f aca="false">IF(AND(ISNUMBER(MATCH(A193,Sezoane!$C$6:$C$40,1)),A193&lt;=INDEX(Sezoane!$D$6:$D$40,MATCH(A193,Sezoane!$C$6:$C$40,1))),INDEX(Sezoane!$A$6:$A$40,MATCH(A193,Sezoane!$C$6:$C$40,1)),"⚠ fără sezon")</f>
        <v>⚠ fără sezon</v>
      </c>
      <c r="D193" s="42" t="str">
        <f aca="false">IF(AND(ISNUMBER(MATCH(A193,Sezoane!$C$6:$C$40,1)),A193&lt;=INDEX(Sezoane!$D$6:$D$40,MATCH(A193,Sezoane!$C$6:$C$40,1))),INDEX(Sezoane!$F$6:$F$40,MATCH(A193,Sezoane!$C$6:$C$40,1)),"")</f>
        <v/>
      </c>
      <c r="E193" s="44" t="str">
        <f aca="false">IF(AND(ISNUMBER(MATCH(A193,Sezoane!$C$6:$C$40,1)),A193&lt;=INDEX(Sezoane!$D$6:$D$40,MATCH(A193,Sezoane!$C$6:$C$40,1))),INDEX('Prețuri de setat'!$E$5:$E$39,MATCH(A193,Sezoane!$C$6:$C$40,1)),"")</f>
        <v/>
      </c>
      <c r="F193" s="44" t="str">
        <f aca="false">IF(AND(ISNUMBER(MATCH(A193,Sezoane!$C$6:$C$40,1)),A193&lt;=INDEX(Sezoane!$D$6:$D$40,MATCH(A193,Sezoane!$C$6:$C$40,1))),INDEX('Prețuri de setat'!$F$5:$F$39,MATCH(A193,Sezoane!$C$6:$C$40,1)),"")</f>
        <v/>
      </c>
      <c r="G193" s="44" t="str">
        <f aca="false">IF(AND(ISNUMBER(MATCH(A193,Sezoane!$C$6:$C$40,1)),A193&lt;=INDEX(Sezoane!$D$6:$D$40,MATCH(A193,Sezoane!$C$6:$C$40,1))),INDEX('Prețuri de setat'!$G$5:$G$39,MATCH(A193,Sezoane!$C$6:$C$40,1)),"")</f>
        <v/>
      </c>
      <c r="H193" s="44" t="str">
        <f aca="false">IF(AND(ISNUMBER(MATCH(A193,Sezoane!$C$6:$C$40,1)),A193&lt;=INDEX(Sezoane!$D$6:$D$40,MATCH(A193,Sezoane!$C$6:$C$40,1))),INDEX('Prețuri de setat'!$H$5:$H$39,MATCH(A193,Sezoane!$C$6:$C$40,1)),"")</f>
        <v/>
      </c>
      <c r="I193" s="44" t="str">
        <f aca="false">IF(AND(ISNUMBER(MATCH(A193,Sezoane!$C$6:$C$40,1)),A193&lt;=INDEX(Sezoane!$D$6:$D$40,MATCH(A193,Sezoane!$C$6:$C$40,1))),INDEX('Prețuri de setat'!$I$5:$I$39,MATCH(A193,Sezoane!$C$6:$C$40,1)),"")</f>
        <v/>
      </c>
    </row>
    <row r="194" customFormat="false" ht="15" hidden="false" customHeight="false" outlineLevel="0" collapsed="false">
      <c r="A194" s="41" t="n">
        <f aca="false">$B$2+189</f>
        <v>46505</v>
      </c>
      <c r="B194" s="42" t="str">
        <f aca="false">CHOOSE(WEEKDAY(A194,2),"Lu","Ma","Mi","Jo","Vi","Sâ","Du")</f>
        <v>Mi</v>
      </c>
      <c r="C194" s="42" t="str">
        <f aca="false">IF(AND(ISNUMBER(MATCH(A194,Sezoane!$C$6:$C$40,1)),A194&lt;=INDEX(Sezoane!$D$6:$D$40,MATCH(A194,Sezoane!$C$6:$C$40,1))),INDEX(Sezoane!$A$6:$A$40,MATCH(A194,Sezoane!$C$6:$C$40,1)),"⚠ fără sezon")</f>
        <v>⚠ fără sezon</v>
      </c>
      <c r="D194" s="42" t="str">
        <f aca="false">IF(AND(ISNUMBER(MATCH(A194,Sezoane!$C$6:$C$40,1)),A194&lt;=INDEX(Sezoane!$D$6:$D$40,MATCH(A194,Sezoane!$C$6:$C$40,1))),INDEX(Sezoane!$F$6:$F$40,MATCH(A194,Sezoane!$C$6:$C$40,1)),"")</f>
        <v/>
      </c>
      <c r="E194" s="44" t="str">
        <f aca="false">IF(AND(ISNUMBER(MATCH(A194,Sezoane!$C$6:$C$40,1)),A194&lt;=INDEX(Sezoane!$D$6:$D$40,MATCH(A194,Sezoane!$C$6:$C$40,1))),INDEX('Prețuri de setat'!$E$5:$E$39,MATCH(A194,Sezoane!$C$6:$C$40,1)),"")</f>
        <v/>
      </c>
      <c r="F194" s="44" t="str">
        <f aca="false">IF(AND(ISNUMBER(MATCH(A194,Sezoane!$C$6:$C$40,1)),A194&lt;=INDEX(Sezoane!$D$6:$D$40,MATCH(A194,Sezoane!$C$6:$C$40,1))),INDEX('Prețuri de setat'!$F$5:$F$39,MATCH(A194,Sezoane!$C$6:$C$40,1)),"")</f>
        <v/>
      </c>
      <c r="G194" s="44" t="str">
        <f aca="false">IF(AND(ISNUMBER(MATCH(A194,Sezoane!$C$6:$C$40,1)),A194&lt;=INDEX(Sezoane!$D$6:$D$40,MATCH(A194,Sezoane!$C$6:$C$40,1))),INDEX('Prețuri de setat'!$G$5:$G$39,MATCH(A194,Sezoane!$C$6:$C$40,1)),"")</f>
        <v/>
      </c>
      <c r="H194" s="44" t="str">
        <f aca="false">IF(AND(ISNUMBER(MATCH(A194,Sezoane!$C$6:$C$40,1)),A194&lt;=INDEX(Sezoane!$D$6:$D$40,MATCH(A194,Sezoane!$C$6:$C$40,1))),INDEX('Prețuri de setat'!$H$5:$H$39,MATCH(A194,Sezoane!$C$6:$C$40,1)),"")</f>
        <v/>
      </c>
      <c r="I194" s="44" t="str">
        <f aca="false">IF(AND(ISNUMBER(MATCH(A194,Sezoane!$C$6:$C$40,1)),A194&lt;=INDEX(Sezoane!$D$6:$D$40,MATCH(A194,Sezoane!$C$6:$C$40,1))),INDEX('Prețuri de setat'!$I$5:$I$39,MATCH(A194,Sezoane!$C$6:$C$40,1)),"")</f>
        <v/>
      </c>
    </row>
    <row r="195" customFormat="false" ht="15" hidden="false" customHeight="false" outlineLevel="0" collapsed="false">
      <c r="A195" s="41" t="n">
        <f aca="false">$B$2+190</f>
        <v>46506</v>
      </c>
      <c r="B195" s="42" t="str">
        <f aca="false">CHOOSE(WEEKDAY(A195,2),"Lu","Ma","Mi","Jo","Vi","Sâ","Du")</f>
        <v>Jo</v>
      </c>
      <c r="C195" s="42" t="str">
        <f aca="false">IF(AND(ISNUMBER(MATCH(A195,Sezoane!$C$6:$C$40,1)),A195&lt;=INDEX(Sezoane!$D$6:$D$40,MATCH(A195,Sezoane!$C$6:$C$40,1))),INDEX(Sezoane!$A$6:$A$40,MATCH(A195,Sezoane!$C$6:$C$40,1)),"⚠ fără sezon")</f>
        <v>⚠ fără sezon</v>
      </c>
      <c r="D195" s="42" t="str">
        <f aca="false">IF(AND(ISNUMBER(MATCH(A195,Sezoane!$C$6:$C$40,1)),A195&lt;=INDEX(Sezoane!$D$6:$D$40,MATCH(A195,Sezoane!$C$6:$C$40,1))),INDEX(Sezoane!$F$6:$F$40,MATCH(A195,Sezoane!$C$6:$C$40,1)),"")</f>
        <v/>
      </c>
      <c r="E195" s="44" t="str">
        <f aca="false">IF(AND(ISNUMBER(MATCH(A195,Sezoane!$C$6:$C$40,1)),A195&lt;=INDEX(Sezoane!$D$6:$D$40,MATCH(A195,Sezoane!$C$6:$C$40,1))),INDEX('Prețuri de setat'!$E$5:$E$39,MATCH(A195,Sezoane!$C$6:$C$40,1)),"")</f>
        <v/>
      </c>
      <c r="F195" s="44" t="str">
        <f aca="false">IF(AND(ISNUMBER(MATCH(A195,Sezoane!$C$6:$C$40,1)),A195&lt;=INDEX(Sezoane!$D$6:$D$40,MATCH(A195,Sezoane!$C$6:$C$40,1))),INDEX('Prețuri de setat'!$F$5:$F$39,MATCH(A195,Sezoane!$C$6:$C$40,1)),"")</f>
        <v/>
      </c>
      <c r="G195" s="44" t="str">
        <f aca="false">IF(AND(ISNUMBER(MATCH(A195,Sezoane!$C$6:$C$40,1)),A195&lt;=INDEX(Sezoane!$D$6:$D$40,MATCH(A195,Sezoane!$C$6:$C$40,1))),INDEX('Prețuri de setat'!$G$5:$G$39,MATCH(A195,Sezoane!$C$6:$C$40,1)),"")</f>
        <v/>
      </c>
      <c r="H195" s="44" t="str">
        <f aca="false">IF(AND(ISNUMBER(MATCH(A195,Sezoane!$C$6:$C$40,1)),A195&lt;=INDEX(Sezoane!$D$6:$D$40,MATCH(A195,Sezoane!$C$6:$C$40,1))),INDEX('Prețuri de setat'!$H$5:$H$39,MATCH(A195,Sezoane!$C$6:$C$40,1)),"")</f>
        <v/>
      </c>
      <c r="I195" s="44" t="str">
        <f aca="false">IF(AND(ISNUMBER(MATCH(A195,Sezoane!$C$6:$C$40,1)),A195&lt;=INDEX(Sezoane!$D$6:$D$40,MATCH(A195,Sezoane!$C$6:$C$40,1))),INDEX('Prețuri de setat'!$I$5:$I$39,MATCH(A195,Sezoane!$C$6:$C$40,1)),"")</f>
        <v/>
      </c>
    </row>
    <row r="196" customFormat="false" ht="15" hidden="false" customHeight="false" outlineLevel="0" collapsed="false">
      <c r="A196" s="41" t="n">
        <f aca="false">$B$2+191</f>
        <v>46507</v>
      </c>
      <c r="B196" s="42" t="str">
        <f aca="false">CHOOSE(WEEKDAY(A196,2),"Lu","Ma","Mi","Jo","Vi","Sâ","Du")</f>
        <v>Vi</v>
      </c>
      <c r="C196" s="42" t="str">
        <f aca="false">IF(AND(ISNUMBER(MATCH(A196,Sezoane!$C$6:$C$40,1)),A196&lt;=INDEX(Sezoane!$D$6:$D$40,MATCH(A196,Sezoane!$C$6:$C$40,1))),INDEX(Sezoane!$A$6:$A$40,MATCH(A196,Sezoane!$C$6:$C$40,1)),"⚠ fără sezon")</f>
        <v>⚠ fără sezon</v>
      </c>
      <c r="D196" s="42" t="str">
        <f aca="false">IF(AND(ISNUMBER(MATCH(A196,Sezoane!$C$6:$C$40,1)),A196&lt;=INDEX(Sezoane!$D$6:$D$40,MATCH(A196,Sezoane!$C$6:$C$40,1))),INDEX(Sezoane!$F$6:$F$40,MATCH(A196,Sezoane!$C$6:$C$40,1)),"")</f>
        <v/>
      </c>
      <c r="E196" s="44" t="str">
        <f aca="false">IF(AND(ISNUMBER(MATCH(A196,Sezoane!$C$6:$C$40,1)),A196&lt;=INDEX(Sezoane!$D$6:$D$40,MATCH(A196,Sezoane!$C$6:$C$40,1))),INDEX('Prețuri de setat'!$E$5:$E$39,MATCH(A196,Sezoane!$C$6:$C$40,1)),"")</f>
        <v/>
      </c>
      <c r="F196" s="44" t="str">
        <f aca="false">IF(AND(ISNUMBER(MATCH(A196,Sezoane!$C$6:$C$40,1)),A196&lt;=INDEX(Sezoane!$D$6:$D$40,MATCH(A196,Sezoane!$C$6:$C$40,1))),INDEX('Prețuri de setat'!$F$5:$F$39,MATCH(A196,Sezoane!$C$6:$C$40,1)),"")</f>
        <v/>
      </c>
      <c r="G196" s="44" t="str">
        <f aca="false">IF(AND(ISNUMBER(MATCH(A196,Sezoane!$C$6:$C$40,1)),A196&lt;=INDEX(Sezoane!$D$6:$D$40,MATCH(A196,Sezoane!$C$6:$C$40,1))),INDEX('Prețuri de setat'!$G$5:$G$39,MATCH(A196,Sezoane!$C$6:$C$40,1)),"")</f>
        <v/>
      </c>
      <c r="H196" s="44" t="str">
        <f aca="false">IF(AND(ISNUMBER(MATCH(A196,Sezoane!$C$6:$C$40,1)),A196&lt;=INDEX(Sezoane!$D$6:$D$40,MATCH(A196,Sezoane!$C$6:$C$40,1))),INDEX('Prețuri de setat'!$H$5:$H$39,MATCH(A196,Sezoane!$C$6:$C$40,1)),"")</f>
        <v/>
      </c>
      <c r="I196" s="44" t="str">
        <f aca="false">IF(AND(ISNUMBER(MATCH(A196,Sezoane!$C$6:$C$40,1)),A196&lt;=INDEX(Sezoane!$D$6:$D$40,MATCH(A196,Sezoane!$C$6:$C$40,1))),INDEX('Prețuri de setat'!$I$5:$I$39,MATCH(A196,Sezoane!$C$6:$C$40,1)),"")</f>
        <v/>
      </c>
    </row>
    <row r="197" customFormat="false" ht="15" hidden="false" customHeight="false" outlineLevel="0" collapsed="false">
      <c r="A197" s="41" t="n">
        <f aca="false">$B$2+192</f>
        <v>46508</v>
      </c>
      <c r="B197" s="42" t="str">
        <f aca="false">CHOOSE(WEEKDAY(A197,2),"Lu","Ma","Mi","Jo","Vi","Sâ","Du")</f>
        <v>Sâ</v>
      </c>
      <c r="C197" s="42" t="str">
        <f aca="false">IF(AND(ISNUMBER(MATCH(A197,Sezoane!$C$6:$C$40,1)),A197&lt;=INDEX(Sezoane!$D$6:$D$40,MATCH(A197,Sezoane!$C$6:$C$40,1))),INDEX(Sezoane!$A$6:$A$40,MATCH(A197,Sezoane!$C$6:$C$40,1)),"⚠ fără sezon")</f>
        <v>⚠ fără sezon</v>
      </c>
      <c r="D197" s="42" t="str">
        <f aca="false">IF(AND(ISNUMBER(MATCH(A197,Sezoane!$C$6:$C$40,1)),A197&lt;=INDEX(Sezoane!$D$6:$D$40,MATCH(A197,Sezoane!$C$6:$C$40,1))),INDEX(Sezoane!$F$6:$F$40,MATCH(A197,Sezoane!$C$6:$C$40,1)),"")</f>
        <v/>
      </c>
      <c r="E197" s="44" t="str">
        <f aca="false">IF(AND(ISNUMBER(MATCH(A197,Sezoane!$C$6:$C$40,1)),A197&lt;=INDEX(Sezoane!$D$6:$D$40,MATCH(A197,Sezoane!$C$6:$C$40,1))),INDEX('Prețuri de setat'!$E$5:$E$39,MATCH(A197,Sezoane!$C$6:$C$40,1)),"")</f>
        <v/>
      </c>
      <c r="F197" s="44" t="str">
        <f aca="false">IF(AND(ISNUMBER(MATCH(A197,Sezoane!$C$6:$C$40,1)),A197&lt;=INDEX(Sezoane!$D$6:$D$40,MATCH(A197,Sezoane!$C$6:$C$40,1))),INDEX('Prețuri de setat'!$F$5:$F$39,MATCH(A197,Sezoane!$C$6:$C$40,1)),"")</f>
        <v/>
      </c>
      <c r="G197" s="44" t="str">
        <f aca="false">IF(AND(ISNUMBER(MATCH(A197,Sezoane!$C$6:$C$40,1)),A197&lt;=INDEX(Sezoane!$D$6:$D$40,MATCH(A197,Sezoane!$C$6:$C$40,1))),INDEX('Prețuri de setat'!$G$5:$G$39,MATCH(A197,Sezoane!$C$6:$C$40,1)),"")</f>
        <v/>
      </c>
      <c r="H197" s="44" t="str">
        <f aca="false">IF(AND(ISNUMBER(MATCH(A197,Sezoane!$C$6:$C$40,1)),A197&lt;=INDEX(Sezoane!$D$6:$D$40,MATCH(A197,Sezoane!$C$6:$C$40,1))),INDEX('Prețuri de setat'!$H$5:$H$39,MATCH(A197,Sezoane!$C$6:$C$40,1)),"")</f>
        <v/>
      </c>
      <c r="I197" s="44" t="str">
        <f aca="false">IF(AND(ISNUMBER(MATCH(A197,Sezoane!$C$6:$C$40,1)),A197&lt;=INDEX(Sezoane!$D$6:$D$40,MATCH(A197,Sezoane!$C$6:$C$40,1))),INDEX('Prețuri de setat'!$I$5:$I$39,MATCH(A197,Sezoane!$C$6:$C$40,1)),"")</f>
        <v/>
      </c>
    </row>
    <row r="198" customFormat="false" ht="15" hidden="false" customHeight="false" outlineLevel="0" collapsed="false">
      <c r="A198" s="41" t="n">
        <f aca="false">$B$2+193</f>
        <v>46509</v>
      </c>
      <c r="B198" s="42" t="str">
        <f aca="false">CHOOSE(WEEKDAY(A198,2),"Lu","Ma","Mi","Jo","Vi","Sâ","Du")</f>
        <v>Du</v>
      </c>
      <c r="C198" s="42" t="str">
        <f aca="false">IF(AND(ISNUMBER(MATCH(A198,Sezoane!$C$6:$C$40,1)),A198&lt;=INDEX(Sezoane!$D$6:$D$40,MATCH(A198,Sezoane!$C$6:$C$40,1))),INDEX(Sezoane!$A$6:$A$40,MATCH(A198,Sezoane!$C$6:$C$40,1)),"⚠ fără sezon")</f>
        <v>⚠ fără sezon</v>
      </c>
      <c r="D198" s="42" t="str">
        <f aca="false">IF(AND(ISNUMBER(MATCH(A198,Sezoane!$C$6:$C$40,1)),A198&lt;=INDEX(Sezoane!$D$6:$D$40,MATCH(A198,Sezoane!$C$6:$C$40,1))),INDEX(Sezoane!$F$6:$F$40,MATCH(A198,Sezoane!$C$6:$C$40,1)),"")</f>
        <v/>
      </c>
      <c r="E198" s="44" t="str">
        <f aca="false">IF(AND(ISNUMBER(MATCH(A198,Sezoane!$C$6:$C$40,1)),A198&lt;=INDEX(Sezoane!$D$6:$D$40,MATCH(A198,Sezoane!$C$6:$C$40,1))),INDEX('Prețuri de setat'!$E$5:$E$39,MATCH(A198,Sezoane!$C$6:$C$40,1)),"")</f>
        <v/>
      </c>
      <c r="F198" s="44" t="str">
        <f aca="false">IF(AND(ISNUMBER(MATCH(A198,Sezoane!$C$6:$C$40,1)),A198&lt;=INDEX(Sezoane!$D$6:$D$40,MATCH(A198,Sezoane!$C$6:$C$40,1))),INDEX('Prețuri de setat'!$F$5:$F$39,MATCH(A198,Sezoane!$C$6:$C$40,1)),"")</f>
        <v/>
      </c>
      <c r="G198" s="44" t="str">
        <f aca="false">IF(AND(ISNUMBER(MATCH(A198,Sezoane!$C$6:$C$40,1)),A198&lt;=INDEX(Sezoane!$D$6:$D$40,MATCH(A198,Sezoane!$C$6:$C$40,1))),INDEX('Prețuri de setat'!$G$5:$G$39,MATCH(A198,Sezoane!$C$6:$C$40,1)),"")</f>
        <v/>
      </c>
      <c r="H198" s="44" t="str">
        <f aca="false">IF(AND(ISNUMBER(MATCH(A198,Sezoane!$C$6:$C$40,1)),A198&lt;=INDEX(Sezoane!$D$6:$D$40,MATCH(A198,Sezoane!$C$6:$C$40,1))),INDEX('Prețuri de setat'!$H$5:$H$39,MATCH(A198,Sezoane!$C$6:$C$40,1)),"")</f>
        <v/>
      </c>
      <c r="I198" s="44" t="str">
        <f aca="false">IF(AND(ISNUMBER(MATCH(A198,Sezoane!$C$6:$C$40,1)),A198&lt;=INDEX(Sezoane!$D$6:$D$40,MATCH(A198,Sezoane!$C$6:$C$40,1))),INDEX('Prețuri de setat'!$I$5:$I$39,MATCH(A198,Sezoane!$C$6:$C$40,1)),"")</f>
        <v/>
      </c>
    </row>
    <row r="199" customFormat="false" ht="15" hidden="false" customHeight="false" outlineLevel="0" collapsed="false">
      <c r="A199" s="41" t="n">
        <f aca="false">$B$2+194</f>
        <v>46510</v>
      </c>
      <c r="B199" s="42" t="str">
        <f aca="false">CHOOSE(WEEKDAY(A199,2),"Lu","Ma","Mi","Jo","Vi","Sâ","Du")</f>
        <v>Lu</v>
      </c>
      <c r="C199" s="42" t="str">
        <f aca="false">IF(AND(ISNUMBER(MATCH(A199,Sezoane!$C$6:$C$40,1)),A199&lt;=INDEX(Sezoane!$D$6:$D$40,MATCH(A199,Sezoane!$C$6:$C$40,1))),INDEX(Sezoane!$A$6:$A$40,MATCH(A199,Sezoane!$C$6:$C$40,1)),"⚠ fără sezon")</f>
        <v>⚠ fără sezon</v>
      </c>
      <c r="D199" s="42" t="str">
        <f aca="false">IF(AND(ISNUMBER(MATCH(A199,Sezoane!$C$6:$C$40,1)),A199&lt;=INDEX(Sezoane!$D$6:$D$40,MATCH(A199,Sezoane!$C$6:$C$40,1))),INDEX(Sezoane!$F$6:$F$40,MATCH(A199,Sezoane!$C$6:$C$40,1)),"")</f>
        <v/>
      </c>
      <c r="E199" s="44" t="str">
        <f aca="false">IF(AND(ISNUMBER(MATCH(A199,Sezoane!$C$6:$C$40,1)),A199&lt;=INDEX(Sezoane!$D$6:$D$40,MATCH(A199,Sezoane!$C$6:$C$40,1))),INDEX('Prețuri de setat'!$E$5:$E$39,MATCH(A199,Sezoane!$C$6:$C$40,1)),"")</f>
        <v/>
      </c>
      <c r="F199" s="44" t="str">
        <f aca="false">IF(AND(ISNUMBER(MATCH(A199,Sezoane!$C$6:$C$40,1)),A199&lt;=INDEX(Sezoane!$D$6:$D$40,MATCH(A199,Sezoane!$C$6:$C$40,1))),INDEX('Prețuri de setat'!$F$5:$F$39,MATCH(A199,Sezoane!$C$6:$C$40,1)),"")</f>
        <v/>
      </c>
      <c r="G199" s="44" t="str">
        <f aca="false">IF(AND(ISNUMBER(MATCH(A199,Sezoane!$C$6:$C$40,1)),A199&lt;=INDEX(Sezoane!$D$6:$D$40,MATCH(A199,Sezoane!$C$6:$C$40,1))),INDEX('Prețuri de setat'!$G$5:$G$39,MATCH(A199,Sezoane!$C$6:$C$40,1)),"")</f>
        <v/>
      </c>
      <c r="H199" s="44" t="str">
        <f aca="false">IF(AND(ISNUMBER(MATCH(A199,Sezoane!$C$6:$C$40,1)),A199&lt;=INDEX(Sezoane!$D$6:$D$40,MATCH(A199,Sezoane!$C$6:$C$40,1))),INDEX('Prețuri de setat'!$H$5:$H$39,MATCH(A199,Sezoane!$C$6:$C$40,1)),"")</f>
        <v/>
      </c>
      <c r="I199" s="44" t="str">
        <f aca="false">IF(AND(ISNUMBER(MATCH(A199,Sezoane!$C$6:$C$40,1)),A199&lt;=INDEX(Sezoane!$D$6:$D$40,MATCH(A199,Sezoane!$C$6:$C$40,1))),INDEX('Prețuri de setat'!$I$5:$I$39,MATCH(A199,Sezoane!$C$6:$C$40,1)),"")</f>
        <v/>
      </c>
    </row>
    <row r="200" customFormat="false" ht="15" hidden="false" customHeight="false" outlineLevel="0" collapsed="false">
      <c r="A200" s="41" t="n">
        <f aca="false">$B$2+195</f>
        <v>46511</v>
      </c>
      <c r="B200" s="42" t="str">
        <f aca="false">CHOOSE(WEEKDAY(A200,2),"Lu","Ma","Mi","Jo","Vi","Sâ","Du")</f>
        <v>Ma</v>
      </c>
      <c r="C200" s="42" t="str">
        <f aca="false">IF(AND(ISNUMBER(MATCH(A200,Sezoane!$C$6:$C$40,1)),A200&lt;=INDEX(Sezoane!$D$6:$D$40,MATCH(A200,Sezoane!$C$6:$C$40,1))),INDEX(Sezoane!$A$6:$A$40,MATCH(A200,Sezoane!$C$6:$C$40,1)),"⚠ fără sezon")</f>
        <v>⚠ fără sezon</v>
      </c>
      <c r="D200" s="42" t="str">
        <f aca="false">IF(AND(ISNUMBER(MATCH(A200,Sezoane!$C$6:$C$40,1)),A200&lt;=INDEX(Sezoane!$D$6:$D$40,MATCH(A200,Sezoane!$C$6:$C$40,1))),INDEX(Sezoane!$F$6:$F$40,MATCH(A200,Sezoane!$C$6:$C$40,1)),"")</f>
        <v/>
      </c>
      <c r="E200" s="44" t="str">
        <f aca="false">IF(AND(ISNUMBER(MATCH(A200,Sezoane!$C$6:$C$40,1)),A200&lt;=INDEX(Sezoane!$D$6:$D$40,MATCH(A200,Sezoane!$C$6:$C$40,1))),INDEX('Prețuri de setat'!$E$5:$E$39,MATCH(A200,Sezoane!$C$6:$C$40,1)),"")</f>
        <v/>
      </c>
      <c r="F200" s="44" t="str">
        <f aca="false">IF(AND(ISNUMBER(MATCH(A200,Sezoane!$C$6:$C$40,1)),A200&lt;=INDEX(Sezoane!$D$6:$D$40,MATCH(A200,Sezoane!$C$6:$C$40,1))),INDEX('Prețuri de setat'!$F$5:$F$39,MATCH(A200,Sezoane!$C$6:$C$40,1)),"")</f>
        <v/>
      </c>
      <c r="G200" s="44" t="str">
        <f aca="false">IF(AND(ISNUMBER(MATCH(A200,Sezoane!$C$6:$C$40,1)),A200&lt;=INDEX(Sezoane!$D$6:$D$40,MATCH(A200,Sezoane!$C$6:$C$40,1))),INDEX('Prețuri de setat'!$G$5:$G$39,MATCH(A200,Sezoane!$C$6:$C$40,1)),"")</f>
        <v/>
      </c>
      <c r="H200" s="44" t="str">
        <f aca="false">IF(AND(ISNUMBER(MATCH(A200,Sezoane!$C$6:$C$40,1)),A200&lt;=INDEX(Sezoane!$D$6:$D$40,MATCH(A200,Sezoane!$C$6:$C$40,1))),INDEX('Prețuri de setat'!$H$5:$H$39,MATCH(A200,Sezoane!$C$6:$C$40,1)),"")</f>
        <v/>
      </c>
      <c r="I200" s="44" t="str">
        <f aca="false">IF(AND(ISNUMBER(MATCH(A200,Sezoane!$C$6:$C$40,1)),A200&lt;=INDEX(Sezoane!$D$6:$D$40,MATCH(A200,Sezoane!$C$6:$C$40,1))),INDEX('Prețuri de setat'!$I$5:$I$39,MATCH(A200,Sezoane!$C$6:$C$40,1)),"")</f>
        <v/>
      </c>
    </row>
    <row r="201" customFormat="false" ht="15" hidden="false" customHeight="false" outlineLevel="0" collapsed="false">
      <c r="A201" s="41" t="n">
        <f aca="false">$B$2+196</f>
        <v>46512</v>
      </c>
      <c r="B201" s="42" t="str">
        <f aca="false">CHOOSE(WEEKDAY(A201,2),"Lu","Ma","Mi","Jo","Vi","Sâ","Du")</f>
        <v>Mi</v>
      </c>
      <c r="C201" s="42" t="str">
        <f aca="false">IF(AND(ISNUMBER(MATCH(A201,Sezoane!$C$6:$C$40,1)),A201&lt;=INDEX(Sezoane!$D$6:$D$40,MATCH(A201,Sezoane!$C$6:$C$40,1))),INDEX(Sezoane!$A$6:$A$40,MATCH(A201,Sezoane!$C$6:$C$40,1)),"⚠ fără sezon")</f>
        <v>⚠ fără sezon</v>
      </c>
      <c r="D201" s="42" t="str">
        <f aca="false">IF(AND(ISNUMBER(MATCH(A201,Sezoane!$C$6:$C$40,1)),A201&lt;=INDEX(Sezoane!$D$6:$D$40,MATCH(A201,Sezoane!$C$6:$C$40,1))),INDEX(Sezoane!$F$6:$F$40,MATCH(A201,Sezoane!$C$6:$C$40,1)),"")</f>
        <v/>
      </c>
      <c r="E201" s="44" t="str">
        <f aca="false">IF(AND(ISNUMBER(MATCH(A201,Sezoane!$C$6:$C$40,1)),A201&lt;=INDEX(Sezoane!$D$6:$D$40,MATCH(A201,Sezoane!$C$6:$C$40,1))),INDEX('Prețuri de setat'!$E$5:$E$39,MATCH(A201,Sezoane!$C$6:$C$40,1)),"")</f>
        <v/>
      </c>
      <c r="F201" s="44" t="str">
        <f aca="false">IF(AND(ISNUMBER(MATCH(A201,Sezoane!$C$6:$C$40,1)),A201&lt;=INDEX(Sezoane!$D$6:$D$40,MATCH(A201,Sezoane!$C$6:$C$40,1))),INDEX('Prețuri de setat'!$F$5:$F$39,MATCH(A201,Sezoane!$C$6:$C$40,1)),"")</f>
        <v/>
      </c>
      <c r="G201" s="44" t="str">
        <f aca="false">IF(AND(ISNUMBER(MATCH(A201,Sezoane!$C$6:$C$40,1)),A201&lt;=INDEX(Sezoane!$D$6:$D$40,MATCH(A201,Sezoane!$C$6:$C$40,1))),INDEX('Prețuri de setat'!$G$5:$G$39,MATCH(A201,Sezoane!$C$6:$C$40,1)),"")</f>
        <v/>
      </c>
      <c r="H201" s="44" t="str">
        <f aca="false">IF(AND(ISNUMBER(MATCH(A201,Sezoane!$C$6:$C$40,1)),A201&lt;=INDEX(Sezoane!$D$6:$D$40,MATCH(A201,Sezoane!$C$6:$C$40,1))),INDEX('Prețuri de setat'!$H$5:$H$39,MATCH(A201,Sezoane!$C$6:$C$40,1)),"")</f>
        <v/>
      </c>
      <c r="I201" s="44" t="str">
        <f aca="false">IF(AND(ISNUMBER(MATCH(A201,Sezoane!$C$6:$C$40,1)),A201&lt;=INDEX(Sezoane!$D$6:$D$40,MATCH(A201,Sezoane!$C$6:$C$40,1))),INDEX('Prețuri de setat'!$I$5:$I$39,MATCH(A201,Sezoane!$C$6:$C$40,1)),"")</f>
        <v/>
      </c>
    </row>
    <row r="202" customFormat="false" ht="15" hidden="false" customHeight="false" outlineLevel="0" collapsed="false">
      <c r="A202" s="41" t="n">
        <f aca="false">$B$2+197</f>
        <v>46513</v>
      </c>
      <c r="B202" s="42" t="str">
        <f aca="false">CHOOSE(WEEKDAY(A202,2),"Lu","Ma","Mi","Jo","Vi","Sâ","Du")</f>
        <v>Jo</v>
      </c>
      <c r="C202" s="42" t="str">
        <f aca="false">IF(AND(ISNUMBER(MATCH(A202,Sezoane!$C$6:$C$40,1)),A202&lt;=INDEX(Sezoane!$D$6:$D$40,MATCH(A202,Sezoane!$C$6:$C$40,1))),INDEX(Sezoane!$A$6:$A$40,MATCH(A202,Sezoane!$C$6:$C$40,1)),"⚠ fără sezon")</f>
        <v>⚠ fără sezon</v>
      </c>
      <c r="D202" s="42" t="str">
        <f aca="false">IF(AND(ISNUMBER(MATCH(A202,Sezoane!$C$6:$C$40,1)),A202&lt;=INDEX(Sezoane!$D$6:$D$40,MATCH(A202,Sezoane!$C$6:$C$40,1))),INDEX(Sezoane!$F$6:$F$40,MATCH(A202,Sezoane!$C$6:$C$40,1)),"")</f>
        <v/>
      </c>
      <c r="E202" s="44" t="str">
        <f aca="false">IF(AND(ISNUMBER(MATCH(A202,Sezoane!$C$6:$C$40,1)),A202&lt;=INDEX(Sezoane!$D$6:$D$40,MATCH(A202,Sezoane!$C$6:$C$40,1))),INDEX('Prețuri de setat'!$E$5:$E$39,MATCH(A202,Sezoane!$C$6:$C$40,1)),"")</f>
        <v/>
      </c>
      <c r="F202" s="44" t="str">
        <f aca="false">IF(AND(ISNUMBER(MATCH(A202,Sezoane!$C$6:$C$40,1)),A202&lt;=INDEX(Sezoane!$D$6:$D$40,MATCH(A202,Sezoane!$C$6:$C$40,1))),INDEX('Prețuri de setat'!$F$5:$F$39,MATCH(A202,Sezoane!$C$6:$C$40,1)),"")</f>
        <v/>
      </c>
      <c r="G202" s="44" t="str">
        <f aca="false">IF(AND(ISNUMBER(MATCH(A202,Sezoane!$C$6:$C$40,1)),A202&lt;=INDEX(Sezoane!$D$6:$D$40,MATCH(A202,Sezoane!$C$6:$C$40,1))),INDEX('Prețuri de setat'!$G$5:$G$39,MATCH(A202,Sezoane!$C$6:$C$40,1)),"")</f>
        <v/>
      </c>
      <c r="H202" s="44" t="str">
        <f aca="false">IF(AND(ISNUMBER(MATCH(A202,Sezoane!$C$6:$C$40,1)),A202&lt;=INDEX(Sezoane!$D$6:$D$40,MATCH(A202,Sezoane!$C$6:$C$40,1))),INDEX('Prețuri de setat'!$H$5:$H$39,MATCH(A202,Sezoane!$C$6:$C$40,1)),"")</f>
        <v/>
      </c>
      <c r="I202" s="44" t="str">
        <f aca="false">IF(AND(ISNUMBER(MATCH(A202,Sezoane!$C$6:$C$40,1)),A202&lt;=INDEX(Sezoane!$D$6:$D$40,MATCH(A202,Sezoane!$C$6:$C$40,1))),INDEX('Prețuri de setat'!$I$5:$I$39,MATCH(A202,Sezoane!$C$6:$C$40,1)),"")</f>
        <v/>
      </c>
    </row>
    <row r="203" customFormat="false" ht="15" hidden="false" customHeight="false" outlineLevel="0" collapsed="false">
      <c r="A203" s="41" t="n">
        <f aca="false">$B$2+198</f>
        <v>46514</v>
      </c>
      <c r="B203" s="42" t="str">
        <f aca="false">CHOOSE(WEEKDAY(A203,2),"Lu","Ma","Mi","Jo","Vi","Sâ","Du")</f>
        <v>Vi</v>
      </c>
      <c r="C203" s="42" t="str">
        <f aca="false">IF(AND(ISNUMBER(MATCH(A203,Sezoane!$C$6:$C$40,1)),A203&lt;=INDEX(Sezoane!$D$6:$D$40,MATCH(A203,Sezoane!$C$6:$C$40,1))),INDEX(Sezoane!$A$6:$A$40,MATCH(A203,Sezoane!$C$6:$C$40,1)),"⚠ fără sezon")</f>
        <v>⚠ fără sezon</v>
      </c>
      <c r="D203" s="42" t="str">
        <f aca="false">IF(AND(ISNUMBER(MATCH(A203,Sezoane!$C$6:$C$40,1)),A203&lt;=INDEX(Sezoane!$D$6:$D$40,MATCH(A203,Sezoane!$C$6:$C$40,1))),INDEX(Sezoane!$F$6:$F$40,MATCH(A203,Sezoane!$C$6:$C$40,1)),"")</f>
        <v/>
      </c>
      <c r="E203" s="44" t="str">
        <f aca="false">IF(AND(ISNUMBER(MATCH(A203,Sezoane!$C$6:$C$40,1)),A203&lt;=INDEX(Sezoane!$D$6:$D$40,MATCH(A203,Sezoane!$C$6:$C$40,1))),INDEX('Prețuri de setat'!$E$5:$E$39,MATCH(A203,Sezoane!$C$6:$C$40,1)),"")</f>
        <v/>
      </c>
      <c r="F203" s="44" t="str">
        <f aca="false">IF(AND(ISNUMBER(MATCH(A203,Sezoane!$C$6:$C$40,1)),A203&lt;=INDEX(Sezoane!$D$6:$D$40,MATCH(A203,Sezoane!$C$6:$C$40,1))),INDEX('Prețuri de setat'!$F$5:$F$39,MATCH(A203,Sezoane!$C$6:$C$40,1)),"")</f>
        <v/>
      </c>
      <c r="G203" s="44" t="str">
        <f aca="false">IF(AND(ISNUMBER(MATCH(A203,Sezoane!$C$6:$C$40,1)),A203&lt;=INDEX(Sezoane!$D$6:$D$40,MATCH(A203,Sezoane!$C$6:$C$40,1))),INDEX('Prețuri de setat'!$G$5:$G$39,MATCH(A203,Sezoane!$C$6:$C$40,1)),"")</f>
        <v/>
      </c>
      <c r="H203" s="44" t="str">
        <f aca="false">IF(AND(ISNUMBER(MATCH(A203,Sezoane!$C$6:$C$40,1)),A203&lt;=INDEX(Sezoane!$D$6:$D$40,MATCH(A203,Sezoane!$C$6:$C$40,1))),INDEX('Prețuri de setat'!$H$5:$H$39,MATCH(A203,Sezoane!$C$6:$C$40,1)),"")</f>
        <v/>
      </c>
      <c r="I203" s="44" t="str">
        <f aca="false">IF(AND(ISNUMBER(MATCH(A203,Sezoane!$C$6:$C$40,1)),A203&lt;=INDEX(Sezoane!$D$6:$D$40,MATCH(A203,Sezoane!$C$6:$C$40,1))),INDEX('Prețuri de setat'!$I$5:$I$39,MATCH(A203,Sezoane!$C$6:$C$40,1)),"")</f>
        <v/>
      </c>
    </row>
    <row r="204" customFormat="false" ht="15" hidden="false" customHeight="false" outlineLevel="0" collapsed="false">
      <c r="A204" s="41" t="n">
        <f aca="false">$B$2+199</f>
        <v>46515</v>
      </c>
      <c r="B204" s="42" t="str">
        <f aca="false">CHOOSE(WEEKDAY(A204,2),"Lu","Ma","Mi","Jo","Vi","Sâ","Du")</f>
        <v>Sâ</v>
      </c>
      <c r="C204" s="42" t="str">
        <f aca="false">IF(AND(ISNUMBER(MATCH(A204,Sezoane!$C$6:$C$40,1)),A204&lt;=INDEX(Sezoane!$D$6:$D$40,MATCH(A204,Sezoane!$C$6:$C$40,1))),INDEX(Sezoane!$A$6:$A$40,MATCH(A204,Sezoane!$C$6:$C$40,1)),"⚠ fără sezon")</f>
        <v>⚠ fără sezon</v>
      </c>
      <c r="D204" s="42" t="str">
        <f aca="false">IF(AND(ISNUMBER(MATCH(A204,Sezoane!$C$6:$C$40,1)),A204&lt;=INDEX(Sezoane!$D$6:$D$40,MATCH(A204,Sezoane!$C$6:$C$40,1))),INDEX(Sezoane!$F$6:$F$40,MATCH(A204,Sezoane!$C$6:$C$40,1)),"")</f>
        <v/>
      </c>
      <c r="E204" s="44" t="str">
        <f aca="false">IF(AND(ISNUMBER(MATCH(A204,Sezoane!$C$6:$C$40,1)),A204&lt;=INDEX(Sezoane!$D$6:$D$40,MATCH(A204,Sezoane!$C$6:$C$40,1))),INDEX('Prețuri de setat'!$E$5:$E$39,MATCH(A204,Sezoane!$C$6:$C$40,1)),"")</f>
        <v/>
      </c>
      <c r="F204" s="44" t="str">
        <f aca="false">IF(AND(ISNUMBER(MATCH(A204,Sezoane!$C$6:$C$40,1)),A204&lt;=INDEX(Sezoane!$D$6:$D$40,MATCH(A204,Sezoane!$C$6:$C$40,1))),INDEX('Prețuri de setat'!$F$5:$F$39,MATCH(A204,Sezoane!$C$6:$C$40,1)),"")</f>
        <v/>
      </c>
      <c r="G204" s="44" t="str">
        <f aca="false">IF(AND(ISNUMBER(MATCH(A204,Sezoane!$C$6:$C$40,1)),A204&lt;=INDEX(Sezoane!$D$6:$D$40,MATCH(A204,Sezoane!$C$6:$C$40,1))),INDEX('Prețuri de setat'!$G$5:$G$39,MATCH(A204,Sezoane!$C$6:$C$40,1)),"")</f>
        <v/>
      </c>
      <c r="H204" s="44" t="str">
        <f aca="false">IF(AND(ISNUMBER(MATCH(A204,Sezoane!$C$6:$C$40,1)),A204&lt;=INDEX(Sezoane!$D$6:$D$40,MATCH(A204,Sezoane!$C$6:$C$40,1))),INDEX('Prețuri de setat'!$H$5:$H$39,MATCH(A204,Sezoane!$C$6:$C$40,1)),"")</f>
        <v/>
      </c>
      <c r="I204" s="44" t="str">
        <f aca="false">IF(AND(ISNUMBER(MATCH(A204,Sezoane!$C$6:$C$40,1)),A204&lt;=INDEX(Sezoane!$D$6:$D$40,MATCH(A204,Sezoane!$C$6:$C$40,1))),INDEX('Prețuri de setat'!$I$5:$I$39,MATCH(A204,Sezoane!$C$6:$C$40,1)),"")</f>
        <v/>
      </c>
    </row>
    <row r="205" customFormat="false" ht="15" hidden="false" customHeight="false" outlineLevel="0" collapsed="false">
      <c r="A205" s="41" t="n">
        <f aca="false">$B$2+200</f>
        <v>46516</v>
      </c>
      <c r="B205" s="42" t="str">
        <f aca="false">CHOOSE(WEEKDAY(A205,2),"Lu","Ma","Mi","Jo","Vi","Sâ","Du")</f>
        <v>Du</v>
      </c>
      <c r="C205" s="42" t="str">
        <f aca="false">IF(AND(ISNUMBER(MATCH(A205,Sezoane!$C$6:$C$40,1)),A205&lt;=INDEX(Sezoane!$D$6:$D$40,MATCH(A205,Sezoane!$C$6:$C$40,1))),INDEX(Sezoane!$A$6:$A$40,MATCH(A205,Sezoane!$C$6:$C$40,1)),"⚠ fără sezon")</f>
        <v>⚠ fără sezon</v>
      </c>
      <c r="D205" s="42" t="str">
        <f aca="false">IF(AND(ISNUMBER(MATCH(A205,Sezoane!$C$6:$C$40,1)),A205&lt;=INDEX(Sezoane!$D$6:$D$40,MATCH(A205,Sezoane!$C$6:$C$40,1))),INDEX(Sezoane!$F$6:$F$40,MATCH(A205,Sezoane!$C$6:$C$40,1)),"")</f>
        <v/>
      </c>
      <c r="E205" s="44" t="str">
        <f aca="false">IF(AND(ISNUMBER(MATCH(A205,Sezoane!$C$6:$C$40,1)),A205&lt;=INDEX(Sezoane!$D$6:$D$40,MATCH(A205,Sezoane!$C$6:$C$40,1))),INDEX('Prețuri de setat'!$E$5:$E$39,MATCH(A205,Sezoane!$C$6:$C$40,1)),"")</f>
        <v/>
      </c>
      <c r="F205" s="44" t="str">
        <f aca="false">IF(AND(ISNUMBER(MATCH(A205,Sezoane!$C$6:$C$40,1)),A205&lt;=INDEX(Sezoane!$D$6:$D$40,MATCH(A205,Sezoane!$C$6:$C$40,1))),INDEX('Prețuri de setat'!$F$5:$F$39,MATCH(A205,Sezoane!$C$6:$C$40,1)),"")</f>
        <v/>
      </c>
      <c r="G205" s="44" t="str">
        <f aca="false">IF(AND(ISNUMBER(MATCH(A205,Sezoane!$C$6:$C$40,1)),A205&lt;=INDEX(Sezoane!$D$6:$D$40,MATCH(A205,Sezoane!$C$6:$C$40,1))),INDEX('Prețuri de setat'!$G$5:$G$39,MATCH(A205,Sezoane!$C$6:$C$40,1)),"")</f>
        <v/>
      </c>
      <c r="H205" s="44" t="str">
        <f aca="false">IF(AND(ISNUMBER(MATCH(A205,Sezoane!$C$6:$C$40,1)),A205&lt;=INDEX(Sezoane!$D$6:$D$40,MATCH(A205,Sezoane!$C$6:$C$40,1))),INDEX('Prețuri de setat'!$H$5:$H$39,MATCH(A205,Sezoane!$C$6:$C$40,1)),"")</f>
        <v/>
      </c>
      <c r="I205" s="44" t="str">
        <f aca="false">IF(AND(ISNUMBER(MATCH(A205,Sezoane!$C$6:$C$40,1)),A205&lt;=INDEX(Sezoane!$D$6:$D$40,MATCH(A205,Sezoane!$C$6:$C$40,1))),INDEX('Prețuri de setat'!$I$5:$I$39,MATCH(A205,Sezoane!$C$6:$C$40,1)),"")</f>
        <v/>
      </c>
    </row>
    <row r="206" customFormat="false" ht="15" hidden="false" customHeight="false" outlineLevel="0" collapsed="false">
      <c r="A206" s="41" t="n">
        <f aca="false">$B$2+201</f>
        <v>46517</v>
      </c>
      <c r="B206" s="42" t="str">
        <f aca="false">CHOOSE(WEEKDAY(A206,2),"Lu","Ma","Mi","Jo","Vi","Sâ","Du")</f>
        <v>Lu</v>
      </c>
      <c r="C206" s="42" t="str">
        <f aca="false">IF(AND(ISNUMBER(MATCH(A206,Sezoane!$C$6:$C$40,1)),A206&lt;=INDEX(Sezoane!$D$6:$D$40,MATCH(A206,Sezoane!$C$6:$C$40,1))),INDEX(Sezoane!$A$6:$A$40,MATCH(A206,Sezoane!$C$6:$C$40,1)),"⚠ fără sezon")</f>
        <v>⚠ fără sezon</v>
      </c>
      <c r="D206" s="42" t="str">
        <f aca="false">IF(AND(ISNUMBER(MATCH(A206,Sezoane!$C$6:$C$40,1)),A206&lt;=INDEX(Sezoane!$D$6:$D$40,MATCH(A206,Sezoane!$C$6:$C$40,1))),INDEX(Sezoane!$F$6:$F$40,MATCH(A206,Sezoane!$C$6:$C$40,1)),"")</f>
        <v/>
      </c>
      <c r="E206" s="44" t="str">
        <f aca="false">IF(AND(ISNUMBER(MATCH(A206,Sezoane!$C$6:$C$40,1)),A206&lt;=INDEX(Sezoane!$D$6:$D$40,MATCH(A206,Sezoane!$C$6:$C$40,1))),INDEX('Prețuri de setat'!$E$5:$E$39,MATCH(A206,Sezoane!$C$6:$C$40,1)),"")</f>
        <v/>
      </c>
      <c r="F206" s="44" t="str">
        <f aca="false">IF(AND(ISNUMBER(MATCH(A206,Sezoane!$C$6:$C$40,1)),A206&lt;=INDEX(Sezoane!$D$6:$D$40,MATCH(A206,Sezoane!$C$6:$C$40,1))),INDEX('Prețuri de setat'!$F$5:$F$39,MATCH(A206,Sezoane!$C$6:$C$40,1)),"")</f>
        <v/>
      </c>
      <c r="G206" s="44" t="str">
        <f aca="false">IF(AND(ISNUMBER(MATCH(A206,Sezoane!$C$6:$C$40,1)),A206&lt;=INDEX(Sezoane!$D$6:$D$40,MATCH(A206,Sezoane!$C$6:$C$40,1))),INDEX('Prețuri de setat'!$G$5:$G$39,MATCH(A206,Sezoane!$C$6:$C$40,1)),"")</f>
        <v/>
      </c>
      <c r="H206" s="44" t="str">
        <f aca="false">IF(AND(ISNUMBER(MATCH(A206,Sezoane!$C$6:$C$40,1)),A206&lt;=INDEX(Sezoane!$D$6:$D$40,MATCH(A206,Sezoane!$C$6:$C$40,1))),INDEX('Prețuri de setat'!$H$5:$H$39,MATCH(A206,Sezoane!$C$6:$C$40,1)),"")</f>
        <v/>
      </c>
      <c r="I206" s="44" t="str">
        <f aca="false">IF(AND(ISNUMBER(MATCH(A206,Sezoane!$C$6:$C$40,1)),A206&lt;=INDEX(Sezoane!$D$6:$D$40,MATCH(A206,Sezoane!$C$6:$C$40,1))),INDEX('Prețuri de setat'!$I$5:$I$39,MATCH(A206,Sezoane!$C$6:$C$40,1)),"")</f>
        <v/>
      </c>
    </row>
    <row r="207" customFormat="false" ht="15" hidden="false" customHeight="false" outlineLevel="0" collapsed="false">
      <c r="A207" s="41" t="n">
        <f aca="false">$B$2+202</f>
        <v>46518</v>
      </c>
      <c r="B207" s="42" t="str">
        <f aca="false">CHOOSE(WEEKDAY(A207,2),"Lu","Ma","Mi","Jo","Vi","Sâ","Du")</f>
        <v>Ma</v>
      </c>
      <c r="C207" s="42" t="str">
        <f aca="false">IF(AND(ISNUMBER(MATCH(A207,Sezoane!$C$6:$C$40,1)),A207&lt;=INDEX(Sezoane!$D$6:$D$40,MATCH(A207,Sezoane!$C$6:$C$40,1))),INDEX(Sezoane!$A$6:$A$40,MATCH(A207,Sezoane!$C$6:$C$40,1)),"⚠ fără sezon")</f>
        <v>⚠ fără sezon</v>
      </c>
      <c r="D207" s="42" t="str">
        <f aca="false">IF(AND(ISNUMBER(MATCH(A207,Sezoane!$C$6:$C$40,1)),A207&lt;=INDEX(Sezoane!$D$6:$D$40,MATCH(A207,Sezoane!$C$6:$C$40,1))),INDEX(Sezoane!$F$6:$F$40,MATCH(A207,Sezoane!$C$6:$C$40,1)),"")</f>
        <v/>
      </c>
      <c r="E207" s="44" t="str">
        <f aca="false">IF(AND(ISNUMBER(MATCH(A207,Sezoane!$C$6:$C$40,1)),A207&lt;=INDEX(Sezoane!$D$6:$D$40,MATCH(A207,Sezoane!$C$6:$C$40,1))),INDEX('Prețuri de setat'!$E$5:$E$39,MATCH(A207,Sezoane!$C$6:$C$40,1)),"")</f>
        <v/>
      </c>
      <c r="F207" s="44" t="str">
        <f aca="false">IF(AND(ISNUMBER(MATCH(A207,Sezoane!$C$6:$C$40,1)),A207&lt;=INDEX(Sezoane!$D$6:$D$40,MATCH(A207,Sezoane!$C$6:$C$40,1))),INDEX('Prețuri de setat'!$F$5:$F$39,MATCH(A207,Sezoane!$C$6:$C$40,1)),"")</f>
        <v/>
      </c>
      <c r="G207" s="44" t="str">
        <f aca="false">IF(AND(ISNUMBER(MATCH(A207,Sezoane!$C$6:$C$40,1)),A207&lt;=INDEX(Sezoane!$D$6:$D$40,MATCH(A207,Sezoane!$C$6:$C$40,1))),INDEX('Prețuri de setat'!$G$5:$G$39,MATCH(A207,Sezoane!$C$6:$C$40,1)),"")</f>
        <v/>
      </c>
      <c r="H207" s="44" t="str">
        <f aca="false">IF(AND(ISNUMBER(MATCH(A207,Sezoane!$C$6:$C$40,1)),A207&lt;=INDEX(Sezoane!$D$6:$D$40,MATCH(A207,Sezoane!$C$6:$C$40,1))),INDEX('Prețuri de setat'!$H$5:$H$39,MATCH(A207,Sezoane!$C$6:$C$40,1)),"")</f>
        <v/>
      </c>
      <c r="I207" s="44" t="str">
        <f aca="false">IF(AND(ISNUMBER(MATCH(A207,Sezoane!$C$6:$C$40,1)),A207&lt;=INDEX(Sezoane!$D$6:$D$40,MATCH(A207,Sezoane!$C$6:$C$40,1))),INDEX('Prețuri de setat'!$I$5:$I$39,MATCH(A207,Sezoane!$C$6:$C$40,1)),"")</f>
        <v/>
      </c>
    </row>
    <row r="208" customFormat="false" ht="15" hidden="false" customHeight="false" outlineLevel="0" collapsed="false">
      <c r="A208" s="41" t="n">
        <f aca="false">$B$2+203</f>
        <v>46519</v>
      </c>
      <c r="B208" s="42" t="str">
        <f aca="false">CHOOSE(WEEKDAY(A208,2),"Lu","Ma","Mi","Jo","Vi","Sâ","Du")</f>
        <v>Mi</v>
      </c>
      <c r="C208" s="42" t="str">
        <f aca="false">IF(AND(ISNUMBER(MATCH(A208,Sezoane!$C$6:$C$40,1)),A208&lt;=INDEX(Sezoane!$D$6:$D$40,MATCH(A208,Sezoane!$C$6:$C$40,1))),INDEX(Sezoane!$A$6:$A$40,MATCH(A208,Sezoane!$C$6:$C$40,1)),"⚠ fără sezon")</f>
        <v>⚠ fără sezon</v>
      </c>
      <c r="D208" s="42" t="str">
        <f aca="false">IF(AND(ISNUMBER(MATCH(A208,Sezoane!$C$6:$C$40,1)),A208&lt;=INDEX(Sezoane!$D$6:$D$40,MATCH(A208,Sezoane!$C$6:$C$40,1))),INDEX(Sezoane!$F$6:$F$40,MATCH(A208,Sezoane!$C$6:$C$40,1)),"")</f>
        <v/>
      </c>
      <c r="E208" s="44" t="str">
        <f aca="false">IF(AND(ISNUMBER(MATCH(A208,Sezoane!$C$6:$C$40,1)),A208&lt;=INDEX(Sezoane!$D$6:$D$40,MATCH(A208,Sezoane!$C$6:$C$40,1))),INDEX('Prețuri de setat'!$E$5:$E$39,MATCH(A208,Sezoane!$C$6:$C$40,1)),"")</f>
        <v/>
      </c>
      <c r="F208" s="44" t="str">
        <f aca="false">IF(AND(ISNUMBER(MATCH(A208,Sezoane!$C$6:$C$40,1)),A208&lt;=INDEX(Sezoane!$D$6:$D$40,MATCH(A208,Sezoane!$C$6:$C$40,1))),INDEX('Prețuri de setat'!$F$5:$F$39,MATCH(A208,Sezoane!$C$6:$C$40,1)),"")</f>
        <v/>
      </c>
      <c r="G208" s="44" t="str">
        <f aca="false">IF(AND(ISNUMBER(MATCH(A208,Sezoane!$C$6:$C$40,1)),A208&lt;=INDEX(Sezoane!$D$6:$D$40,MATCH(A208,Sezoane!$C$6:$C$40,1))),INDEX('Prețuri de setat'!$G$5:$G$39,MATCH(A208,Sezoane!$C$6:$C$40,1)),"")</f>
        <v/>
      </c>
      <c r="H208" s="44" t="str">
        <f aca="false">IF(AND(ISNUMBER(MATCH(A208,Sezoane!$C$6:$C$40,1)),A208&lt;=INDEX(Sezoane!$D$6:$D$40,MATCH(A208,Sezoane!$C$6:$C$40,1))),INDEX('Prețuri de setat'!$H$5:$H$39,MATCH(A208,Sezoane!$C$6:$C$40,1)),"")</f>
        <v/>
      </c>
      <c r="I208" s="44" t="str">
        <f aca="false">IF(AND(ISNUMBER(MATCH(A208,Sezoane!$C$6:$C$40,1)),A208&lt;=INDEX(Sezoane!$D$6:$D$40,MATCH(A208,Sezoane!$C$6:$C$40,1))),INDEX('Prețuri de setat'!$I$5:$I$39,MATCH(A208,Sezoane!$C$6:$C$40,1)),"")</f>
        <v/>
      </c>
    </row>
    <row r="209" customFormat="false" ht="15" hidden="false" customHeight="false" outlineLevel="0" collapsed="false">
      <c r="A209" s="41" t="n">
        <f aca="false">$B$2+204</f>
        <v>46520</v>
      </c>
      <c r="B209" s="42" t="str">
        <f aca="false">CHOOSE(WEEKDAY(A209,2),"Lu","Ma","Mi","Jo","Vi","Sâ","Du")</f>
        <v>Jo</v>
      </c>
      <c r="C209" s="42" t="str">
        <f aca="false">IF(AND(ISNUMBER(MATCH(A209,Sezoane!$C$6:$C$40,1)),A209&lt;=INDEX(Sezoane!$D$6:$D$40,MATCH(A209,Sezoane!$C$6:$C$40,1))),INDEX(Sezoane!$A$6:$A$40,MATCH(A209,Sezoane!$C$6:$C$40,1)),"⚠ fără sezon")</f>
        <v>⚠ fără sezon</v>
      </c>
      <c r="D209" s="42" t="str">
        <f aca="false">IF(AND(ISNUMBER(MATCH(A209,Sezoane!$C$6:$C$40,1)),A209&lt;=INDEX(Sezoane!$D$6:$D$40,MATCH(A209,Sezoane!$C$6:$C$40,1))),INDEX(Sezoane!$F$6:$F$40,MATCH(A209,Sezoane!$C$6:$C$40,1)),"")</f>
        <v/>
      </c>
      <c r="E209" s="44" t="str">
        <f aca="false">IF(AND(ISNUMBER(MATCH(A209,Sezoane!$C$6:$C$40,1)),A209&lt;=INDEX(Sezoane!$D$6:$D$40,MATCH(A209,Sezoane!$C$6:$C$40,1))),INDEX('Prețuri de setat'!$E$5:$E$39,MATCH(A209,Sezoane!$C$6:$C$40,1)),"")</f>
        <v/>
      </c>
      <c r="F209" s="44" t="str">
        <f aca="false">IF(AND(ISNUMBER(MATCH(A209,Sezoane!$C$6:$C$40,1)),A209&lt;=INDEX(Sezoane!$D$6:$D$40,MATCH(A209,Sezoane!$C$6:$C$40,1))),INDEX('Prețuri de setat'!$F$5:$F$39,MATCH(A209,Sezoane!$C$6:$C$40,1)),"")</f>
        <v/>
      </c>
      <c r="G209" s="44" t="str">
        <f aca="false">IF(AND(ISNUMBER(MATCH(A209,Sezoane!$C$6:$C$40,1)),A209&lt;=INDEX(Sezoane!$D$6:$D$40,MATCH(A209,Sezoane!$C$6:$C$40,1))),INDEX('Prețuri de setat'!$G$5:$G$39,MATCH(A209,Sezoane!$C$6:$C$40,1)),"")</f>
        <v/>
      </c>
      <c r="H209" s="44" t="str">
        <f aca="false">IF(AND(ISNUMBER(MATCH(A209,Sezoane!$C$6:$C$40,1)),A209&lt;=INDEX(Sezoane!$D$6:$D$40,MATCH(A209,Sezoane!$C$6:$C$40,1))),INDEX('Prețuri de setat'!$H$5:$H$39,MATCH(A209,Sezoane!$C$6:$C$40,1)),"")</f>
        <v/>
      </c>
      <c r="I209" s="44" t="str">
        <f aca="false">IF(AND(ISNUMBER(MATCH(A209,Sezoane!$C$6:$C$40,1)),A209&lt;=INDEX(Sezoane!$D$6:$D$40,MATCH(A209,Sezoane!$C$6:$C$40,1))),INDEX('Prețuri de setat'!$I$5:$I$39,MATCH(A209,Sezoane!$C$6:$C$40,1)),"")</f>
        <v/>
      </c>
    </row>
    <row r="210" customFormat="false" ht="15" hidden="false" customHeight="false" outlineLevel="0" collapsed="false">
      <c r="A210" s="41" t="n">
        <f aca="false">$B$2+205</f>
        <v>46521</v>
      </c>
      <c r="B210" s="42" t="str">
        <f aca="false">CHOOSE(WEEKDAY(A210,2),"Lu","Ma","Mi","Jo","Vi","Sâ","Du")</f>
        <v>Vi</v>
      </c>
      <c r="C210" s="42" t="str">
        <f aca="false">IF(AND(ISNUMBER(MATCH(A210,Sezoane!$C$6:$C$40,1)),A210&lt;=INDEX(Sezoane!$D$6:$D$40,MATCH(A210,Sezoane!$C$6:$C$40,1))),INDEX(Sezoane!$A$6:$A$40,MATCH(A210,Sezoane!$C$6:$C$40,1)),"⚠ fără sezon")</f>
        <v>⚠ fără sezon</v>
      </c>
      <c r="D210" s="42" t="str">
        <f aca="false">IF(AND(ISNUMBER(MATCH(A210,Sezoane!$C$6:$C$40,1)),A210&lt;=INDEX(Sezoane!$D$6:$D$40,MATCH(A210,Sezoane!$C$6:$C$40,1))),INDEX(Sezoane!$F$6:$F$40,MATCH(A210,Sezoane!$C$6:$C$40,1)),"")</f>
        <v/>
      </c>
      <c r="E210" s="44" t="str">
        <f aca="false">IF(AND(ISNUMBER(MATCH(A210,Sezoane!$C$6:$C$40,1)),A210&lt;=INDEX(Sezoane!$D$6:$D$40,MATCH(A210,Sezoane!$C$6:$C$40,1))),INDEX('Prețuri de setat'!$E$5:$E$39,MATCH(A210,Sezoane!$C$6:$C$40,1)),"")</f>
        <v/>
      </c>
      <c r="F210" s="44" t="str">
        <f aca="false">IF(AND(ISNUMBER(MATCH(A210,Sezoane!$C$6:$C$40,1)),A210&lt;=INDEX(Sezoane!$D$6:$D$40,MATCH(A210,Sezoane!$C$6:$C$40,1))),INDEX('Prețuri de setat'!$F$5:$F$39,MATCH(A210,Sezoane!$C$6:$C$40,1)),"")</f>
        <v/>
      </c>
      <c r="G210" s="44" t="str">
        <f aca="false">IF(AND(ISNUMBER(MATCH(A210,Sezoane!$C$6:$C$40,1)),A210&lt;=INDEX(Sezoane!$D$6:$D$40,MATCH(A210,Sezoane!$C$6:$C$40,1))),INDEX('Prețuri de setat'!$G$5:$G$39,MATCH(A210,Sezoane!$C$6:$C$40,1)),"")</f>
        <v/>
      </c>
      <c r="H210" s="44" t="str">
        <f aca="false">IF(AND(ISNUMBER(MATCH(A210,Sezoane!$C$6:$C$40,1)),A210&lt;=INDEX(Sezoane!$D$6:$D$40,MATCH(A210,Sezoane!$C$6:$C$40,1))),INDEX('Prețuri de setat'!$H$5:$H$39,MATCH(A210,Sezoane!$C$6:$C$40,1)),"")</f>
        <v/>
      </c>
      <c r="I210" s="44" t="str">
        <f aca="false">IF(AND(ISNUMBER(MATCH(A210,Sezoane!$C$6:$C$40,1)),A210&lt;=INDEX(Sezoane!$D$6:$D$40,MATCH(A210,Sezoane!$C$6:$C$40,1))),INDEX('Prețuri de setat'!$I$5:$I$39,MATCH(A210,Sezoane!$C$6:$C$40,1)),"")</f>
        <v/>
      </c>
    </row>
    <row r="211" customFormat="false" ht="15" hidden="false" customHeight="false" outlineLevel="0" collapsed="false">
      <c r="A211" s="41" t="n">
        <f aca="false">$B$2+206</f>
        <v>46522</v>
      </c>
      <c r="B211" s="42" t="str">
        <f aca="false">CHOOSE(WEEKDAY(A211,2),"Lu","Ma","Mi","Jo","Vi","Sâ","Du")</f>
        <v>Sâ</v>
      </c>
      <c r="C211" s="42" t="str">
        <f aca="false">IF(AND(ISNUMBER(MATCH(A211,Sezoane!$C$6:$C$40,1)),A211&lt;=INDEX(Sezoane!$D$6:$D$40,MATCH(A211,Sezoane!$C$6:$C$40,1))),INDEX(Sezoane!$A$6:$A$40,MATCH(A211,Sezoane!$C$6:$C$40,1)),"⚠ fără sezon")</f>
        <v>⚠ fără sezon</v>
      </c>
      <c r="D211" s="42" t="str">
        <f aca="false">IF(AND(ISNUMBER(MATCH(A211,Sezoane!$C$6:$C$40,1)),A211&lt;=INDEX(Sezoane!$D$6:$D$40,MATCH(A211,Sezoane!$C$6:$C$40,1))),INDEX(Sezoane!$F$6:$F$40,MATCH(A211,Sezoane!$C$6:$C$40,1)),"")</f>
        <v/>
      </c>
      <c r="E211" s="44" t="str">
        <f aca="false">IF(AND(ISNUMBER(MATCH(A211,Sezoane!$C$6:$C$40,1)),A211&lt;=INDEX(Sezoane!$D$6:$D$40,MATCH(A211,Sezoane!$C$6:$C$40,1))),INDEX('Prețuri de setat'!$E$5:$E$39,MATCH(A211,Sezoane!$C$6:$C$40,1)),"")</f>
        <v/>
      </c>
      <c r="F211" s="44" t="str">
        <f aca="false">IF(AND(ISNUMBER(MATCH(A211,Sezoane!$C$6:$C$40,1)),A211&lt;=INDEX(Sezoane!$D$6:$D$40,MATCH(A211,Sezoane!$C$6:$C$40,1))),INDEX('Prețuri de setat'!$F$5:$F$39,MATCH(A211,Sezoane!$C$6:$C$40,1)),"")</f>
        <v/>
      </c>
      <c r="G211" s="44" t="str">
        <f aca="false">IF(AND(ISNUMBER(MATCH(A211,Sezoane!$C$6:$C$40,1)),A211&lt;=INDEX(Sezoane!$D$6:$D$40,MATCH(A211,Sezoane!$C$6:$C$40,1))),INDEX('Prețuri de setat'!$G$5:$G$39,MATCH(A211,Sezoane!$C$6:$C$40,1)),"")</f>
        <v/>
      </c>
      <c r="H211" s="44" t="str">
        <f aca="false">IF(AND(ISNUMBER(MATCH(A211,Sezoane!$C$6:$C$40,1)),A211&lt;=INDEX(Sezoane!$D$6:$D$40,MATCH(A211,Sezoane!$C$6:$C$40,1))),INDEX('Prețuri de setat'!$H$5:$H$39,MATCH(A211,Sezoane!$C$6:$C$40,1)),"")</f>
        <v/>
      </c>
      <c r="I211" s="44" t="str">
        <f aca="false">IF(AND(ISNUMBER(MATCH(A211,Sezoane!$C$6:$C$40,1)),A211&lt;=INDEX(Sezoane!$D$6:$D$40,MATCH(A211,Sezoane!$C$6:$C$40,1))),INDEX('Prețuri de setat'!$I$5:$I$39,MATCH(A211,Sezoane!$C$6:$C$40,1)),"")</f>
        <v/>
      </c>
    </row>
    <row r="212" customFormat="false" ht="15" hidden="false" customHeight="false" outlineLevel="0" collapsed="false">
      <c r="A212" s="41" t="n">
        <f aca="false">$B$2+207</f>
        <v>46523</v>
      </c>
      <c r="B212" s="42" t="str">
        <f aca="false">CHOOSE(WEEKDAY(A212,2),"Lu","Ma","Mi","Jo","Vi","Sâ","Du")</f>
        <v>Du</v>
      </c>
      <c r="C212" s="42" t="str">
        <f aca="false">IF(AND(ISNUMBER(MATCH(A212,Sezoane!$C$6:$C$40,1)),A212&lt;=INDEX(Sezoane!$D$6:$D$40,MATCH(A212,Sezoane!$C$6:$C$40,1))),INDEX(Sezoane!$A$6:$A$40,MATCH(A212,Sezoane!$C$6:$C$40,1)),"⚠ fără sezon")</f>
        <v>⚠ fără sezon</v>
      </c>
      <c r="D212" s="42" t="str">
        <f aca="false">IF(AND(ISNUMBER(MATCH(A212,Sezoane!$C$6:$C$40,1)),A212&lt;=INDEX(Sezoane!$D$6:$D$40,MATCH(A212,Sezoane!$C$6:$C$40,1))),INDEX(Sezoane!$F$6:$F$40,MATCH(A212,Sezoane!$C$6:$C$40,1)),"")</f>
        <v/>
      </c>
      <c r="E212" s="44" t="str">
        <f aca="false">IF(AND(ISNUMBER(MATCH(A212,Sezoane!$C$6:$C$40,1)),A212&lt;=INDEX(Sezoane!$D$6:$D$40,MATCH(A212,Sezoane!$C$6:$C$40,1))),INDEX('Prețuri de setat'!$E$5:$E$39,MATCH(A212,Sezoane!$C$6:$C$40,1)),"")</f>
        <v/>
      </c>
      <c r="F212" s="44" t="str">
        <f aca="false">IF(AND(ISNUMBER(MATCH(A212,Sezoane!$C$6:$C$40,1)),A212&lt;=INDEX(Sezoane!$D$6:$D$40,MATCH(A212,Sezoane!$C$6:$C$40,1))),INDEX('Prețuri de setat'!$F$5:$F$39,MATCH(A212,Sezoane!$C$6:$C$40,1)),"")</f>
        <v/>
      </c>
      <c r="G212" s="44" t="str">
        <f aca="false">IF(AND(ISNUMBER(MATCH(A212,Sezoane!$C$6:$C$40,1)),A212&lt;=INDEX(Sezoane!$D$6:$D$40,MATCH(A212,Sezoane!$C$6:$C$40,1))),INDEX('Prețuri de setat'!$G$5:$G$39,MATCH(A212,Sezoane!$C$6:$C$40,1)),"")</f>
        <v/>
      </c>
      <c r="H212" s="44" t="str">
        <f aca="false">IF(AND(ISNUMBER(MATCH(A212,Sezoane!$C$6:$C$40,1)),A212&lt;=INDEX(Sezoane!$D$6:$D$40,MATCH(A212,Sezoane!$C$6:$C$40,1))),INDEX('Prețuri de setat'!$H$5:$H$39,MATCH(A212,Sezoane!$C$6:$C$40,1)),"")</f>
        <v/>
      </c>
      <c r="I212" s="44" t="str">
        <f aca="false">IF(AND(ISNUMBER(MATCH(A212,Sezoane!$C$6:$C$40,1)),A212&lt;=INDEX(Sezoane!$D$6:$D$40,MATCH(A212,Sezoane!$C$6:$C$40,1))),INDEX('Prețuri de setat'!$I$5:$I$39,MATCH(A212,Sezoane!$C$6:$C$40,1)),"")</f>
        <v/>
      </c>
    </row>
    <row r="213" customFormat="false" ht="15" hidden="false" customHeight="false" outlineLevel="0" collapsed="false">
      <c r="A213" s="41" t="n">
        <f aca="false">$B$2+208</f>
        <v>46524</v>
      </c>
      <c r="B213" s="42" t="str">
        <f aca="false">CHOOSE(WEEKDAY(A213,2),"Lu","Ma","Mi","Jo","Vi","Sâ","Du")</f>
        <v>Lu</v>
      </c>
      <c r="C213" s="42" t="str">
        <f aca="false">IF(AND(ISNUMBER(MATCH(A213,Sezoane!$C$6:$C$40,1)),A213&lt;=INDEX(Sezoane!$D$6:$D$40,MATCH(A213,Sezoane!$C$6:$C$40,1))),INDEX(Sezoane!$A$6:$A$40,MATCH(A213,Sezoane!$C$6:$C$40,1)),"⚠ fără sezon")</f>
        <v>⚠ fără sezon</v>
      </c>
      <c r="D213" s="42" t="str">
        <f aca="false">IF(AND(ISNUMBER(MATCH(A213,Sezoane!$C$6:$C$40,1)),A213&lt;=INDEX(Sezoane!$D$6:$D$40,MATCH(A213,Sezoane!$C$6:$C$40,1))),INDEX(Sezoane!$F$6:$F$40,MATCH(A213,Sezoane!$C$6:$C$40,1)),"")</f>
        <v/>
      </c>
      <c r="E213" s="44" t="str">
        <f aca="false">IF(AND(ISNUMBER(MATCH(A213,Sezoane!$C$6:$C$40,1)),A213&lt;=INDEX(Sezoane!$D$6:$D$40,MATCH(A213,Sezoane!$C$6:$C$40,1))),INDEX('Prețuri de setat'!$E$5:$E$39,MATCH(A213,Sezoane!$C$6:$C$40,1)),"")</f>
        <v/>
      </c>
      <c r="F213" s="44" t="str">
        <f aca="false">IF(AND(ISNUMBER(MATCH(A213,Sezoane!$C$6:$C$40,1)),A213&lt;=INDEX(Sezoane!$D$6:$D$40,MATCH(A213,Sezoane!$C$6:$C$40,1))),INDEX('Prețuri de setat'!$F$5:$F$39,MATCH(A213,Sezoane!$C$6:$C$40,1)),"")</f>
        <v/>
      </c>
      <c r="G213" s="44" t="str">
        <f aca="false">IF(AND(ISNUMBER(MATCH(A213,Sezoane!$C$6:$C$40,1)),A213&lt;=INDEX(Sezoane!$D$6:$D$40,MATCH(A213,Sezoane!$C$6:$C$40,1))),INDEX('Prețuri de setat'!$G$5:$G$39,MATCH(A213,Sezoane!$C$6:$C$40,1)),"")</f>
        <v/>
      </c>
      <c r="H213" s="44" t="str">
        <f aca="false">IF(AND(ISNUMBER(MATCH(A213,Sezoane!$C$6:$C$40,1)),A213&lt;=INDEX(Sezoane!$D$6:$D$40,MATCH(A213,Sezoane!$C$6:$C$40,1))),INDEX('Prețuri de setat'!$H$5:$H$39,MATCH(A213,Sezoane!$C$6:$C$40,1)),"")</f>
        <v/>
      </c>
      <c r="I213" s="44" t="str">
        <f aca="false">IF(AND(ISNUMBER(MATCH(A213,Sezoane!$C$6:$C$40,1)),A213&lt;=INDEX(Sezoane!$D$6:$D$40,MATCH(A213,Sezoane!$C$6:$C$40,1))),INDEX('Prețuri de setat'!$I$5:$I$39,MATCH(A213,Sezoane!$C$6:$C$40,1)),"")</f>
        <v/>
      </c>
    </row>
    <row r="214" customFormat="false" ht="15" hidden="false" customHeight="false" outlineLevel="0" collapsed="false">
      <c r="A214" s="41" t="n">
        <f aca="false">$B$2+209</f>
        <v>46525</v>
      </c>
      <c r="B214" s="42" t="str">
        <f aca="false">CHOOSE(WEEKDAY(A214,2),"Lu","Ma","Mi","Jo","Vi","Sâ","Du")</f>
        <v>Ma</v>
      </c>
      <c r="C214" s="42" t="str">
        <f aca="false">IF(AND(ISNUMBER(MATCH(A214,Sezoane!$C$6:$C$40,1)),A214&lt;=INDEX(Sezoane!$D$6:$D$40,MATCH(A214,Sezoane!$C$6:$C$40,1))),INDEX(Sezoane!$A$6:$A$40,MATCH(A214,Sezoane!$C$6:$C$40,1)),"⚠ fără sezon")</f>
        <v>⚠ fără sezon</v>
      </c>
      <c r="D214" s="42" t="str">
        <f aca="false">IF(AND(ISNUMBER(MATCH(A214,Sezoane!$C$6:$C$40,1)),A214&lt;=INDEX(Sezoane!$D$6:$D$40,MATCH(A214,Sezoane!$C$6:$C$40,1))),INDEX(Sezoane!$F$6:$F$40,MATCH(A214,Sezoane!$C$6:$C$40,1)),"")</f>
        <v/>
      </c>
      <c r="E214" s="44" t="str">
        <f aca="false">IF(AND(ISNUMBER(MATCH(A214,Sezoane!$C$6:$C$40,1)),A214&lt;=INDEX(Sezoane!$D$6:$D$40,MATCH(A214,Sezoane!$C$6:$C$40,1))),INDEX('Prețuri de setat'!$E$5:$E$39,MATCH(A214,Sezoane!$C$6:$C$40,1)),"")</f>
        <v/>
      </c>
      <c r="F214" s="44" t="str">
        <f aca="false">IF(AND(ISNUMBER(MATCH(A214,Sezoane!$C$6:$C$40,1)),A214&lt;=INDEX(Sezoane!$D$6:$D$40,MATCH(A214,Sezoane!$C$6:$C$40,1))),INDEX('Prețuri de setat'!$F$5:$F$39,MATCH(A214,Sezoane!$C$6:$C$40,1)),"")</f>
        <v/>
      </c>
      <c r="G214" s="44" t="str">
        <f aca="false">IF(AND(ISNUMBER(MATCH(A214,Sezoane!$C$6:$C$40,1)),A214&lt;=INDEX(Sezoane!$D$6:$D$40,MATCH(A214,Sezoane!$C$6:$C$40,1))),INDEX('Prețuri de setat'!$G$5:$G$39,MATCH(A214,Sezoane!$C$6:$C$40,1)),"")</f>
        <v/>
      </c>
      <c r="H214" s="44" t="str">
        <f aca="false">IF(AND(ISNUMBER(MATCH(A214,Sezoane!$C$6:$C$40,1)),A214&lt;=INDEX(Sezoane!$D$6:$D$40,MATCH(A214,Sezoane!$C$6:$C$40,1))),INDEX('Prețuri de setat'!$H$5:$H$39,MATCH(A214,Sezoane!$C$6:$C$40,1)),"")</f>
        <v/>
      </c>
      <c r="I214" s="44" t="str">
        <f aca="false">IF(AND(ISNUMBER(MATCH(A214,Sezoane!$C$6:$C$40,1)),A214&lt;=INDEX(Sezoane!$D$6:$D$40,MATCH(A214,Sezoane!$C$6:$C$40,1))),INDEX('Prețuri de setat'!$I$5:$I$39,MATCH(A214,Sezoane!$C$6:$C$40,1)),"")</f>
        <v/>
      </c>
    </row>
    <row r="215" customFormat="false" ht="15" hidden="false" customHeight="false" outlineLevel="0" collapsed="false">
      <c r="A215" s="41" t="n">
        <f aca="false">$B$2+210</f>
        <v>46526</v>
      </c>
      <c r="B215" s="42" t="str">
        <f aca="false">CHOOSE(WEEKDAY(A215,2),"Lu","Ma","Mi","Jo","Vi","Sâ","Du")</f>
        <v>Mi</v>
      </c>
      <c r="C215" s="42" t="str">
        <f aca="false">IF(AND(ISNUMBER(MATCH(A215,Sezoane!$C$6:$C$40,1)),A215&lt;=INDEX(Sezoane!$D$6:$D$40,MATCH(A215,Sezoane!$C$6:$C$40,1))),INDEX(Sezoane!$A$6:$A$40,MATCH(A215,Sezoane!$C$6:$C$40,1)),"⚠ fără sezon")</f>
        <v>⚠ fără sezon</v>
      </c>
      <c r="D215" s="42" t="str">
        <f aca="false">IF(AND(ISNUMBER(MATCH(A215,Sezoane!$C$6:$C$40,1)),A215&lt;=INDEX(Sezoane!$D$6:$D$40,MATCH(A215,Sezoane!$C$6:$C$40,1))),INDEX(Sezoane!$F$6:$F$40,MATCH(A215,Sezoane!$C$6:$C$40,1)),"")</f>
        <v/>
      </c>
      <c r="E215" s="44" t="str">
        <f aca="false">IF(AND(ISNUMBER(MATCH(A215,Sezoane!$C$6:$C$40,1)),A215&lt;=INDEX(Sezoane!$D$6:$D$40,MATCH(A215,Sezoane!$C$6:$C$40,1))),INDEX('Prețuri de setat'!$E$5:$E$39,MATCH(A215,Sezoane!$C$6:$C$40,1)),"")</f>
        <v/>
      </c>
      <c r="F215" s="44" t="str">
        <f aca="false">IF(AND(ISNUMBER(MATCH(A215,Sezoane!$C$6:$C$40,1)),A215&lt;=INDEX(Sezoane!$D$6:$D$40,MATCH(A215,Sezoane!$C$6:$C$40,1))),INDEX('Prețuri de setat'!$F$5:$F$39,MATCH(A215,Sezoane!$C$6:$C$40,1)),"")</f>
        <v/>
      </c>
      <c r="G215" s="44" t="str">
        <f aca="false">IF(AND(ISNUMBER(MATCH(A215,Sezoane!$C$6:$C$40,1)),A215&lt;=INDEX(Sezoane!$D$6:$D$40,MATCH(A215,Sezoane!$C$6:$C$40,1))),INDEX('Prețuri de setat'!$G$5:$G$39,MATCH(A215,Sezoane!$C$6:$C$40,1)),"")</f>
        <v/>
      </c>
      <c r="H215" s="44" t="str">
        <f aca="false">IF(AND(ISNUMBER(MATCH(A215,Sezoane!$C$6:$C$40,1)),A215&lt;=INDEX(Sezoane!$D$6:$D$40,MATCH(A215,Sezoane!$C$6:$C$40,1))),INDEX('Prețuri de setat'!$H$5:$H$39,MATCH(A215,Sezoane!$C$6:$C$40,1)),"")</f>
        <v/>
      </c>
      <c r="I215" s="44" t="str">
        <f aca="false">IF(AND(ISNUMBER(MATCH(A215,Sezoane!$C$6:$C$40,1)),A215&lt;=INDEX(Sezoane!$D$6:$D$40,MATCH(A215,Sezoane!$C$6:$C$40,1))),INDEX('Prețuri de setat'!$I$5:$I$39,MATCH(A215,Sezoane!$C$6:$C$40,1)),"")</f>
        <v/>
      </c>
    </row>
    <row r="216" customFormat="false" ht="15" hidden="false" customHeight="false" outlineLevel="0" collapsed="false">
      <c r="A216" s="41" t="n">
        <f aca="false">$B$2+211</f>
        <v>46527</v>
      </c>
      <c r="B216" s="42" t="str">
        <f aca="false">CHOOSE(WEEKDAY(A216,2),"Lu","Ma","Mi","Jo","Vi","Sâ","Du")</f>
        <v>Jo</v>
      </c>
      <c r="C216" s="42" t="str">
        <f aca="false">IF(AND(ISNUMBER(MATCH(A216,Sezoane!$C$6:$C$40,1)),A216&lt;=INDEX(Sezoane!$D$6:$D$40,MATCH(A216,Sezoane!$C$6:$C$40,1))),INDEX(Sezoane!$A$6:$A$40,MATCH(A216,Sezoane!$C$6:$C$40,1)),"⚠ fără sezon")</f>
        <v>⚠ fără sezon</v>
      </c>
      <c r="D216" s="42" t="str">
        <f aca="false">IF(AND(ISNUMBER(MATCH(A216,Sezoane!$C$6:$C$40,1)),A216&lt;=INDEX(Sezoane!$D$6:$D$40,MATCH(A216,Sezoane!$C$6:$C$40,1))),INDEX(Sezoane!$F$6:$F$40,MATCH(A216,Sezoane!$C$6:$C$40,1)),"")</f>
        <v/>
      </c>
      <c r="E216" s="44" t="str">
        <f aca="false">IF(AND(ISNUMBER(MATCH(A216,Sezoane!$C$6:$C$40,1)),A216&lt;=INDEX(Sezoane!$D$6:$D$40,MATCH(A216,Sezoane!$C$6:$C$40,1))),INDEX('Prețuri de setat'!$E$5:$E$39,MATCH(A216,Sezoane!$C$6:$C$40,1)),"")</f>
        <v/>
      </c>
      <c r="F216" s="44" t="str">
        <f aca="false">IF(AND(ISNUMBER(MATCH(A216,Sezoane!$C$6:$C$40,1)),A216&lt;=INDEX(Sezoane!$D$6:$D$40,MATCH(A216,Sezoane!$C$6:$C$40,1))),INDEX('Prețuri de setat'!$F$5:$F$39,MATCH(A216,Sezoane!$C$6:$C$40,1)),"")</f>
        <v/>
      </c>
      <c r="G216" s="44" t="str">
        <f aca="false">IF(AND(ISNUMBER(MATCH(A216,Sezoane!$C$6:$C$40,1)),A216&lt;=INDEX(Sezoane!$D$6:$D$40,MATCH(A216,Sezoane!$C$6:$C$40,1))),INDEX('Prețuri de setat'!$G$5:$G$39,MATCH(A216,Sezoane!$C$6:$C$40,1)),"")</f>
        <v/>
      </c>
      <c r="H216" s="44" t="str">
        <f aca="false">IF(AND(ISNUMBER(MATCH(A216,Sezoane!$C$6:$C$40,1)),A216&lt;=INDEX(Sezoane!$D$6:$D$40,MATCH(A216,Sezoane!$C$6:$C$40,1))),INDEX('Prețuri de setat'!$H$5:$H$39,MATCH(A216,Sezoane!$C$6:$C$40,1)),"")</f>
        <v/>
      </c>
      <c r="I216" s="44" t="str">
        <f aca="false">IF(AND(ISNUMBER(MATCH(A216,Sezoane!$C$6:$C$40,1)),A216&lt;=INDEX(Sezoane!$D$6:$D$40,MATCH(A216,Sezoane!$C$6:$C$40,1))),INDEX('Prețuri de setat'!$I$5:$I$39,MATCH(A216,Sezoane!$C$6:$C$40,1)),"")</f>
        <v/>
      </c>
    </row>
    <row r="217" customFormat="false" ht="15" hidden="false" customHeight="false" outlineLevel="0" collapsed="false">
      <c r="A217" s="41" t="n">
        <f aca="false">$B$2+212</f>
        <v>46528</v>
      </c>
      <c r="B217" s="42" t="str">
        <f aca="false">CHOOSE(WEEKDAY(A217,2),"Lu","Ma","Mi","Jo","Vi","Sâ","Du")</f>
        <v>Vi</v>
      </c>
      <c r="C217" s="42" t="str">
        <f aca="false">IF(AND(ISNUMBER(MATCH(A217,Sezoane!$C$6:$C$40,1)),A217&lt;=INDEX(Sezoane!$D$6:$D$40,MATCH(A217,Sezoane!$C$6:$C$40,1))),INDEX(Sezoane!$A$6:$A$40,MATCH(A217,Sezoane!$C$6:$C$40,1)),"⚠ fără sezon")</f>
        <v>⚠ fără sezon</v>
      </c>
      <c r="D217" s="42" t="str">
        <f aca="false">IF(AND(ISNUMBER(MATCH(A217,Sezoane!$C$6:$C$40,1)),A217&lt;=INDEX(Sezoane!$D$6:$D$40,MATCH(A217,Sezoane!$C$6:$C$40,1))),INDEX(Sezoane!$F$6:$F$40,MATCH(A217,Sezoane!$C$6:$C$40,1)),"")</f>
        <v/>
      </c>
      <c r="E217" s="44" t="str">
        <f aca="false">IF(AND(ISNUMBER(MATCH(A217,Sezoane!$C$6:$C$40,1)),A217&lt;=INDEX(Sezoane!$D$6:$D$40,MATCH(A217,Sezoane!$C$6:$C$40,1))),INDEX('Prețuri de setat'!$E$5:$E$39,MATCH(A217,Sezoane!$C$6:$C$40,1)),"")</f>
        <v/>
      </c>
      <c r="F217" s="44" t="str">
        <f aca="false">IF(AND(ISNUMBER(MATCH(A217,Sezoane!$C$6:$C$40,1)),A217&lt;=INDEX(Sezoane!$D$6:$D$40,MATCH(A217,Sezoane!$C$6:$C$40,1))),INDEX('Prețuri de setat'!$F$5:$F$39,MATCH(A217,Sezoane!$C$6:$C$40,1)),"")</f>
        <v/>
      </c>
      <c r="G217" s="44" t="str">
        <f aca="false">IF(AND(ISNUMBER(MATCH(A217,Sezoane!$C$6:$C$40,1)),A217&lt;=INDEX(Sezoane!$D$6:$D$40,MATCH(A217,Sezoane!$C$6:$C$40,1))),INDEX('Prețuri de setat'!$G$5:$G$39,MATCH(A217,Sezoane!$C$6:$C$40,1)),"")</f>
        <v/>
      </c>
      <c r="H217" s="44" t="str">
        <f aca="false">IF(AND(ISNUMBER(MATCH(A217,Sezoane!$C$6:$C$40,1)),A217&lt;=INDEX(Sezoane!$D$6:$D$40,MATCH(A217,Sezoane!$C$6:$C$40,1))),INDEX('Prețuri de setat'!$H$5:$H$39,MATCH(A217,Sezoane!$C$6:$C$40,1)),"")</f>
        <v/>
      </c>
      <c r="I217" s="44" t="str">
        <f aca="false">IF(AND(ISNUMBER(MATCH(A217,Sezoane!$C$6:$C$40,1)),A217&lt;=INDEX(Sezoane!$D$6:$D$40,MATCH(A217,Sezoane!$C$6:$C$40,1))),INDEX('Prețuri de setat'!$I$5:$I$39,MATCH(A217,Sezoane!$C$6:$C$40,1)),"")</f>
        <v/>
      </c>
    </row>
    <row r="218" customFormat="false" ht="15" hidden="false" customHeight="false" outlineLevel="0" collapsed="false">
      <c r="A218" s="41" t="n">
        <f aca="false">$B$2+213</f>
        <v>46529</v>
      </c>
      <c r="B218" s="42" t="str">
        <f aca="false">CHOOSE(WEEKDAY(A218,2),"Lu","Ma","Mi","Jo","Vi","Sâ","Du")</f>
        <v>Sâ</v>
      </c>
      <c r="C218" s="42" t="str">
        <f aca="false">IF(AND(ISNUMBER(MATCH(A218,Sezoane!$C$6:$C$40,1)),A218&lt;=INDEX(Sezoane!$D$6:$D$40,MATCH(A218,Sezoane!$C$6:$C$40,1))),INDEX(Sezoane!$A$6:$A$40,MATCH(A218,Sezoane!$C$6:$C$40,1)),"⚠ fără sezon")</f>
        <v>⚠ fără sezon</v>
      </c>
      <c r="D218" s="42" t="str">
        <f aca="false">IF(AND(ISNUMBER(MATCH(A218,Sezoane!$C$6:$C$40,1)),A218&lt;=INDEX(Sezoane!$D$6:$D$40,MATCH(A218,Sezoane!$C$6:$C$40,1))),INDEX(Sezoane!$F$6:$F$40,MATCH(A218,Sezoane!$C$6:$C$40,1)),"")</f>
        <v/>
      </c>
      <c r="E218" s="44" t="str">
        <f aca="false">IF(AND(ISNUMBER(MATCH(A218,Sezoane!$C$6:$C$40,1)),A218&lt;=INDEX(Sezoane!$D$6:$D$40,MATCH(A218,Sezoane!$C$6:$C$40,1))),INDEX('Prețuri de setat'!$E$5:$E$39,MATCH(A218,Sezoane!$C$6:$C$40,1)),"")</f>
        <v/>
      </c>
      <c r="F218" s="44" t="str">
        <f aca="false">IF(AND(ISNUMBER(MATCH(A218,Sezoane!$C$6:$C$40,1)),A218&lt;=INDEX(Sezoane!$D$6:$D$40,MATCH(A218,Sezoane!$C$6:$C$40,1))),INDEX('Prețuri de setat'!$F$5:$F$39,MATCH(A218,Sezoane!$C$6:$C$40,1)),"")</f>
        <v/>
      </c>
      <c r="G218" s="44" t="str">
        <f aca="false">IF(AND(ISNUMBER(MATCH(A218,Sezoane!$C$6:$C$40,1)),A218&lt;=INDEX(Sezoane!$D$6:$D$40,MATCH(A218,Sezoane!$C$6:$C$40,1))),INDEX('Prețuri de setat'!$G$5:$G$39,MATCH(A218,Sezoane!$C$6:$C$40,1)),"")</f>
        <v/>
      </c>
      <c r="H218" s="44" t="str">
        <f aca="false">IF(AND(ISNUMBER(MATCH(A218,Sezoane!$C$6:$C$40,1)),A218&lt;=INDEX(Sezoane!$D$6:$D$40,MATCH(A218,Sezoane!$C$6:$C$40,1))),INDEX('Prețuri de setat'!$H$5:$H$39,MATCH(A218,Sezoane!$C$6:$C$40,1)),"")</f>
        <v/>
      </c>
      <c r="I218" s="44" t="str">
        <f aca="false">IF(AND(ISNUMBER(MATCH(A218,Sezoane!$C$6:$C$40,1)),A218&lt;=INDEX(Sezoane!$D$6:$D$40,MATCH(A218,Sezoane!$C$6:$C$40,1))),INDEX('Prețuri de setat'!$I$5:$I$39,MATCH(A218,Sezoane!$C$6:$C$40,1)),"")</f>
        <v/>
      </c>
    </row>
    <row r="219" customFormat="false" ht="15" hidden="false" customHeight="false" outlineLevel="0" collapsed="false">
      <c r="A219" s="41" t="n">
        <f aca="false">$B$2+214</f>
        <v>46530</v>
      </c>
      <c r="B219" s="42" t="str">
        <f aca="false">CHOOSE(WEEKDAY(A219,2),"Lu","Ma","Mi","Jo","Vi","Sâ","Du")</f>
        <v>Du</v>
      </c>
      <c r="C219" s="42" t="str">
        <f aca="false">IF(AND(ISNUMBER(MATCH(A219,Sezoane!$C$6:$C$40,1)),A219&lt;=INDEX(Sezoane!$D$6:$D$40,MATCH(A219,Sezoane!$C$6:$C$40,1))),INDEX(Sezoane!$A$6:$A$40,MATCH(A219,Sezoane!$C$6:$C$40,1)),"⚠ fără sezon")</f>
        <v>⚠ fără sezon</v>
      </c>
      <c r="D219" s="42" t="str">
        <f aca="false">IF(AND(ISNUMBER(MATCH(A219,Sezoane!$C$6:$C$40,1)),A219&lt;=INDEX(Sezoane!$D$6:$D$40,MATCH(A219,Sezoane!$C$6:$C$40,1))),INDEX(Sezoane!$F$6:$F$40,MATCH(A219,Sezoane!$C$6:$C$40,1)),"")</f>
        <v/>
      </c>
      <c r="E219" s="44" t="str">
        <f aca="false">IF(AND(ISNUMBER(MATCH(A219,Sezoane!$C$6:$C$40,1)),A219&lt;=INDEX(Sezoane!$D$6:$D$40,MATCH(A219,Sezoane!$C$6:$C$40,1))),INDEX('Prețuri de setat'!$E$5:$E$39,MATCH(A219,Sezoane!$C$6:$C$40,1)),"")</f>
        <v/>
      </c>
      <c r="F219" s="44" t="str">
        <f aca="false">IF(AND(ISNUMBER(MATCH(A219,Sezoane!$C$6:$C$40,1)),A219&lt;=INDEX(Sezoane!$D$6:$D$40,MATCH(A219,Sezoane!$C$6:$C$40,1))),INDEX('Prețuri de setat'!$F$5:$F$39,MATCH(A219,Sezoane!$C$6:$C$40,1)),"")</f>
        <v/>
      </c>
      <c r="G219" s="44" t="str">
        <f aca="false">IF(AND(ISNUMBER(MATCH(A219,Sezoane!$C$6:$C$40,1)),A219&lt;=INDEX(Sezoane!$D$6:$D$40,MATCH(A219,Sezoane!$C$6:$C$40,1))),INDEX('Prețuri de setat'!$G$5:$G$39,MATCH(A219,Sezoane!$C$6:$C$40,1)),"")</f>
        <v/>
      </c>
      <c r="H219" s="44" t="str">
        <f aca="false">IF(AND(ISNUMBER(MATCH(A219,Sezoane!$C$6:$C$40,1)),A219&lt;=INDEX(Sezoane!$D$6:$D$40,MATCH(A219,Sezoane!$C$6:$C$40,1))),INDEX('Prețuri de setat'!$H$5:$H$39,MATCH(A219,Sezoane!$C$6:$C$40,1)),"")</f>
        <v/>
      </c>
      <c r="I219" s="44" t="str">
        <f aca="false">IF(AND(ISNUMBER(MATCH(A219,Sezoane!$C$6:$C$40,1)),A219&lt;=INDEX(Sezoane!$D$6:$D$40,MATCH(A219,Sezoane!$C$6:$C$40,1))),INDEX('Prețuri de setat'!$I$5:$I$39,MATCH(A219,Sezoane!$C$6:$C$40,1)),"")</f>
        <v/>
      </c>
    </row>
    <row r="220" customFormat="false" ht="15" hidden="false" customHeight="false" outlineLevel="0" collapsed="false">
      <c r="A220" s="41" t="n">
        <f aca="false">$B$2+215</f>
        <v>46531</v>
      </c>
      <c r="B220" s="42" t="str">
        <f aca="false">CHOOSE(WEEKDAY(A220,2),"Lu","Ma","Mi","Jo","Vi","Sâ","Du")</f>
        <v>Lu</v>
      </c>
      <c r="C220" s="42" t="str">
        <f aca="false">IF(AND(ISNUMBER(MATCH(A220,Sezoane!$C$6:$C$40,1)),A220&lt;=INDEX(Sezoane!$D$6:$D$40,MATCH(A220,Sezoane!$C$6:$C$40,1))),INDEX(Sezoane!$A$6:$A$40,MATCH(A220,Sezoane!$C$6:$C$40,1)),"⚠ fără sezon")</f>
        <v>⚠ fără sezon</v>
      </c>
      <c r="D220" s="42" t="str">
        <f aca="false">IF(AND(ISNUMBER(MATCH(A220,Sezoane!$C$6:$C$40,1)),A220&lt;=INDEX(Sezoane!$D$6:$D$40,MATCH(A220,Sezoane!$C$6:$C$40,1))),INDEX(Sezoane!$F$6:$F$40,MATCH(A220,Sezoane!$C$6:$C$40,1)),"")</f>
        <v/>
      </c>
      <c r="E220" s="44" t="str">
        <f aca="false">IF(AND(ISNUMBER(MATCH(A220,Sezoane!$C$6:$C$40,1)),A220&lt;=INDEX(Sezoane!$D$6:$D$40,MATCH(A220,Sezoane!$C$6:$C$40,1))),INDEX('Prețuri de setat'!$E$5:$E$39,MATCH(A220,Sezoane!$C$6:$C$40,1)),"")</f>
        <v/>
      </c>
      <c r="F220" s="44" t="str">
        <f aca="false">IF(AND(ISNUMBER(MATCH(A220,Sezoane!$C$6:$C$40,1)),A220&lt;=INDEX(Sezoane!$D$6:$D$40,MATCH(A220,Sezoane!$C$6:$C$40,1))),INDEX('Prețuri de setat'!$F$5:$F$39,MATCH(A220,Sezoane!$C$6:$C$40,1)),"")</f>
        <v/>
      </c>
      <c r="G220" s="44" t="str">
        <f aca="false">IF(AND(ISNUMBER(MATCH(A220,Sezoane!$C$6:$C$40,1)),A220&lt;=INDEX(Sezoane!$D$6:$D$40,MATCH(A220,Sezoane!$C$6:$C$40,1))),INDEX('Prețuri de setat'!$G$5:$G$39,MATCH(A220,Sezoane!$C$6:$C$40,1)),"")</f>
        <v/>
      </c>
      <c r="H220" s="44" t="str">
        <f aca="false">IF(AND(ISNUMBER(MATCH(A220,Sezoane!$C$6:$C$40,1)),A220&lt;=INDEX(Sezoane!$D$6:$D$40,MATCH(A220,Sezoane!$C$6:$C$40,1))),INDEX('Prețuri de setat'!$H$5:$H$39,MATCH(A220,Sezoane!$C$6:$C$40,1)),"")</f>
        <v/>
      </c>
      <c r="I220" s="44" t="str">
        <f aca="false">IF(AND(ISNUMBER(MATCH(A220,Sezoane!$C$6:$C$40,1)),A220&lt;=INDEX(Sezoane!$D$6:$D$40,MATCH(A220,Sezoane!$C$6:$C$40,1))),INDEX('Prețuri de setat'!$I$5:$I$39,MATCH(A220,Sezoane!$C$6:$C$40,1)),"")</f>
        <v/>
      </c>
    </row>
    <row r="221" customFormat="false" ht="15" hidden="false" customHeight="false" outlineLevel="0" collapsed="false">
      <c r="A221" s="41" t="n">
        <f aca="false">$B$2+216</f>
        <v>46532</v>
      </c>
      <c r="B221" s="42" t="str">
        <f aca="false">CHOOSE(WEEKDAY(A221,2),"Lu","Ma","Mi","Jo","Vi","Sâ","Du")</f>
        <v>Ma</v>
      </c>
      <c r="C221" s="42" t="str">
        <f aca="false">IF(AND(ISNUMBER(MATCH(A221,Sezoane!$C$6:$C$40,1)),A221&lt;=INDEX(Sezoane!$D$6:$D$40,MATCH(A221,Sezoane!$C$6:$C$40,1))),INDEX(Sezoane!$A$6:$A$40,MATCH(A221,Sezoane!$C$6:$C$40,1)),"⚠ fără sezon")</f>
        <v>⚠ fără sezon</v>
      </c>
      <c r="D221" s="42" t="str">
        <f aca="false">IF(AND(ISNUMBER(MATCH(A221,Sezoane!$C$6:$C$40,1)),A221&lt;=INDEX(Sezoane!$D$6:$D$40,MATCH(A221,Sezoane!$C$6:$C$40,1))),INDEX(Sezoane!$F$6:$F$40,MATCH(A221,Sezoane!$C$6:$C$40,1)),"")</f>
        <v/>
      </c>
      <c r="E221" s="44" t="str">
        <f aca="false">IF(AND(ISNUMBER(MATCH(A221,Sezoane!$C$6:$C$40,1)),A221&lt;=INDEX(Sezoane!$D$6:$D$40,MATCH(A221,Sezoane!$C$6:$C$40,1))),INDEX('Prețuri de setat'!$E$5:$E$39,MATCH(A221,Sezoane!$C$6:$C$40,1)),"")</f>
        <v/>
      </c>
      <c r="F221" s="44" t="str">
        <f aca="false">IF(AND(ISNUMBER(MATCH(A221,Sezoane!$C$6:$C$40,1)),A221&lt;=INDEX(Sezoane!$D$6:$D$40,MATCH(A221,Sezoane!$C$6:$C$40,1))),INDEX('Prețuri de setat'!$F$5:$F$39,MATCH(A221,Sezoane!$C$6:$C$40,1)),"")</f>
        <v/>
      </c>
      <c r="G221" s="44" t="str">
        <f aca="false">IF(AND(ISNUMBER(MATCH(A221,Sezoane!$C$6:$C$40,1)),A221&lt;=INDEX(Sezoane!$D$6:$D$40,MATCH(A221,Sezoane!$C$6:$C$40,1))),INDEX('Prețuri de setat'!$G$5:$G$39,MATCH(A221,Sezoane!$C$6:$C$40,1)),"")</f>
        <v/>
      </c>
      <c r="H221" s="44" t="str">
        <f aca="false">IF(AND(ISNUMBER(MATCH(A221,Sezoane!$C$6:$C$40,1)),A221&lt;=INDEX(Sezoane!$D$6:$D$40,MATCH(A221,Sezoane!$C$6:$C$40,1))),INDEX('Prețuri de setat'!$H$5:$H$39,MATCH(A221,Sezoane!$C$6:$C$40,1)),"")</f>
        <v/>
      </c>
      <c r="I221" s="44" t="str">
        <f aca="false">IF(AND(ISNUMBER(MATCH(A221,Sezoane!$C$6:$C$40,1)),A221&lt;=INDEX(Sezoane!$D$6:$D$40,MATCH(A221,Sezoane!$C$6:$C$40,1))),INDEX('Prețuri de setat'!$I$5:$I$39,MATCH(A221,Sezoane!$C$6:$C$40,1)),"")</f>
        <v/>
      </c>
    </row>
    <row r="222" customFormat="false" ht="15" hidden="false" customHeight="false" outlineLevel="0" collapsed="false">
      <c r="A222" s="41" t="n">
        <f aca="false">$B$2+217</f>
        <v>46533</v>
      </c>
      <c r="B222" s="42" t="str">
        <f aca="false">CHOOSE(WEEKDAY(A222,2),"Lu","Ma","Mi","Jo","Vi","Sâ","Du")</f>
        <v>Mi</v>
      </c>
      <c r="C222" s="42" t="str">
        <f aca="false">IF(AND(ISNUMBER(MATCH(A222,Sezoane!$C$6:$C$40,1)),A222&lt;=INDEX(Sezoane!$D$6:$D$40,MATCH(A222,Sezoane!$C$6:$C$40,1))),INDEX(Sezoane!$A$6:$A$40,MATCH(A222,Sezoane!$C$6:$C$40,1)),"⚠ fără sezon")</f>
        <v>⚠ fără sezon</v>
      </c>
      <c r="D222" s="42" t="str">
        <f aca="false">IF(AND(ISNUMBER(MATCH(A222,Sezoane!$C$6:$C$40,1)),A222&lt;=INDEX(Sezoane!$D$6:$D$40,MATCH(A222,Sezoane!$C$6:$C$40,1))),INDEX(Sezoane!$F$6:$F$40,MATCH(A222,Sezoane!$C$6:$C$40,1)),"")</f>
        <v/>
      </c>
      <c r="E222" s="44" t="str">
        <f aca="false">IF(AND(ISNUMBER(MATCH(A222,Sezoane!$C$6:$C$40,1)),A222&lt;=INDEX(Sezoane!$D$6:$D$40,MATCH(A222,Sezoane!$C$6:$C$40,1))),INDEX('Prețuri de setat'!$E$5:$E$39,MATCH(A222,Sezoane!$C$6:$C$40,1)),"")</f>
        <v/>
      </c>
      <c r="F222" s="44" t="str">
        <f aca="false">IF(AND(ISNUMBER(MATCH(A222,Sezoane!$C$6:$C$40,1)),A222&lt;=INDEX(Sezoane!$D$6:$D$40,MATCH(A222,Sezoane!$C$6:$C$40,1))),INDEX('Prețuri de setat'!$F$5:$F$39,MATCH(A222,Sezoane!$C$6:$C$40,1)),"")</f>
        <v/>
      </c>
      <c r="G222" s="44" t="str">
        <f aca="false">IF(AND(ISNUMBER(MATCH(A222,Sezoane!$C$6:$C$40,1)),A222&lt;=INDEX(Sezoane!$D$6:$D$40,MATCH(A222,Sezoane!$C$6:$C$40,1))),INDEX('Prețuri de setat'!$G$5:$G$39,MATCH(A222,Sezoane!$C$6:$C$40,1)),"")</f>
        <v/>
      </c>
      <c r="H222" s="44" t="str">
        <f aca="false">IF(AND(ISNUMBER(MATCH(A222,Sezoane!$C$6:$C$40,1)),A222&lt;=INDEX(Sezoane!$D$6:$D$40,MATCH(A222,Sezoane!$C$6:$C$40,1))),INDEX('Prețuri de setat'!$H$5:$H$39,MATCH(A222,Sezoane!$C$6:$C$40,1)),"")</f>
        <v/>
      </c>
      <c r="I222" s="44" t="str">
        <f aca="false">IF(AND(ISNUMBER(MATCH(A222,Sezoane!$C$6:$C$40,1)),A222&lt;=INDEX(Sezoane!$D$6:$D$40,MATCH(A222,Sezoane!$C$6:$C$40,1))),INDEX('Prețuri de setat'!$I$5:$I$39,MATCH(A222,Sezoane!$C$6:$C$40,1)),"")</f>
        <v/>
      </c>
    </row>
    <row r="223" customFormat="false" ht="15" hidden="false" customHeight="false" outlineLevel="0" collapsed="false">
      <c r="A223" s="41" t="n">
        <f aca="false">$B$2+218</f>
        <v>46534</v>
      </c>
      <c r="B223" s="42" t="str">
        <f aca="false">CHOOSE(WEEKDAY(A223,2),"Lu","Ma","Mi","Jo","Vi","Sâ","Du")</f>
        <v>Jo</v>
      </c>
      <c r="C223" s="42" t="str">
        <f aca="false">IF(AND(ISNUMBER(MATCH(A223,Sezoane!$C$6:$C$40,1)),A223&lt;=INDEX(Sezoane!$D$6:$D$40,MATCH(A223,Sezoane!$C$6:$C$40,1))),INDEX(Sezoane!$A$6:$A$40,MATCH(A223,Sezoane!$C$6:$C$40,1)),"⚠ fără sezon")</f>
        <v>⚠ fără sezon</v>
      </c>
      <c r="D223" s="42" t="str">
        <f aca="false">IF(AND(ISNUMBER(MATCH(A223,Sezoane!$C$6:$C$40,1)),A223&lt;=INDEX(Sezoane!$D$6:$D$40,MATCH(A223,Sezoane!$C$6:$C$40,1))),INDEX(Sezoane!$F$6:$F$40,MATCH(A223,Sezoane!$C$6:$C$40,1)),"")</f>
        <v/>
      </c>
      <c r="E223" s="44" t="str">
        <f aca="false">IF(AND(ISNUMBER(MATCH(A223,Sezoane!$C$6:$C$40,1)),A223&lt;=INDEX(Sezoane!$D$6:$D$40,MATCH(A223,Sezoane!$C$6:$C$40,1))),INDEX('Prețuri de setat'!$E$5:$E$39,MATCH(A223,Sezoane!$C$6:$C$40,1)),"")</f>
        <v/>
      </c>
      <c r="F223" s="44" t="str">
        <f aca="false">IF(AND(ISNUMBER(MATCH(A223,Sezoane!$C$6:$C$40,1)),A223&lt;=INDEX(Sezoane!$D$6:$D$40,MATCH(A223,Sezoane!$C$6:$C$40,1))),INDEX('Prețuri de setat'!$F$5:$F$39,MATCH(A223,Sezoane!$C$6:$C$40,1)),"")</f>
        <v/>
      </c>
      <c r="G223" s="44" t="str">
        <f aca="false">IF(AND(ISNUMBER(MATCH(A223,Sezoane!$C$6:$C$40,1)),A223&lt;=INDEX(Sezoane!$D$6:$D$40,MATCH(A223,Sezoane!$C$6:$C$40,1))),INDEX('Prețuri de setat'!$G$5:$G$39,MATCH(A223,Sezoane!$C$6:$C$40,1)),"")</f>
        <v/>
      </c>
      <c r="H223" s="44" t="str">
        <f aca="false">IF(AND(ISNUMBER(MATCH(A223,Sezoane!$C$6:$C$40,1)),A223&lt;=INDEX(Sezoane!$D$6:$D$40,MATCH(A223,Sezoane!$C$6:$C$40,1))),INDEX('Prețuri de setat'!$H$5:$H$39,MATCH(A223,Sezoane!$C$6:$C$40,1)),"")</f>
        <v/>
      </c>
      <c r="I223" s="44" t="str">
        <f aca="false">IF(AND(ISNUMBER(MATCH(A223,Sezoane!$C$6:$C$40,1)),A223&lt;=INDEX(Sezoane!$D$6:$D$40,MATCH(A223,Sezoane!$C$6:$C$40,1))),INDEX('Prețuri de setat'!$I$5:$I$39,MATCH(A223,Sezoane!$C$6:$C$40,1)),"")</f>
        <v/>
      </c>
    </row>
    <row r="224" customFormat="false" ht="15" hidden="false" customHeight="false" outlineLevel="0" collapsed="false">
      <c r="A224" s="41" t="n">
        <f aca="false">$B$2+219</f>
        <v>46535</v>
      </c>
      <c r="B224" s="42" t="str">
        <f aca="false">CHOOSE(WEEKDAY(A224,2),"Lu","Ma","Mi","Jo","Vi","Sâ","Du")</f>
        <v>Vi</v>
      </c>
      <c r="C224" s="42" t="str">
        <f aca="false">IF(AND(ISNUMBER(MATCH(A224,Sezoane!$C$6:$C$40,1)),A224&lt;=INDEX(Sezoane!$D$6:$D$40,MATCH(A224,Sezoane!$C$6:$C$40,1))),INDEX(Sezoane!$A$6:$A$40,MATCH(A224,Sezoane!$C$6:$C$40,1)),"⚠ fără sezon")</f>
        <v>⚠ fără sezon</v>
      </c>
      <c r="D224" s="42" t="str">
        <f aca="false">IF(AND(ISNUMBER(MATCH(A224,Sezoane!$C$6:$C$40,1)),A224&lt;=INDEX(Sezoane!$D$6:$D$40,MATCH(A224,Sezoane!$C$6:$C$40,1))),INDEX(Sezoane!$F$6:$F$40,MATCH(A224,Sezoane!$C$6:$C$40,1)),"")</f>
        <v/>
      </c>
      <c r="E224" s="44" t="str">
        <f aca="false">IF(AND(ISNUMBER(MATCH(A224,Sezoane!$C$6:$C$40,1)),A224&lt;=INDEX(Sezoane!$D$6:$D$40,MATCH(A224,Sezoane!$C$6:$C$40,1))),INDEX('Prețuri de setat'!$E$5:$E$39,MATCH(A224,Sezoane!$C$6:$C$40,1)),"")</f>
        <v/>
      </c>
      <c r="F224" s="44" t="str">
        <f aca="false">IF(AND(ISNUMBER(MATCH(A224,Sezoane!$C$6:$C$40,1)),A224&lt;=INDEX(Sezoane!$D$6:$D$40,MATCH(A224,Sezoane!$C$6:$C$40,1))),INDEX('Prețuri de setat'!$F$5:$F$39,MATCH(A224,Sezoane!$C$6:$C$40,1)),"")</f>
        <v/>
      </c>
      <c r="G224" s="44" t="str">
        <f aca="false">IF(AND(ISNUMBER(MATCH(A224,Sezoane!$C$6:$C$40,1)),A224&lt;=INDEX(Sezoane!$D$6:$D$40,MATCH(A224,Sezoane!$C$6:$C$40,1))),INDEX('Prețuri de setat'!$G$5:$G$39,MATCH(A224,Sezoane!$C$6:$C$40,1)),"")</f>
        <v/>
      </c>
      <c r="H224" s="44" t="str">
        <f aca="false">IF(AND(ISNUMBER(MATCH(A224,Sezoane!$C$6:$C$40,1)),A224&lt;=INDEX(Sezoane!$D$6:$D$40,MATCH(A224,Sezoane!$C$6:$C$40,1))),INDEX('Prețuri de setat'!$H$5:$H$39,MATCH(A224,Sezoane!$C$6:$C$40,1)),"")</f>
        <v/>
      </c>
      <c r="I224" s="44" t="str">
        <f aca="false">IF(AND(ISNUMBER(MATCH(A224,Sezoane!$C$6:$C$40,1)),A224&lt;=INDEX(Sezoane!$D$6:$D$40,MATCH(A224,Sezoane!$C$6:$C$40,1))),INDEX('Prețuri de setat'!$I$5:$I$39,MATCH(A224,Sezoane!$C$6:$C$40,1)),"")</f>
        <v/>
      </c>
    </row>
    <row r="225" customFormat="false" ht="15" hidden="false" customHeight="false" outlineLevel="0" collapsed="false">
      <c r="A225" s="41" t="n">
        <f aca="false">$B$2+220</f>
        <v>46536</v>
      </c>
      <c r="B225" s="42" t="str">
        <f aca="false">CHOOSE(WEEKDAY(A225,2),"Lu","Ma","Mi","Jo","Vi","Sâ","Du")</f>
        <v>Sâ</v>
      </c>
      <c r="C225" s="42" t="str">
        <f aca="false">IF(AND(ISNUMBER(MATCH(A225,Sezoane!$C$6:$C$40,1)),A225&lt;=INDEX(Sezoane!$D$6:$D$40,MATCH(A225,Sezoane!$C$6:$C$40,1))),INDEX(Sezoane!$A$6:$A$40,MATCH(A225,Sezoane!$C$6:$C$40,1)),"⚠ fără sezon")</f>
        <v>⚠ fără sezon</v>
      </c>
      <c r="D225" s="42" t="str">
        <f aca="false">IF(AND(ISNUMBER(MATCH(A225,Sezoane!$C$6:$C$40,1)),A225&lt;=INDEX(Sezoane!$D$6:$D$40,MATCH(A225,Sezoane!$C$6:$C$40,1))),INDEX(Sezoane!$F$6:$F$40,MATCH(A225,Sezoane!$C$6:$C$40,1)),"")</f>
        <v/>
      </c>
      <c r="E225" s="44" t="str">
        <f aca="false">IF(AND(ISNUMBER(MATCH(A225,Sezoane!$C$6:$C$40,1)),A225&lt;=INDEX(Sezoane!$D$6:$D$40,MATCH(A225,Sezoane!$C$6:$C$40,1))),INDEX('Prețuri de setat'!$E$5:$E$39,MATCH(A225,Sezoane!$C$6:$C$40,1)),"")</f>
        <v/>
      </c>
      <c r="F225" s="44" t="str">
        <f aca="false">IF(AND(ISNUMBER(MATCH(A225,Sezoane!$C$6:$C$40,1)),A225&lt;=INDEX(Sezoane!$D$6:$D$40,MATCH(A225,Sezoane!$C$6:$C$40,1))),INDEX('Prețuri de setat'!$F$5:$F$39,MATCH(A225,Sezoane!$C$6:$C$40,1)),"")</f>
        <v/>
      </c>
      <c r="G225" s="44" t="str">
        <f aca="false">IF(AND(ISNUMBER(MATCH(A225,Sezoane!$C$6:$C$40,1)),A225&lt;=INDEX(Sezoane!$D$6:$D$40,MATCH(A225,Sezoane!$C$6:$C$40,1))),INDEX('Prețuri de setat'!$G$5:$G$39,MATCH(A225,Sezoane!$C$6:$C$40,1)),"")</f>
        <v/>
      </c>
      <c r="H225" s="44" t="str">
        <f aca="false">IF(AND(ISNUMBER(MATCH(A225,Sezoane!$C$6:$C$40,1)),A225&lt;=INDEX(Sezoane!$D$6:$D$40,MATCH(A225,Sezoane!$C$6:$C$40,1))),INDEX('Prețuri de setat'!$H$5:$H$39,MATCH(A225,Sezoane!$C$6:$C$40,1)),"")</f>
        <v/>
      </c>
      <c r="I225" s="44" t="str">
        <f aca="false">IF(AND(ISNUMBER(MATCH(A225,Sezoane!$C$6:$C$40,1)),A225&lt;=INDEX(Sezoane!$D$6:$D$40,MATCH(A225,Sezoane!$C$6:$C$40,1))),INDEX('Prețuri de setat'!$I$5:$I$39,MATCH(A225,Sezoane!$C$6:$C$40,1)),"")</f>
        <v/>
      </c>
    </row>
    <row r="226" customFormat="false" ht="15" hidden="false" customHeight="false" outlineLevel="0" collapsed="false">
      <c r="A226" s="41" t="n">
        <f aca="false">$B$2+221</f>
        <v>46537</v>
      </c>
      <c r="B226" s="42" t="str">
        <f aca="false">CHOOSE(WEEKDAY(A226,2),"Lu","Ma","Mi","Jo","Vi","Sâ","Du")</f>
        <v>Du</v>
      </c>
      <c r="C226" s="42" t="str">
        <f aca="false">IF(AND(ISNUMBER(MATCH(A226,Sezoane!$C$6:$C$40,1)),A226&lt;=INDEX(Sezoane!$D$6:$D$40,MATCH(A226,Sezoane!$C$6:$C$40,1))),INDEX(Sezoane!$A$6:$A$40,MATCH(A226,Sezoane!$C$6:$C$40,1)),"⚠ fără sezon")</f>
        <v>⚠ fără sezon</v>
      </c>
      <c r="D226" s="42" t="str">
        <f aca="false">IF(AND(ISNUMBER(MATCH(A226,Sezoane!$C$6:$C$40,1)),A226&lt;=INDEX(Sezoane!$D$6:$D$40,MATCH(A226,Sezoane!$C$6:$C$40,1))),INDEX(Sezoane!$F$6:$F$40,MATCH(A226,Sezoane!$C$6:$C$40,1)),"")</f>
        <v/>
      </c>
      <c r="E226" s="44" t="str">
        <f aca="false">IF(AND(ISNUMBER(MATCH(A226,Sezoane!$C$6:$C$40,1)),A226&lt;=INDEX(Sezoane!$D$6:$D$40,MATCH(A226,Sezoane!$C$6:$C$40,1))),INDEX('Prețuri de setat'!$E$5:$E$39,MATCH(A226,Sezoane!$C$6:$C$40,1)),"")</f>
        <v/>
      </c>
      <c r="F226" s="44" t="str">
        <f aca="false">IF(AND(ISNUMBER(MATCH(A226,Sezoane!$C$6:$C$40,1)),A226&lt;=INDEX(Sezoane!$D$6:$D$40,MATCH(A226,Sezoane!$C$6:$C$40,1))),INDEX('Prețuri de setat'!$F$5:$F$39,MATCH(A226,Sezoane!$C$6:$C$40,1)),"")</f>
        <v/>
      </c>
      <c r="G226" s="44" t="str">
        <f aca="false">IF(AND(ISNUMBER(MATCH(A226,Sezoane!$C$6:$C$40,1)),A226&lt;=INDEX(Sezoane!$D$6:$D$40,MATCH(A226,Sezoane!$C$6:$C$40,1))),INDEX('Prețuri de setat'!$G$5:$G$39,MATCH(A226,Sezoane!$C$6:$C$40,1)),"")</f>
        <v/>
      </c>
      <c r="H226" s="44" t="str">
        <f aca="false">IF(AND(ISNUMBER(MATCH(A226,Sezoane!$C$6:$C$40,1)),A226&lt;=INDEX(Sezoane!$D$6:$D$40,MATCH(A226,Sezoane!$C$6:$C$40,1))),INDEX('Prețuri de setat'!$H$5:$H$39,MATCH(A226,Sezoane!$C$6:$C$40,1)),"")</f>
        <v/>
      </c>
      <c r="I226" s="44" t="str">
        <f aca="false">IF(AND(ISNUMBER(MATCH(A226,Sezoane!$C$6:$C$40,1)),A226&lt;=INDEX(Sezoane!$D$6:$D$40,MATCH(A226,Sezoane!$C$6:$C$40,1))),INDEX('Prețuri de setat'!$I$5:$I$39,MATCH(A226,Sezoane!$C$6:$C$40,1)),"")</f>
        <v/>
      </c>
    </row>
    <row r="227" customFormat="false" ht="15" hidden="false" customHeight="false" outlineLevel="0" collapsed="false">
      <c r="A227" s="41" t="n">
        <f aca="false">$B$2+222</f>
        <v>46538</v>
      </c>
      <c r="B227" s="42" t="str">
        <f aca="false">CHOOSE(WEEKDAY(A227,2),"Lu","Ma","Mi","Jo","Vi","Sâ","Du")</f>
        <v>Lu</v>
      </c>
      <c r="C227" s="42" t="str">
        <f aca="false">IF(AND(ISNUMBER(MATCH(A227,Sezoane!$C$6:$C$40,1)),A227&lt;=INDEX(Sezoane!$D$6:$D$40,MATCH(A227,Sezoane!$C$6:$C$40,1))),INDEX(Sezoane!$A$6:$A$40,MATCH(A227,Sezoane!$C$6:$C$40,1)),"⚠ fără sezon")</f>
        <v>⚠ fără sezon</v>
      </c>
      <c r="D227" s="42" t="str">
        <f aca="false">IF(AND(ISNUMBER(MATCH(A227,Sezoane!$C$6:$C$40,1)),A227&lt;=INDEX(Sezoane!$D$6:$D$40,MATCH(A227,Sezoane!$C$6:$C$40,1))),INDEX(Sezoane!$F$6:$F$40,MATCH(A227,Sezoane!$C$6:$C$40,1)),"")</f>
        <v/>
      </c>
      <c r="E227" s="44" t="str">
        <f aca="false">IF(AND(ISNUMBER(MATCH(A227,Sezoane!$C$6:$C$40,1)),A227&lt;=INDEX(Sezoane!$D$6:$D$40,MATCH(A227,Sezoane!$C$6:$C$40,1))),INDEX('Prețuri de setat'!$E$5:$E$39,MATCH(A227,Sezoane!$C$6:$C$40,1)),"")</f>
        <v/>
      </c>
      <c r="F227" s="44" t="str">
        <f aca="false">IF(AND(ISNUMBER(MATCH(A227,Sezoane!$C$6:$C$40,1)),A227&lt;=INDEX(Sezoane!$D$6:$D$40,MATCH(A227,Sezoane!$C$6:$C$40,1))),INDEX('Prețuri de setat'!$F$5:$F$39,MATCH(A227,Sezoane!$C$6:$C$40,1)),"")</f>
        <v/>
      </c>
      <c r="G227" s="44" t="str">
        <f aca="false">IF(AND(ISNUMBER(MATCH(A227,Sezoane!$C$6:$C$40,1)),A227&lt;=INDEX(Sezoane!$D$6:$D$40,MATCH(A227,Sezoane!$C$6:$C$40,1))),INDEX('Prețuri de setat'!$G$5:$G$39,MATCH(A227,Sezoane!$C$6:$C$40,1)),"")</f>
        <v/>
      </c>
      <c r="H227" s="44" t="str">
        <f aca="false">IF(AND(ISNUMBER(MATCH(A227,Sezoane!$C$6:$C$40,1)),A227&lt;=INDEX(Sezoane!$D$6:$D$40,MATCH(A227,Sezoane!$C$6:$C$40,1))),INDEX('Prețuri de setat'!$H$5:$H$39,MATCH(A227,Sezoane!$C$6:$C$40,1)),"")</f>
        <v/>
      </c>
      <c r="I227" s="44" t="str">
        <f aca="false">IF(AND(ISNUMBER(MATCH(A227,Sezoane!$C$6:$C$40,1)),A227&lt;=INDEX(Sezoane!$D$6:$D$40,MATCH(A227,Sezoane!$C$6:$C$40,1))),INDEX('Prețuri de setat'!$I$5:$I$39,MATCH(A227,Sezoane!$C$6:$C$40,1)),"")</f>
        <v/>
      </c>
    </row>
    <row r="228" customFormat="false" ht="15" hidden="false" customHeight="false" outlineLevel="0" collapsed="false">
      <c r="A228" s="41" t="n">
        <f aca="false">$B$2+223</f>
        <v>46539</v>
      </c>
      <c r="B228" s="42" t="str">
        <f aca="false">CHOOSE(WEEKDAY(A228,2),"Lu","Ma","Mi","Jo","Vi","Sâ","Du")</f>
        <v>Ma</v>
      </c>
      <c r="C228" s="42" t="str">
        <f aca="false">IF(AND(ISNUMBER(MATCH(A228,Sezoane!$C$6:$C$40,1)),A228&lt;=INDEX(Sezoane!$D$6:$D$40,MATCH(A228,Sezoane!$C$6:$C$40,1))),INDEX(Sezoane!$A$6:$A$40,MATCH(A228,Sezoane!$C$6:$C$40,1)),"⚠ fără sezon")</f>
        <v>⚠ fără sezon</v>
      </c>
      <c r="D228" s="42" t="str">
        <f aca="false">IF(AND(ISNUMBER(MATCH(A228,Sezoane!$C$6:$C$40,1)),A228&lt;=INDEX(Sezoane!$D$6:$D$40,MATCH(A228,Sezoane!$C$6:$C$40,1))),INDEX(Sezoane!$F$6:$F$40,MATCH(A228,Sezoane!$C$6:$C$40,1)),"")</f>
        <v/>
      </c>
      <c r="E228" s="44" t="str">
        <f aca="false">IF(AND(ISNUMBER(MATCH(A228,Sezoane!$C$6:$C$40,1)),A228&lt;=INDEX(Sezoane!$D$6:$D$40,MATCH(A228,Sezoane!$C$6:$C$40,1))),INDEX('Prețuri de setat'!$E$5:$E$39,MATCH(A228,Sezoane!$C$6:$C$40,1)),"")</f>
        <v/>
      </c>
      <c r="F228" s="44" t="str">
        <f aca="false">IF(AND(ISNUMBER(MATCH(A228,Sezoane!$C$6:$C$40,1)),A228&lt;=INDEX(Sezoane!$D$6:$D$40,MATCH(A228,Sezoane!$C$6:$C$40,1))),INDEX('Prețuri de setat'!$F$5:$F$39,MATCH(A228,Sezoane!$C$6:$C$40,1)),"")</f>
        <v/>
      </c>
      <c r="G228" s="44" t="str">
        <f aca="false">IF(AND(ISNUMBER(MATCH(A228,Sezoane!$C$6:$C$40,1)),A228&lt;=INDEX(Sezoane!$D$6:$D$40,MATCH(A228,Sezoane!$C$6:$C$40,1))),INDEX('Prețuri de setat'!$G$5:$G$39,MATCH(A228,Sezoane!$C$6:$C$40,1)),"")</f>
        <v/>
      </c>
      <c r="H228" s="44" t="str">
        <f aca="false">IF(AND(ISNUMBER(MATCH(A228,Sezoane!$C$6:$C$40,1)),A228&lt;=INDEX(Sezoane!$D$6:$D$40,MATCH(A228,Sezoane!$C$6:$C$40,1))),INDEX('Prețuri de setat'!$H$5:$H$39,MATCH(A228,Sezoane!$C$6:$C$40,1)),"")</f>
        <v/>
      </c>
      <c r="I228" s="44" t="str">
        <f aca="false">IF(AND(ISNUMBER(MATCH(A228,Sezoane!$C$6:$C$40,1)),A228&lt;=INDEX(Sezoane!$D$6:$D$40,MATCH(A228,Sezoane!$C$6:$C$40,1))),INDEX('Prețuri de setat'!$I$5:$I$39,MATCH(A228,Sezoane!$C$6:$C$40,1)),"")</f>
        <v/>
      </c>
    </row>
    <row r="229" customFormat="false" ht="15" hidden="false" customHeight="false" outlineLevel="0" collapsed="false">
      <c r="A229" s="41" t="n">
        <f aca="false">$B$2+224</f>
        <v>46540</v>
      </c>
      <c r="B229" s="42" t="str">
        <f aca="false">CHOOSE(WEEKDAY(A229,2),"Lu","Ma","Mi","Jo","Vi","Sâ","Du")</f>
        <v>Mi</v>
      </c>
      <c r="C229" s="42" t="str">
        <f aca="false">IF(AND(ISNUMBER(MATCH(A229,Sezoane!$C$6:$C$40,1)),A229&lt;=INDEX(Sezoane!$D$6:$D$40,MATCH(A229,Sezoane!$C$6:$C$40,1))),INDEX(Sezoane!$A$6:$A$40,MATCH(A229,Sezoane!$C$6:$C$40,1)),"⚠ fără sezon")</f>
        <v>⚠ fără sezon</v>
      </c>
      <c r="D229" s="42" t="str">
        <f aca="false">IF(AND(ISNUMBER(MATCH(A229,Sezoane!$C$6:$C$40,1)),A229&lt;=INDEX(Sezoane!$D$6:$D$40,MATCH(A229,Sezoane!$C$6:$C$40,1))),INDEX(Sezoane!$F$6:$F$40,MATCH(A229,Sezoane!$C$6:$C$40,1)),"")</f>
        <v/>
      </c>
      <c r="E229" s="44" t="str">
        <f aca="false">IF(AND(ISNUMBER(MATCH(A229,Sezoane!$C$6:$C$40,1)),A229&lt;=INDEX(Sezoane!$D$6:$D$40,MATCH(A229,Sezoane!$C$6:$C$40,1))),INDEX('Prețuri de setat'!$E$5:$E$39,MATCH(A229,Sezoane!$C$6:$C$40,1)),"")</f>
        <v/>
      </c>
      <c r="F229" s="44" t="str">
        <f aca="false">IF(AND(ISNUMBER(MATCH(A229,Sezoane!$C$6:$C$40,1)),A229&lt;=INDEX(Sezoane!$D$6:$D$40,MATCH(A229,Sezoane!$C$6:$C$40,1))),INDEX('Prețuri de setat'!$F$5:$F$39,MATCH(A229,Sezoane!$C$6:$C$40,1)),"")</f>
        <v/>
      </c>
      <c r="G229" s="44" t="str">
        <f aca="false">IF(AND(ISNUMBER(MATCH(A229,Sezoane!$C$6:$C$40,1)),A229&lt;=INDEX(Sezoane!$D$6:$D$40,MATCH(A229,Sezoane!$C$6:$C$40,1))),INDEX('Prețuri de setat'!$G$5:$G$39,MATCH(A229,Sezoane!$C$6:$C$40,1)),"")</f>
        <v/>
      </c>
      <c r="H229" s="44" t="str">
        <f aca="false">IF(AND(ISNUMBER(MATCH(A229,Sezoane!$C$6:$C$40,1)),A229&lt;=INDEX(Sezoane!$D$6:$D$40,MATCH(A229,Sezoane!$C$6:$C$40,1))),INDEX('Prețuri de setat'!$H$5:$H$39,MATCH(A229,Sezoane!$C$6:$C$40,1)),"")</f>
        <v/>
      </c>
      <c r="I229" s="44" t="str">
        <f aca="false">IF(AND(ISNUMBER(MATCH(A229,Sezoane!$C$6:$C$40,1)),A229&lt;=INDEX(Sezoane!$D$6:$D$40,MATCH(A229,Sezoane!$C$6:$C$40,1))),INDEX('Prețuri de setat'!$I$5:$I$39,MATCH(A229,Sezoane!$C$6:$C$40,1)),"")</f>
        <v/>
      </c>
    </row>
    <row r="230" customFormat="false" ht="15" hidden="false" customHeight="false" outlineLevel="0" collapsed="false">
      <c r="A230" s="41" t="n">
        <f aca="false">$B$2+225</f>
        <v>46541</v>
      </c>
      <c r="B230" s="42" t="str">
        <f aca="false">CHOOSE(WEEKDAY(A230,2),"Lu","Ma","Mi","Jo","Vi","Sâ","Du")</f>
        <v>Jo</v>
      </c>
      <c r="C230" s="42" t="str">
        <f aca="false">IF(AND(ISNUMBER(MATCH(A230,Sezoane!$C$6:$C$40,1)),A230&lt;=INDEX(Sezoane!$D$6:$D$40,MATCH(A230,Sezoane!$C$6:$C$40,1))),INDEX(Sezoane!$A$6:$A$40,MATCH(A230,Sezoane!$C$6:$C$40,1)),"⚠ fără sezon")</f>
        <v>⚠ fără sezon</v>
      </c>
      <c r="D230" s="42" t="str">
        <f aca="false">IF(AND(ISNUMBER(MATCH(A230,Sezoane!$C$6:$C$40,1)),A230&lt;=INDEX(Sezoane!$D$6:$D$40,MATCH(A230,Sezoane!$C$6:$C$40,1))),INDEX(Sezoane!$F$6:$F$40,MATCH(A230,Sezoane!$C$6:$C$40,1)),"")</f>
        <v/>
      </c>
      <c r="E230" s="44" t="str">
        <f aca="false">IF(AND(ISNUMBER(MATCH(A230,Sezoane!$C$6:$C$40,1)),A230&lt;=INDEX(Sezoane!$D$6:$D$40,MATCH(A230,Sezoane!$C$6:$C$40,1))),INDEX('Prețuri de setat'!$E$5:$E$39,MATCH(A230,Sezoane!$C$6:$C$40,1)),"")</f>
        <v/>
      </c>
      <c r="F230" s="44" t="str">
        <f aca="false">IF(AND(ISNUMBER(MATCH(A230,Sezoane!$C$6:$C$40,1)),A230&lt;=INDEX(Sezoane!$D$6:$D$40,MATCH(A230,Sezoane!$C$6:$C$40,1))),INDEX('Prețuri de setat'!$F$5:$F$39,MATCH(A230,Sezoane!$C$6:$C$40,1)),"")</f>
        <v/>
      </c>
      <c r="G230" s="44" t="str">
        <f aca="false">IF(AND(ISNUMBER(MATCH(A230,Sezoane!$C$6:$C$40,1)),A230&lt;=INDEX(Sezoane!$D$6:$D$40,MATCH(A230,Sezoane!$C$6:$C$40,1))),INDEX('Prețuri de setat'!$G$5:$G$39,MATCH(A230,Sezoane!$C$6:$C$40,1)),"")</f>
        <v/>
      </c>
      <c r="H230" s="44" t="str">
        <f aca="false">IF(AND(ISNUMBER(MATCH(A230,Sezoane!$C$6:$C$40,1)),A230&lt;=INDEX(Sezoane!$D$6:$D$40,MATCH(A230,Sezoane!$C$6:$C$40,1))),INDEX('Prețuri de setat'!$H$5:$H$39,MATCH(A230,Sezoane!$C$6:$C$40,1)),"")</f>
        <v/>
      </c>
      <c r="I230" s="44" t="str">
        <f aca="false">IF(AND(ISNUMBER(MATCH(A230,Sezoane!$C$6:$C$40,1)),A230&lt;=INDEX(Sezoane!$D$6:$D$40,MATCH(A230,Sezoane!$C$6:$C$40,1))),INDEX('Prețuri de setat'!$I$5:$I$39,MATCH(A230,Sezoane!$C$6:$C$40,1)),"")</f>
        <v/>
      </c>
    </row>
    <row r="231" customFormat="false" ht="15" hidden="false" customHeight="false" outlineLevel="0" collapsed="false">
      <c r="A231" s="41" t="n">
        <f aca="false">$B$2+226</f>
        <v>46542</v>
      </c>
      <c r="B231" s="42" t="str">
        <f aca="false">CHOOSE(WEEKDAY(A231,2),"Lu","Ma","Mi","Jo","Vi","Sâ","Du")</f>
        <v>Vi</v>
      </c>
      <c r="C231" s="42" t="str">
        <f aca="false">IF(AND(ISNUMBER(MATCH(A231,Sezoane!$C$6:$C$40,1)),A231&lt;=INDEX(Sezoane!$D$6:$D$40,MATCH(A231,Sezoane!$C$6:$C$40,1))),INDEX(Sezoane!$A$6:$A$40,MATCH(A231,Sezoane!$C$6:$C$40,1)),"⚠ fără sezon")</f>
        <v>⚠ fără sezon</v>
      </c>
      <c r="D231" s="42" t="str">
        <f aca="false">IF(AND(ISNUMBER(MATCH(A231,Sezoane!$C$6:$C$40,1)),A231&lt;=INDEX(Sezoane!$D$6:$D$40,MATCH(A231,Sezoane!$C$6:$C$40,1))),INDEX(Sezoane!$F$6:$F$40,MATCH(A231,Sezoane!$C$6:$C$40,1)),"")</f>
        <v/>
      </c>
      <c r="E231" s="44" t="str">
        <f aca="false">IF(AND(ISNUMBER(MATCH(A231,Sezoane!$C$6:$C$40,1)),A231&lt;=INDEX(Sezoane!$D$6:$D$40,MATCH(A231,Sezoane!$C$6:$C$40,1))),INDEX('Prețuri de setat'!$E$5:$E$39,MATCH(A231,Sezoane!$C$6:$C$40,1)),"")</f>
        <v/>
      </c>
      <c r="F231" s="44" t="str">
        <f aca="false">IF(AND(ISNUMBER(MATCH(A231,Sezoane!$C$6:$C$40,1)),A231&lt;=INDEX(Sezoane!$D$6:$D$40,MATCH(A231,Sezoane!$C$6:$C$40,1))),INDEX('Prețuri de setat'!$F$5:$F$39,MATCH(A231,Sezoane!$C$6:$C$40,1)),"")</f>
        <v/>
      </c>
      <c r="G231" s="44" t="str">
        <f aca="false">IF(AND(ISNUMBER(MATCH(A231,Sezoane!$C$6:$C$40,1)),A231&lt;=INDEX(Sezoane!$D$6:$D$40,MATCH(A231,Sezoane!$C$6:$C$40,1))),INDEX('Prețuri de setat'!$G$5:$G$39,MATCH(A231,Sezoane!$C$6:$C$40,1)),"")</f>
        <v/>
      </c>
      <c r="H231" s="44" t="str">
        <f aca="false">IF(AND(ISNUMBER(MATCH(A231,Sezoane!$C$6:$C$40,1)),A231&lt;=INDEX(Sezoane!$D$6:$D$40,MATCH(A231,Sezoane!$C$6:$C$40,1))),INDEX('Prețuri de setat'!$H$5:$H$39,MATCH(A231,Sezoane!$C$6:$C$40,1)),"")</f>
        <v/>
      </c>
      <c r="I231" s="44" t="str">
        <f aca="false">IF(AND(ISNUMBER(MATCH(A231,Sezoane!$C$6:$C$40,1)),A231&lt;=INDEX(Sezoane!$D$6:$D$40,MATCH(A231,Sezoane!$C$6:$C$40,1))),INDEX('Prețuri de setat'!$I$5:$I$39,MATCH(A231,Sezoane!$C$6:$C$40,1)),"")</f>
        <v/>
      </c>
    </row>
    <row r="232" customFormat="false" ht="15" hidden="false" customHeight="false" outlineLevel="0" collapsed="false">
      <c r="A232" s="41" t="n">
        <f aca="false">$B$2+227</f>
        <v>46543</v>
      </c>
      <c r="B232" s="42" t="str">
        <f aca="false">CHOOSE(WEEKDAY(A232,2),"Lu","Ma","Mi","Jo","Vi","Sâ","Du")</f>
        <v>Sâ</v>
      </c>
      <c r="C232" s="42" t="str">
        <f aca="false">IF(AND(ISNUMBER(MATCH(A232,Sezoane!$C$6:$C$40,1)),A232&lt;=INDEX(Sezoane!$D$6:$D$40,MATCH(A232,Sezoane!$C$6:$C$40,1))),INDEX(Sezoane!$A$6:$A$40,MATCH(A232,Sezoane!$C$6:$C$40,1)),"⚠ fără sezon")</f>
        <v>⚠ fără sezon</v>
      </c>
      <c r="D232" s="42" t="str">
        <f aca="false">IF(AND(ISNUMBER(MATCH(A232,Sezoane!$C$6:$C$40,1)),A232&lt;=INDEX(Sezoane!$D$6:$D$40,MATCH(A232,Sezoane!$C$6:$C$40,1))),INDEX(Sezoane!$F$6:$F$40,MATCH(A232,Sezoane!$C$6:$C$40,1)),"")</f>
        <v/>
      </c>
      <c r="E232" s="44" t="str">
        <f aca="false">IF(AND(ISNUMBER(MATCH(A232,Sezoane!$C$6:$C$40,1)),A232&lt;=INDEX(Sezoane!$D$6:$D$40,MATCH(A232,Sezoane!$C$6:$C$40,1))),INDEX('Prețuri de setat'!$E$5:$E$39,MATCH(A232,Sezoane!$C$6:$C$40,1)),"")</f>
        <v/>
      </c>
      <c r="F232" s="44" t="str">
        <f aca="false">IF(AND(ISNUMBER(MATCH(A232,Sezoane!$C$6:$C$40,1)),A232&lt;=INDEX(Sezoane!$D$6:$D$40,MATCH(A232,Sezoane!$C$6:$C$40,1))),INDEX('Prețuri de setat'!$F$5:$F$39,MATCH(A232,Sezoane!$C$6:$C$40,1)),"")</f>
        <v/>
      </c>
      <c r="G232" s="44" t="str">
        <f aca="false">IF(AND(ISNUMBER(MATCH(A232,Sezoane!$C$6:$C$40,1)),A232&lt;=INDEX(Sezoane!$D$6:$D$40,MATCH(A232,Sezoane!$C$6:$C$40,1))),INDEX('Prețuri de setat'!$G$5:$G$39,MATCH(A232,Sezoane!$C$6:$C$40,1)),"")</f>
        <v/>
      </c>
      <c r="H232" s="44" t="str">
        <f aca="false">IF(AND(ISNUMBER(MATCH(A232,Sezoane!$C$6:$C$40,1)),A232&lt;=INDEX(Sezoane!$D$6:$D$40,MATCH(A232,Sezoane!$C$6:$C$40,1))),INDEX('Prețuri de setat'!$H$5:$H$39,MATCH(A232,Sezoane!$C$6:$C$40,1)),"")</f>
        <v/>
      </c>
      <c r="I232" s="44" t="str">
        <f aca="false">IF(AND(ISNUMBER(MATCH(A232,Sezoane!$C$6:$C$40,1)),A232&lt;=INDEX(Sezoane!$D$6:$D$40,MATCH(A232,Sezoane!$C$6:$C$40,1))),INDEX('Prețuri de setat'!$I$5:$I$39,MATCH(A232,Sezoane!$C$6:$C$40,1)),"")</f>
        <v/>
      </c>
    </row>
    <row r="233" customFormat="false" ht="15" hidden="false" customHeight="false" outlineLevel="0" collapsed="false">
      <c r="A233" s="41" t="n">
        <f aca="false">$B$2+228</f>
        <v>46544</v>
      </c>
      <c r="B233" s="42" t="str">
        <f aca="false">CHOOSE(WEEKDAY(A233,2),"Lu","Ma","Mi","Jo","Vi","Sâ","Du")</f>
        <v>Du</v>
      </c>
      <c r="C233" s="42" t="str">
        <f aca="false">IF(AND(ISNUMBER(MATCH(A233,Sezoane!$C$6:$C$40,1)),A233&lt;=INDEX(Sezoane!$D$6:$D$40,MATCH(A233,Sezoane!$C$6:$C$40,1))),INDEX(Sezoane!$A$6:$A$40,MATCH(A233,Sezoane!$C$6:$C$40,1)),"⚠ fără sezon")</f>
        <v>⚠ fără sezon</v>
      </c>
      <c r="D233" s="42" t="str">
        <f aca="false">IF(AND(ISNUMBER(MATCH(A233,Sezoane!$C$6:$C$40,1)),A233&lt;=INDEX(Sezoane!$D$6:$D$40,MATCH(A233,Sezoane!$C$6:$C$40,1))),INDEX(Sezoane!$F$6:$F$40,MATCH(A233,Sezoane!$C$6:$C$40,1)),"")</f>
        <v/>
      </c>
      <c r="E233" s="44" t="str">
        <f aca="false">IF(AND(ISNUMBER(MATCH(A233,Sezoane!$C$6:$C$40,1)),A233&lt;=INDEX(Sezoane!$D$6:$D$40,MATCH(A233,Sezoane!$C$6:$C$40,1))),INDEX('Prețuri de setat'!$E$5:$E$39,MATCH(A233,Sezoane!$C$6:$C$40,1)),"")</f>
        <v/>
      </c>
      <c r="F233" s="44" t="str">
        <f aca="false">IF(AND(ISNUMBER(MATCH(A233,Sezoane!$C$6:$C$40,1)),A233&lt;=INDEX(Sezoane!$D$6:$D$40,MATCH(A233,Sezoane!$C$6:$C$40,1))),INDEX('Prețuri de setat'!$F$5:$F$39,MATCH(A233,Sezoane!$C$6:$C$40,1)),"")</f>
        <v/>
      </c>
      <c r="G233" s="44" t="str">
        <f aca="false">IF(AND(ISNUMBER(MATCH(A233,Sezoane!$C$6:$C$40,1)),A233&lt;=INDEX(Sezoane!$D$6:$D$40,MATCH(A233,Sezoane!$C$6:$C$40,1))),INDEX('Prețuri de setat'!$G$5:$G$39,MATCH(A233,Sezoane!$C$6:$C$40,1)),"")</f>
        <v/>
      </c>
      <c r="H233" s="44" t="str">
        <f aca="false">IF(AND(ISNUMBER(MATCH(A233,Sezoane!$C$6:$C$40,1)),A233&lt;=INDEX(Sezoane!$D$6:$D$40,MATCH(A233,Sezoane!$C$6:$C$40,1))),INDEX('Prețuri de setat'!$H$5:$H$39,MATCH(A233,Sezoane!$C$6:$C$40,1)),"")</f>
        <v/>
      </c>
      <c r="I233" s="44" t="str">
        <f aca="false">IF(AND(ISNUMBER(MATCH(A233,Sezoane!$C$6:$C$40,1)),A233&lt;=INDEX(Sezoane!$D$6:$D$40,MATCH(A233,Sezoane!$C$6:$C$40,1))),INDEX('Prețuri de setat'!$I$5:$I$39,MATCH(A233,Sezoane!$C$6:$C$40,1)),"")</f>
        <v/>
      </c>
    </row>
    <row r="234" customFormat="false" ht="15" hidden="false" customHeight="false" outlineLevel="0" collapsed="false">
      <c r="A234" s="41" t="n">
        <f aca="false">$B$2+229</f>
        <v>46545</v>
      </c>
      <c r="B234" s="42" t="str">
        <f aca="false">CHOOSE(WEEKDAY(A234,2),"Lu","Ma","Mi","Jo","Vi","Sâ","Du")</f>
        <v>Lu</v>
      </c>
      <c r="C234" s="42" t="str">
        <f aca="false">IF(AND(ISNUMBER(MATCH(A234,Sezoane!$C$6:$C$40,1)),A234&lt;=INDEX(Sezoane!$D$6:$D$40,MATCH(A234,Sezoane!$C$6:$C$40,1))),INDEX(Sezoane!$A$6:$A$40,MATCH(A234,Sezoane!$C$6:$C$40,1)),"⚠ fără sezon")</f>
        <v>⚠ fără sezon</v>
      </c>
      <c r="D234" s="42" t="str">
        <f aca="false">IF(AND(ISNUMBER(MATCH(A234,Sezoane!$C$6:$C$40,1)),A234&lt;=INDEX(Sezoane!$D$6:$D$40,MATCH(A234,Sezoane!$C$6:$C$40,1))),INDEX(Sezoane!$F$6:$F$40,MATCH(A234,Sezoane!$C$6:$C$40,1)),"")</f>
        <v/>
      </c>
      <c r="E234" s="44" t="str">
        <f aca="false">IF(AND(ISNUMBER(MATCH(A234,Sezoane!$C$6:$C$40,1)),A234&lt;=INDEX(Sezoane!$D$6:$D$40,MATCH(A234,Sezoane!$C$6:$C$40,1))),INDEX('Prețuri de setat'!$E$5:$E$39,MATCH(A234,Sezoane!$C$6:$C$40,1)),"")</f>
        <v/>
      </c>
      <c r="F234" s="44" t="str">
        <f aca="false">IF(AND(ISNUMBER(MATCH(A234,Sezoane!$C$6:$C$40,1)),A234&lt;=INDEX(Sezoane!$D$6:$D$40,MATCH(A234,Sezoane!$C$6:$C$40,1))),INDEX('Prețuri de setat'!$F$5:$F$39,MATCH(A234,Sezoane!$C$6:$C$40,1)),"")</f>
        <v/>
      </c>
      <c r="G234" s="44" t="str">
        <f aca="false">IF(AND(ISNUMBER(MATCH(A234,Sezoane!$C$6:$C$40,1)),A234&lt;=INDEX(Sezoane!$D$6:$D$40,MATCH(A234,Sezoane!$C$6:$C$40,1))),INDEX('Prețuri de setat'!$G$5:$G$39,MATCH(A234,Sezoane!$C$6:$C$40,1)),"")</f>
        <v/>
      </c>
      <c r="H234" s="44" t="str">
        <f aca="false">IF(AND(ISNUMBER(MATCH(A234,Sezoane!$C$6:$C$40,1)),A234&lt;=INDEX(Sezoane!$D$6:$D$40,MATCH(A234,Sezoane!$C$6:$C$40,1))),INDEX('Prețuri de setat'!$H$5:$H$39,MATCH(A234,Sezoane!$C$6:$C$40,1)),"")</f>
        <v/>
      </c>
      <c r="I234" s="44" t="str">
        <f aca="false">IF(AND(ISNUMBER(MATCH(A234,Sezoane!$C$6:$C$40,1)),A234&lt;=INDEX(Sezoane!$D$6:$D$40,MATCH(A234,Sezoane!$C$6:$C$40,1))),INDEX('Prețuri de setat'!$I$5:$I$39,MATCH(A234,Sezoane!$C$6:$C$40,1)),"")</f>
        <v/>
      </c>
    </row>
    <row r="235" customFormat="false" ht="15" hidden="false" customHeight="false" outlineLevel="0" collapsed="false">
      <c r="A235" s="41" t="n">
        <f aca="false">$B$2+230</f>
        <v>46546</v>
      </c>
      <c r="B235" s="42" t="str">
        <f aca="false">CHOOSE(WEEKDAY(A235,2),"Lu","Ma","Mi","Jo","Vi","Sâ","Du")</f>
        <v>Ma</v>
      </c>
      <c r="C235" s="42" t="str">
        <f aca="false">IF(AND(ISNUMBER(MATCH(A235,Sezoane!$C$6:$C$40,1)),A235&lt;=INDEX(Sezoane!$D$6:$D$40,MATCH(A235,Sezoane!$C$6:$C$40,1))),INDEX(Sezoane!$A$6:$A$40,MATCH(A235,Sezoane!$C$6:$C$40,1)),"⚠ fără sezon")</f>
        <v>⚠ fără sezon</v>
      </c>
      <c r="D235" s="42" t="str">
        <f aca="false">IF(AND(ISNUMBER(MATCH(A235,Sezoane!$C$6:$C$40,1)),A235&lt;=INDEX(Sezoane!$D$6:$D$40,MATCH(A235,Sezoane!$C$6:$C$40,1))),INDEX(Sezoane!$F$6:$F$40,MATCH(A235,Sezoane!$C$6:$C$40,1)),"")</f>
        <v/>
      </c>
      <c r="E235" s="44" t="str">
        <f aca="false">IF(AND(ISNUMBER(MATCH(A235,Sezoane!$C$6:$C$40,1)),A235&lt;=INDEX(Sezoane!$D$6:$D$40,MATCH(A235,Sezoane!$C$6:$C$40,1))),INDEX('Prețuri de setat'!$E$5:$E$39,MATCH(A235,Sezoane!$C$6:$C$40,1)),"")</f>
        <v/>
      </c>
      <c r="F235" s="44" t="str">
        <f aca="false">IF(AND(ISNUMBER(MATCH(A235,Sezoane!$C$6:$C$40,1)),A235&lt;=INDEX(Sezoane!$D$6:$D$40,MATCH(A235,Sezoane!$C$6:$C$40,1))),INDEX('Prețuri de setat'!$F$5:$F$39,MATCH(A235,Sezoane!$C$6:$C$40,1)),"")</f>
        <v/>
      </c>
      <c r="G235" s="44" t="str">
        <f aca="false">IF(AND(ISNUMBER(MATCH(A235,Sezoane!$C$6:$C$40,1)),A235&lt;=INDEX(Sezoane!$D$6:$D$40,MATCH(A235,Sezoane!$C$6:$C$40,1))),INDEX('Prețuri de setat'!$G$5:$G$39,MATCH(A235,Sezoane!$C$6:$C$40,1)),"")</f>
        <v/>
      </c>
      <c r="H235" s="44" t="str">
        <f aca="false">IF(AND(ISNUMBER(MATCH(A235,Sezoane!$C$6:$C$40,1)),A235&lt;=INDEX(Sezoane!$D$6:$D$40,MATCH(A235,Sezoane!$C$6:$C$40,1))),INDEX('Prețuri de setat'!$H$5:$H$39,MATCH(A235,Sezoane!$C$6:$C$40,1)),"")</f>
        <v/>
      </c>
      <c r="I235" s="44" t="str">
        <f aca="false">IF(AND(ISNUMBER(MATCH(A235,Sezoane!$C$6:$C$40,1)),A235&lt;=INDEX(Sezoane!$D$6:$D$40,MATCH(A235,Sezoane!$C$6:$C$40,1))),INDEX('Prețuri de setat'!$I$5:$I$39,MATCH(A235,Sezoane!$C$6:$C$40,1)),"")</f>
        <v/>
      </c>
    </row>
    <row r="236" customFormat="false" ht="15" hidden="false" customHeight="false" outlineLevel="0" collapsed="false">
      <c r="A236" s="41" t="n">
        <f aca="false">$B$2+231</f>
        <v>46547</v>
      </c>
      <c r="B236" s="42" t="str">
        <f aca="false">CHOOSE(WEEKDAY(A236,2),"Lu","Ma","Mi","Jo","Vi","Sâ","Du")</f>
        <v>Mi</v>
      </c>
      <c r="C236" s="42" t="str">
        <f aca="false">IF(AND(ISNUMBER(MATCH(A236,Sezoane!$C$6:$C$40,1)),A236&lt;=INDEX(Sezoane!$D$6:$D$40,MATCH(A236,Sezoane!$C$6:$C$40,1))),INDEX(Sezoane!$A$6:$A$40,MATCH(A236,Sezoane!$C$6:$C$40,1)),"⚠ fără sezon")</f>
        <v>⚠ fără sezon</v>
      </c>
      <c r="D236" s="42" t="str">
        <f aca="false">IF(AND(ISNUMBER(MATCH(A236,Sezoane!$C$6:$C$40,1)),A236&lt;=INDEX(Sezoane!$D$6:$D$40,MATCH(A236,Sezoane!$C$6:$C$40,1))),INDEX(Sezoane!$F$6:$F$40,MATCH(A236,Sezoane!$C$6:$C$40,1)),"")</f>
        <v/>
      </c>
      <c r="E236" s="44" t="str">
        <f aca="false">IF(AND(ISNUMBER(MATCH(A236,Sezoane!$C$6:$C$40,1)),A236&lt;=INDEX(Sezoane!$D$6:$D$40,MATCH(A236,Sezoane!$C$6:$C$40,1))),INDEX('Prețuri de setat'!$E$5:$E$39,MATCH(A236,Sezoane!$C$6:$C$40,1)),"")</f>
        <v/>
      </c>
      <c r="F236" s="44" t="str">
        <f aca="false">IF(AND(ISNUMBER(MATCH(A236,Sezoane!$C$6:$C$40,1)),A236&lt;=INDEX(Sezoane!$D$6:$D$40,MATCH(A236,Sezoane!$C$6:$C$40,1))),INDEX('Prețuri de setat'!$F$5:$F$39,MATCH(A236,Sezoane!$C$6:$C$40,1)),"")</f>
        <v/>
      </c>
      <c r="G236" s="44" t="str">
        <f aca="false">IF(AND(ISNUMBER(MATCH(A236,Sezoane!$C$6:$C$40,1)),A236&lt;=INDEX(Sezoane!$D$6:$D$40,MATCH(A236,Sezoane!$C$6:$C$40,1))),INDEX('Prețuri de setat'!$G$5:$G$39,MATCH(A236,Sezoane!$C$6:$C$40,1)),"")</f>
        <v/>
      </c>
      <c r="H236" s="44" t="str">
        <f aca="false">IF(AND(ISNUMBER(MATCH(A236,Sezoane!$C$6:$C$40,1)),A236&lt;=INDEX(Sezoane!$D$6:$D$40,MATCH(A236,Sezoane!$C$6:$C$40,1))),INDEX('Prețuri de setat'!$H$5:$H$39,MATCH(A236,Sezoane!$C$6:$C$40,1)),"")</f>
        <v/>
      </c>
      <c r="I236" s="44" t="str">
        <f aca="false">IF(AND(ISNUMBER(MATCH(A236,Sezoane!$C$6:$C$40,1)),A236&lt;=INDEX(Sezoane!$D$6:$D$40,MATCH(A236,Sezoane!$C$6:$C$40,1))),INDEX('Prețuri de setat'!$I$5:$I$39,MATCH(A236,Sezoane!$C$6:$C$40,1)),"")</f>
        <v/>
      </c>
    </row>
    <row r="237" customFormat="false" ht="15" hidden="false" customHeight="false" outlineLevel="0" collapsed="false">
      <c r="A237" s="41" t="n">
        <f aca="false">$B$2+232</f>
        <v>46548</v>
      </c>
      <c r="B237" s="42" t="str">
        <f aca="false">CHOOSE(WEEKDAY(A237,2),"Lu","Ma","Mi","Jo","Vi","Sâ","Du")</f>
        <v>Jo</v>
      </c>
      <c r="C237" s="42" t="str">
        <f aca="false">IF(AND(ISNUMBER(MATCH(A237,Sezoane!$C$6:$C$40,1)),A237&lt;=INDEX(Sezoane!$D$6:$D$40,MATCH(A237,Sezoane!$C$6:$C$40,1))),INDEX(Sezoane!$A$6:$A$40,MATCH(A237,Sezoane!$C$6:$C$40,1)),"⚠ fără sezon")</f>
        <v>⚠ fără sezon</v>
      </c>
      <c r="D237" s="42" t="str">
        <f aca="false">IF(AND(ISNUMBER(MATCH(A237,Sezoane!$C$6:$C$40,1)),A237&lt;=INDEX(Sezoane!$D$6:$D$40,MATCH(A237,Sezoane!$C$6:$C$40,1))),INDEX(Sezoane!$F$6:$F$40,MATCH(A237,Sezoane!$C$6:$C$40,1)),"")</f>
        <v/>
      </c>
      <c r="E237" s="44" t="str">
        <f aca="false">IF(AND(ISNUMBER(MATCH(A237,Sezoane!$C$6:$C$40,1)),A237&lt;=INDEX(Sezoane!$D$6:$D$40,MATCH(A237,Sezoane!$C$6:$C$40,1))),INDEX('Prețuri de setat'!$E$5:$E$39,MATCH(A237,Sezoane!$C$6:$C$40,1)),"")</f>
        <v/>
      </c>
      <c r="F237" s="44" t="str">
        <f aca="false">IF(AND(ISNUMBER(MATCH(A237,Sezoane!$C$6:$C$40,1)),A237&lt;=INDEX(Sezoane!$D$6:$D$40,MATCH(A237,Sezoane!$C$6:$C$40,1))),INDEX('Prețuri de setat'!$F$5:$F$39,MATCH(A237,Sezoane!$C$6:$C$40,1)),"")</f>
        <v/>
      </c>
      <c r="G237" s="44" t="str">
        <f aca="false">IF(AND(ISNUMBER(MATCH(A237,Sezoane!$C$6:$C$40,1)),A237&lt;=INDEX(Sezoane!$D$6:$D$40,MATCH(A237,Sezoane!$C$6:$C$40,1))),INDEX('Prețuri de setat'!$G$5:$G$39,MATCH(A237,Sezoane!$C$6:$C$40,1)),"")</f>
        <v/>
      </c>
      <c r="H237" s="44" t="str">
        <f aca="false">IF(AND(ISNUMBER(MATCH(A237,Sezoane!$C$6:$C$40,1)),A237&lt;=INDEX(Sezoane!$D$6:$D$40,MATCH(A237,Sezoane!$C$6:$C$40,1))),INDEX('Prețuri de setat'!$H$5:$H$39,MATCH(A237,Sezoane!$C$6:$C$40,1)),"")</f>
        <v/>
      </c>
      <c r="I237" s="44" t="str">
        <f aca="false">IF(AND(ISNUMBER(MATCH(A237,Sezoane!$C$6:$C$40,1)),A237&lt;=INDEX(Sezoane!$D$6:$D$40,MATCH(A237,Sezoane!$C$6:$C$40,1))),INDEX('Prețuri de setat'!$I$5:$I$39,MATCH(A237,Sezoane!$C$6:$C$40,1)),"")</f>
        <v/>
      </c>
    </row>
    <row r="238" customFormat="false" ht="15" hidden="false" customHeight="false" outlineLevel="0" collapsed="false">
      <c r="A238" s="41" t="n">
        <f aca="false">$B$2+233</f>
        <v>46549</v>
      </c>
      <c r="B238" s="42" t="str">
        <f aca="false">CHOOSE(WEEKDAY(A238,2),"Lu","Ma","Mi","Jo","Vi","Sâ","Du")</f>
        <v>Vi</v>
      </c>
      <c r="C238" s="42" t="str">
        <f aca="false">IF(AND(ISNUMBER(MATCH(A238,Sezoane!$C$6:$C$40,1)),A238&lt;=INDEX(Sezoane!$D$6:$D$40,MATCH(A238,Sezoane!$C$6:$C$40,1))),INDEX(Sezoane!$A$6:$A$40,MATCH(A238,Sezoane!$C$6:$C$40,1)),"⚠ fără sezon")</f>
        <v>⚠ fără sezon</v>
      </c>
      <c r="D238" s="42" t="str">
        <f aca="false">IF(AND(ISNUMBER(MATCH(A238,Sezoane!$C$6:$C$40,1)),A238&lt;=INDEX(Sezoane!$D$6:$D$40,MATCH(A238,Sezoane!$C$6:$C$40,1))),INDEX(Sezoane!$F$6:$F$40,MATCH(A238,Sezoane!$C$6:$C$40,1)),"")</f>
        <v/>
      </c>
      <c r="E238" s="44" t="str">
        <f aca="false">IF(AND(ISNUMBER(MATCH(A238,Sezoane!$C$6:$C$40,1)),A238&lt;=INDEX(Sezoane!$D$6:$D$40,MATCH(A238,Sezoane!$C$6:$C$40,1))),INDEX('Prețuri de setat'!$E$5:$E$39,MATCH(A238,Sezoane!$C$6:$C$40,1)),"")</f>
        <v/>
      </c>
      <c r="F238" s="44" t="str">
        <f aca="false">IF(AND(ISNUMBER(MATCH(A238,Sezoane!$C$6:$C$40,1)),A238&lt;=INDEX(Sezoane!$D$6:$D$40,MATCH(A238,Sezoane!$C$6:$C$40,1))),INDEX('Prețuri de setat'!$F$5:$F$39,MATCH(A238,Sezoane!$C$6:$C$40,1)),"")</f>
        <v/>
      </c>
      <c r="G238" s="44" t="str">
        <f aca="false">IF(AND(ISNUMBER(MATCH(A238,Sezoane!$C$6:$C$40,1)),A238&lt;=INDEX(Sezoane!$D$6:$D$40,MATCH(A238,Sezoane!$C$6:$C$40,1))),INDEX('Prețuri de setat'!$G$5:$G$39,MATCH(A238,Sezoane!$C$6:$C$40,1)),"")</f>
        <v/>
      </c>
      <c r="H238" s="44" t="str">
        <f aca="false">IF(AND(ISNUMBER(MATCH(A238,Sezoane!$C$6:$C$40,1)),A238&lt;=INDEX(Sezoane!$D$6:$D$40,MATCH(A238,Sezoane!$C$6:$C$40,1))),INDEX('Prețuri de setat'!$H$5:$H$39,MATCH(A238,Sezoane!$C$6:$C$40,1)),"")</f>
        <v/>
      </c>
      <c r="I238" s="44" t="str">
        <f aca="false">IF(AND(ISNUMBER(MATCH(A238,Sezoane!$C$6:$C$40,1)),A238&lt;=INDEX(Sezoane!$D$6:$D$40,MATCH(A238,Sezoane!$C$6:$C$40,1))),INDEX('Prețuri de setat'!$I$5:$I$39,MATCH(A238,Sezoane!$C$6:$C$40,1)),"")</f>
        <v/>
      </c>
    </row>
    <row r="239" customFormat="false" ht="15" hidden="false" customHeight="false" outlineLevel="0" collapsed="false">
      <c r="A239" s="41" t="n">
        <f aca="false">$B$2+234</f>
        <v>46550</v>
      </c>
      <c r="B239" s="42" t="str">
        <f aca="false">CHOOSE(WEEKDAY(A239,2),"Lu","Ma","Mi","Jo","Vi","Sâ","Du")</f>
        <v>Sâ</v>
      </c>
      <c r="C239" s="42" t="str">
        <f aca="false">IF(AND(ISNUMBER(MATCH(A239,Sezoane!$C$6:$C$40,1)),A239&lt;=INDEX(Sezoane!$D$6:$D$40,MATCH(A239,Sezoane!$C$6:$C$40,1))),INDEX(Sezoane!$A$6:$A$40,MATCH(A239,Sezoane!$C$6:$C$40,1)),"⚠ fără sezon")</f>
        <v>⚠ fără sezon</v>
      </c>
      <c r="D239" s="42" t="str">
        <f aca="false">IF(AND(ISNUMBER(MATCH(A239,Sezoane!$C$6:$C$40,1)),A239&lt;=INDEX(Sezoane!$D$6:$D$40,MATCH(A239,Sezoane!$C$6:$C$40,1))),INDEX(Sezoane!$F$6:$F$40,MATCH(A239,Sezoane!$C$6:$C$40,1)),"")</f>
        <v/>
      </c>
      <c r="E239" s="44" t="str">
        <f aca="false">IF(AND(ISNUMBER(MATCH(A239,Sezoane!$C$6:$C$40,1)),A239&lt;=INDEX(Sezoane!$D$6:$D$40,MATCH(A239,Sezoane!$C$6:$C$40,1))),INDEX('Prețuri de setat'!$E$5:$E$39,MATCH(A239,Sezoane!$C$6:$C$40,1)),"")</f>
        <v/>
      </c>
      <c r="F239" s="44" t="str">
        <f aca="false">IF(AND(ISNUMBER(MATCH(A239,Sezoane!$C$6:$C$40,1)),A239&lt;=INDEX(Sezoane!$D$6:$D$40,MATCH(A239,Sezoane!$C$6:$C$40,1))),INDEX('Prețuri de setat'!$F$5:$F$39,MATCH(A239,Sezoane!$C$6:$C$40,1)),"")</f>
        <v/>
      </c>
      <c r="G239" s="44" t="str">
        <f aca="false">IF(AND(ISNUMBER(MATCH(A239,Sezoane!$C$6:$C$40,1)),A239&lt;=INDEX(Sezoane!$D$6:$D$40,MATCH(A239,Sezoane!$C$6:$C$40,1))),INDEX('Prețuri de setat'!$G$5:$G$39,MATCH(A239,Sezoane!$C$6:$C$40,1)),"")</f>
        <v/>
      </c>
      <c r="H239" s="44" t="str">
        <f aca="false">IF(AND(ISNUMBER(MATCH(A239,Sezoane!$C$6:$C$40,1)),A239&lt;=INDEX(Sezoane!$D$6:$D$40,MATCH(A239,Sezoane!$C$6:$C$40,1))),INDEX('Prețuri de setat'!$H$5:$H$39,MATCH(A239,Sezoane!$C$6:$C$40,1)),"")</f>
        <v/>
      </c>
      <c r="I239" s="44" t="str">
        <f aca="false">IF(AND(ISNUMBER(MATCH(A239,Sezoane!$C$6:$C$40,1)),A239&lt;=INDEX(Sezoane!$D$6:$D$40,MATCH(A239,Sezoane!$C$6:$C$40,1))),INDEX('Prețuri de setat'!$I$5:$I$39,MATCH(A239,Sezoane!$C$6:$C$40,1)),"")</f>
        <v/>
      </c>
    </row>
    <row r="240" customFormat="false" ht="15" hidden="false" customHeight="false" outlineLevel="0" collapsed="false">
      <c r="A240" s="41" t="n">
        <f aca="false">$B$2+235</f>
        <v>46551</v>
      </c>
      <c r="B240" s="42" t="str">
        <f aca="false">CHOOSE(WEEKDAY(A240,2),"Lu","Ma","Mi","Jo","Vi","Sâ","Du")</f>
        <v>Du</v>
      </c>
      <c r="C240" s="42" t="str">
        <f aca="false">IF(AND(ISNUMBER(MATCH(A240,Sezoane!$C$6:$C$40,1)),A240&lt;=INDEX(Sezoane!$D$6:$D$40,MATCH(A240,Sezoane!$C$6:$C$40,1))),INDEX(Sezoane!$A$6:$A$40,MATCH(A240,Sezoane!$C$6:$C$40,1)),"⚠ fără sezon")</f>
        <v>⚠ fără sezon</v>
      </c>
      <c r="D240" s="42" t="str">
        <f aca="false">IF(AND(ISNUMBER(MATCH(A240,Sezoane!$C$6:$C$40,1)),A240&lt;=INDEX(Sezoane!$D$6:$D$40,MATCH(A240,Sezoane!$C$6:$C$40,1))),INDEX(Sezoane!$F$6:$F$40,MATCH(A240,Sezoane!$C$6:$C$40,1)),"")</f>
        <v/>
      </c>
      <c r="E240" s="44" t="str">
        <f aca="false">IF(AND(ISNUMBER(MATCH(A240,Sezoane!$C$6:$C$40,1)),A240&lt;=INDEX(Sezoane!$D$6:$D$40,MATCH(A240,Sezoane!$C$6:$C$40,1))),INDEX('Prețuri de setat'!$E$5:$E$39,MATCH(A240,Sezoane!$C$6:$C$40,1)),"")</f>
        <v/>
      </c>
      <c r="F240" s="44" t="str">
        <f aca="false">IF(AND(ISNUMBER(MATCH(A240,Sezoane!$C$6:$C$40,1)),A240&lt;=INDEX(Sezoane!$D$6:$D$40,MATCH(A240,Sezoane!$C$6:$C$40,1))),INDEX('Prețuri de setat'!$F$5:$F$39,MATCH(A240,Sezoane!$C$6:$C$40,1)),"")</f>
        <v/>
      </c>
      <c r="G240" s="44" t="str">
        <f aca="false">IF(AND(ISNUMBER(MATCH(A240,Sezoane!$C$6:$C$40,1)),A240&lt;=INDEX(Sezoane!$D$6:$D$40,MATCH(A240,Sezoane!$C$6:$C$40,1))),INDEX('Prețuri de setat'!$G$5:$G$39,MATCH(A240,Sezoane!$C$6:$C$40,1)),"")</f>
        <v/>
      </c>
      <c r="H240" s="44" t="str">
        <f aca="false">IF(AND(ISNUMBER(MATCH(A240,Sezoane!$C$6:$C$40,1)),A240&lt;=INDEX(Sezoane!$D$6:$D$40,MATCH(A240,Sezoane!$C$6:$C$40,1))),INDEX('Prețuri de setat'!$H$5:$H$39,MATCH(A240,Sezoane!$C$6:$C$40,1)),"")</f>
        <v/>
      </c>
      <c r="I240" s="44" t="str">
        <f aca="false">IF(AND(ISNUMBER(MATCH(A240,Sezoane!$C$6:$C$40,1)),A240&lt;=INDEX(Sezoane!$D$6:$D$40,MATCH(A240,Sezoane!$C$6:$C$40,1))),INDEX('Prețuri de setat'!$I$5:$I$39,MATCH(A240,Sezoane!$C$6:$C$40,1)),"")</f>
        <v/>
      </c>
    </row>
    <row r="241" customFormat="false" ht="15" hidden="false" customHeight="false" outlineLevel="0" collapsed="false">
      <c r="A241" s="41" t="n">
        <f aca="false">$B$2+236</f>
        <v>46552</v>
      </c>
      <c r="B241" s="42" t="str">
        <f aca="false">CHOOSE(WEEKDAY(A241,2),"Lu","Ma","Mi","Jo","Vi","Sâ","Du")</f>
        <v>Lu</v>
      </c>
      <c r="C241" s="42" t="str">
        <f aca="false">IF(AND(ISNUMBER(MATCH(A241,Sezoane!$C$6:$C$40,1)),A241&lt;=INDEX(Sezoane!$D$6:$D$40,MATCH(A241,Sezoane!$C$6:$C$40,1))),INDEX(Sezoane!$A$6:$A$40,MATCH(A241,Sezoane!$C$6:$C$40,1)),"⚠ fără sezon")</f>
        <v>⚠ fără sezon</v>
      </c>
      <c r="D241" s="42" t="str">
        <f aca="false">IF(AND(ISNUMBER(MATCH(A241,Sezoane!$C$6:$C$40,1)),A241&lt;=INDEX(Sezoane!$D$6:$D$40,MATCH(A241,Sezoane!$C$6:$C$40,1))),INDEX(Sezoane!$F$6:$F$40,MATCH(A241,Sezoane!$C$6:$C$40,1)),"")</f>
        <v/>
      </c>
      <c r="E241" s="44" t="str">
        <f aca="false">IF(AND(ISNUMBER(MATCH(A241,Sezoane!$C$6:$C$40,1)),A241&lt;=INDEX(Sezoane!$D$6:$D$40,MATCH(A241,Sezoane!$C$6:$C$40,1))),INDEX('Prețuri de setat'!$E$5:$E$39,MATCH(A241,Sezoane!$C$6:$C$40,1)),"")</f>
        <v/>
      </c>
      <c r="F241" s="44" t="str">
        <f aca="false">IF(AND(ISNUMBER(MATCH(A241,Sezoane!$C$6:$C$40,1)),A241&lt;=INDEX(Sezoane!$D$6:$D$40,MATCH(A241,Sezoane!$C$6:$C$40,1))),INDEX('Prețuri de setat'!$F$5:$F$39,MATCH(A241,Sezoane!$C$6:$C$40,1)),"")</f>
        <v/>
      </c>
      <c r="G241" s="44" t="str">
        <f aca="false">IF(AND(ISNUMBER(MATCH(A241,Sezoane!$C$6:$C$40,1)),A241&lt;=INDEX(Sezoane!$D$6:$D$40,MATCH(A241,Sezoane!$C$6:$C$40,1))),INDEX('Prețuri de setat'!$G$5:$G$39,MATCH(A241,Sezoane!$C$6:$C$40,1)),"")</f>
        <v/>
      </c>
      <c r="H241" s="44" t="str">
        <f aca="false">IF(AND(ISNUMBER(MATCH(A241,Sezoane!$C$6:$C$40,1)),A241&lt;=INDEX(Sezoane!$D$6:$D$40,MATCH(A241,Sezoane!$C$6:$C$40,1))),INDEX('Prețuri de setat'!$H$5:$H$39,MATCH(A241,Sezoane!$C$6:$C$40,1)),"")</f>
        <v/>
      </c>
      <c r="I241" s="44" t="str">
        <f aca="false">IF(AND(ISNUMBER(MATCH(A241,Sezoane!$C$6:$C$40,1)),A241&lt;=INDEX(Sezoane!$D$6:$D$40,MATCH(A241,Sezoane!$C$6:$C$40,1))),INDEX('Prețuri de setat'!$I$5:$I$39,MATCH(A241,Sezoane!$C$6:$C$40,1)),"")</f>
        <v/>
      </c>
    </row>
    <row r="242" customFormat="false" ht="15" hidden="false" customHeight="false" outlineLevel="0" collapsed="false">
      <c r="A242" s="41" t="n">
        <f aca="false">$B$2+237</f>
        <v>46553</v>
      </c>
      <c r="B242" s="42" t="str">
        <f aca="false">CHOOSE(WEEKDAY(A242,2),"Lu","Ma","Mi","Jo","Vi","Sâ","Du")</f>
        <v>Ma</v>
      </c>
      <c r="C242" s="42" t="str">
        <f aca="false">IF(AND(ISNUMBER(MATCH(A242,Sezoane!$C$6:$C$40,1)),A242&lt;=INDEX(Sezoane!$D$6:$D$40,MATCH(A242,Sezoane!$C$6:$C$40,1))),INDEX(Sezoane!$A$6:$A$40,MATCH(A242,Sezoane!$C$6:$C$40,1)),"⚠ fără sezon")</f>
        <v>⚠ fără sezon</v>
      </c>
      <c r="D242" s="42" t="str">
        <f aca="false">IF(AND(ISNUMBER(MATCH(A242,Sezoane!$C$6:$C$40,1)),A242&lt;=INDEX(Sezoane!$D$6:$D$40,MATCH(A242,Sezoane!$C$6:$C$40,1))),INDEX(Sezoane!$F$6:$F$40,MATCH(A242,Sezoane!$C$6:$C$40,1)),"")</f>
        <v/>
      </c>
      <c r="E242" s="44" t="str">
        <f aca="false">IF(AND(ISNUMBER(MATCH(A242,Sezoane!$C$6:$C$40,1)),A242&lt;=INDEX(Sezoane!$D$6:$D$40,MATCH(A242,Sezoane!$C$6:$C$40,1))),INDEX('Prețuri de setat'!$E$5:$E$39,MATCH(A242,Sezoane!$C$6:$C$40,1)),"")</f>
        <v/>
      </c>
      <c r="F242" s="44" t="str">
        <f aca="false">IF(AND(ISNUMBER(MATCH(A242,Sezoane!$C$6:$C$40,1)),A242&lt;=INDEX(Sezoane!$D$6:$D$40,MATCH(A242,Sezoane!$C$6:$C$40,1))),INDEX('Prețuri de setat'!$F$5:$F$39,MATCH(A242,Sezoane!$C$6:$C$40,1)),"")</f>
        <v/>
      </c>
      <c r="G242" s="44" t="str">
        <f aca="false">IF(AND(ISNUMBER(MATCH(A242,Sezoane!$C$6:$C$40,1)),A242&lt;=INDEX(Sezoane!$D$6:$D$40,MATCH(A242,Sezoane!$C$6:$C$40,1))),INDEX('Prețuri de setat'!$G$5:$G$39,MATCH(A242,Sezoane!$C$6:$C$40,1)),"")</f>
        <v/>
      </c>
      <c r="H242" s="44" t="str">
        <f aca="false">IF(AND(ISNUMBER(MATCH(A242,Sezoane!$C$6:$C$40,1)),A242&lt;=INDEX(Sezoane!$D$6:$D$40,MATCH(A242,Sezoane!$C$6:$C$40,1))),INDEX('Prețuri de setat'!$H$5:$H$39,MATCH(A242,Sezoane!$C$6:$C$40,1)),"")</f>
        <v/>
      </c>
      <c r="I242" s="44" t="str">
        <f aca="false">IF(AND(ISNUMBER(MATCH(A242,Sezoane!$C$6:$C$40,1)),A242&lt;=INDEX(Sezoane!$D$6:$D$40,MATCH(A242,Sezoane!$C$6:$C$40,1))),INDEX('Prețuri de setat'!$I$5:$I$39,MATCH(A242,Sezoane!$C$6:$C$40,1)),"")</f>
        <v/>
      </c>
    </row>
    <row r="243" customFormat="false" ht="15" hidden="false" customHeight="false" outlineLevel="0" collapsed="false">
      <c r="A243" s="41" t="n">
        <f aca="false">$B$2+238</f>
        <v>46554</v>
      </c>
      <c r="B243" s="42" t="str">
        <f aca="false">CHOOSE(WEEKDAY(A243,2),"Lu","Ma","Mi","Jo","Vi","Sâ","Du")</f>
        <v>Mi</v>
      </c>
      <c r="C243" s="42" t="str">
        <f aca="false">IF(AND(ISNUMBER(MATCH(A243,Sezoane!$C$6:$C$40,1)),A243&lt;=INDEX(Sezoane!$D$6:$D$40,MATCH(A243,Sezoane!$C$6:$C$40,1))),INDEX(Sezoane!$A$6:$A$40,MATCH(A243,Sezoane!$C$6:$C$40,1)),"⚠ fără sezon")</f>
        <v>⚠ fără sezon</v>
      </c>
      <c r="D243" s="42" t="str">
        <f aca="false">IF(AND(ISNUMBER(MATCH(A243,Sezoane!$C$6:$C$40,1)),A243&lt;=INDEX(Sezoane!$D$6:$D$40,MATCH(A243,Sezoane!$C$6:$C$40,1))),INDEX(Sezoane!$F$6:$F$40,MATCH(A243,Sezoane!$C$6:$C$40,1)),"")</f>
        <v/>
      </c>
      <c r="E243" s="44" t="str">
        <f aca="false">IF(AND(ISNUMBER(MATCH(A243,Sezoane!$C$6:$C$40,1)),A243&lt;=INDEX(Sezoane!$D$6:$D$40,MATCH(A243,Sezoane!$C$6:$C$40,1))),INDEX('Prețuri de setat'!$E$5:$E$39,MATCH(A243,Sezoane!$C$6:$C$40,1)),"")</f>
        <v/>
      </c>
      <c r="F243" s="44" t="str">
        <f aca="false">IF(AND(ISNUMBER(MATCH(A243,Sezoane!$C$6:$C$40,1)),A243&lt;=INDEX(Sezoane!$D$6:$D$40,MATCH(A243,Sezoane!$C$6:$C$40,1))),INDEX('Prețuri de setat'!$F$5:$F$39,MATCH(A243,Sezoane!$C$6:$C$40,1)),"")</f>
        <v/>
      </c>
      <c r="G243" s="44" t="str">
        <f aca="false">IF(AND(ISNUMBER(MATCH(A243,Sezoane!$C$6:$C$40,1)),A243&lt;=INDEX(Sezoane!$D$6:$D$40,MATCH(A243,Sezoane!$C$6:$C$40,1))),INDEX('Prețuri de setat'!$G$5:$G$39,MATCH(A243,Sezoane!$C$6:$C$40,1)),"")</f>
        <v/>
      </c>
      <c r="H243" s="44" t="str">
        <f aca="false">IF(AND(ISNUMBER(MATCH(A243,Sezoane!$C$6:$C$40,1)),A243&lt;=INDEX(Sezoane!$D$6:$D$40,MATCH(A243,Sezoane!$C$6:$C$40,1))),INDEX('Prețuri de setat'!$H$5:$H$39,MATCH(A243,Sezoane!$C$6:$C$40,1)),"")</f>
        <v/>
      </c>
      <c r="I243" s="44" t="str">
        <f aca="false">IF(AND(ISNUMBER(MATCH(A243,Sezoane!$C$6:$C$40,1)),A243&lt;=INDEX(Sezoane!$D$6:$D$40,MATCH(A243,Sezoane!$C$6:$C$40,1))),INDEX('Prețuri de setat'!$I$5:$I$39,MATCH(A243,Sezoane!$C$6:$C$40,1)),"")</f>
        <v/>
      </c>
    </row>
    <row r="244" customFormat="false" ht="15" hidden="false" customHeight="false" outlineLevel="0" collapsed="false">
      <c r="A244" s="41" t="n">
        <f aca="false">$B$2+239</f>
        <v>46555</v>
      </c>
      <c r="B244" s="42" t="str">
        <f aca="false">CHOOSE(WEEKDAY(A244,2),"Lu","Ma","Mi","Jo","Vi","Sâ","Du")</f>
        <v>Jo</v>
      </c>
      <c r="C244" s="42" t="str">
        <f aca="false">IF(AND(ISNUMBER(MATCH(A244,Sezoane!$C$6:$C$40,1)),A244&lt;=INDEX(Sezoane!$D$6:$D$40,MATCH(A244,Sezoane!$C$6:$C$40,1))),INDEX(Sezoane!$A$6:$A$40,MATCH(A244,Sezoane!$C$6:$C$40,1)),"⚠ fără sezon")</f>
        <v>⚠ fără sezon</v>
      </c>
      <c r="D244" s="42" t="str">
        <f aca="false">IF(AND(ISNUMBER(MATCH(A244,Sezoane!$C$6:$C$40,1)),A244&lt;=INDEX(Sezoane!$D$6:$D$40,MATCH(A244,Sezoane!$C$6:$C$40,1))),INDEX(Sezoane!$F$6:$F$40,MATCH(A244,Sezoane!$C$6:$C$40,1)),"")</f>
        <v/>
      </c>
      <c r="E244" s="44" t="str">
        <f aca="false">IF(AND(ISNUMBER(MATCH(A244,Sezoane!$C$6:$C$40,1)),A244&lt;=INDEX(Sezoane!$D$6:$D$40,MATCH(A244,Sezoane!$C$6:$C$40,1))),INDEX('Prețuri de setat'!$E$5:$E$39,MATCH(A244,Sezoane!$C$6:$C$40,1)),"")</f>
        <v/>
      </c>
      <c r="F244" s="44" t="str">
        <f aca="false">IF(AND(ISNUMBER(MATCH(A244,Sezoane!$C$6:$C$40,1)),A244&lt;=INDEX(Sezoane!$D$6:$D$40,MATCH(A244,Sezoane!$C$6:$C$40,1))),INDEX('Prețuri de setat'!$F$5:$F$39,MATCH(A244,Sezoane!$C$6:$C$40,1)),"")</f>
        <v/>
      </c>
      <c r="G244" s="44" t="str">
        <f aca="false">IF(AND(ISNUMBER(MATCH(A244,Sezoane!$C$6:$C$40,1)),A244&lt;=INDEX(Sezoane!$D$6:$D$40,MATCH(A244,Sezoane!$C$6:$C$40,1))),INDEX('Prețuri de setat'!$G$5:$G$39,MATCH(A244,Sezoane!$C$6:$C$40,1)),"")</f>
        <v/>
      </c>
      <c r="H244" s="44" t="str">
        <f aca="false">IF(AND(ISNUMBER(MATCH(A244,Sezoane!$C$6:$C$40,1)),A244&lt;=INDEX(Sezoane!$D$6:$D$40,MATCH(A244,Sezoane!$C$6:$C$40,1))),INDEX('Prețuri de setat'!$H$5:$H$39,MATCH(A244,Sezoane!$C$6:$C$40,1)),"")</f>
        <v/>
      </c>
      <c r="I244" s="44" t="str">
        <f aca="false">IF(AND(ISNUMBER(MATCH(A244,Sezoane!$C$6:$C$40,1)),A244&lt;=INDEX(Sezoane!$D$6:$D$40,MATCH(A244,Sezoane!$C$6:$C$40,1))),INDEX('Prețuri de setat'!$I$5:$I$39,MATCH(A244,Sezoane!$C$6:$C$40,1)),"")</f>
        <v/>
      </c>
    </row>
    <row r="245" customFormat="false" ht="15" hidden="false" customHeight="false" outlineLevel="0" collapsed="false">
      <c r="A245" s="41" t="n">
        <f aca="false">$B$2+240</f>
        <v>46556</v>
      </c>
      <c r="B245" s="42" t="str">
        <f aca="false">CHOOSE(WEEKDAY(A245,2),"Lu","Ma","Mi","Jo","Vi","Sâ","Du")</f>
        <v>Vi</v>
      </c>
      <c r="C245" s="42" t="str">
        <f aca="false">IF(AND(ISNUMBER(MATCH(A245,Sezoane!$C$6:$C$40,1)),A245&lt;=INDEX(Sezoane!$D$6:$D$40,MATCH(A245,Sezoane!$C$6:$C$40,1))),INDEX(Sezoane!$A$6:$A$40,MATCH(A245,Sezoane!$C$6:$C$40,1)),"⚠ fără sezon")</f>
        <v>⚠ fără sezon</v>
      </c>
      <c r="D245" s="42" t="str">
        <f aca="false">IF(AND(ISNUMBER(MATCH(A245,Sezoane!$C$6:$C$40,1)),A245&lt;=INDEX(Sezoane!$D$6:$D$40,MATCH(A245,Sezoane!$C$6:$C$40,1))),INDEX(Sezoane!$F$6:$F$40,MATCH(A245,Sezoane!$C$6:$C$40,1)),"")</f>
        <v/>
      </c>
      <c r="E245" s="44" t="str">
        <f aca="false">IF(AND(ISNUMBER(MATCH(A245,Sezoane!$C$6:$C$40,1)),A245&lt;=INDEX(Sezoane!$D$6:$D$40,MATCH(A245,Sezoane!$C$6:$C$40,1))),INDEX('Prețuri de setat'!$E$5:$E$39,MATCH(A245,Sezoane!$C$6:$C$40,1)),"")</f>
        <v/>
      </c>
      <c r="F245" s="44" t="str">
        <f aca="false">IF(AND(ISNUMBER(MATCH(A245,Sezoane!$C$6:$C$40,1)),A245&lt;=INDEX(Sezoane!$D$6:$D$40,MATCH(A245,Sezoane!$C$6:$C$40,1))),INDEX('Prețuri de setat'!$F$5:$F$39,MATCH(A245,Sezoane!$C$6:$C$40,1)),"")</f>
        <v/>
      </c>
      <c r="G245" s="44" t="str">
        <f aca="false">IF(AND(ISNUMBER(MATCH(A245,Sezoane!$C$6:$C$40,1)),A245&lt;=INDEX(Sezoane!$D$6:$D$40,MATCH(A245,Sezoane!$C$6:$C$40,1))),INDEX('Prețuri de setat'!$G$5:$G$39,MATCH(A245,Sezoane!$C$6:$C$40,1)),"")</f>
        <v/>
      </c>
      <c r="H245" s="44" t="str">
        <f aca="false">IF(AND(ISNUMBER(MATCH(A245,Sezoane!$C$6:$C$40,1)),A245&lt;=INDEX(Sezoane!$D$6:$D$40,MATCH(A245,Sezoane!$C$6:$C$40,1))),INDEX('Prețuri de setat'!$H$5:$H$39,MATCH(A245,Sezoane!$C$6:$C$40,1)),"")</f>
        <v/>
      </c>
      <c r="I245" s="44" t="str">
        <f aca="false">IF(AND(ISNUMBER(MATCH(A245,Sezoane!$C$6:$C$40,1)),A245&lt;=INDEX(Sezoane!$D$6:$D$40,MATCH(A245,Sezoane!$C$6:$C$40,1))),INDEX('Prețuri de setat'!$I$5:$I$39,MATCH(A245,Sezoane!$C$6:$C$40,1)),"")</f>
        <v/>
      </c>
    </row>
    <row r="246" customFormat="false" ht="15" hidden="false" customHeight="false" outlineLevel="0" collapsed="false">
      <c r="A246" s="41" t="n">
        <f aca="false">$B$2+241</f>
        <v>46557</v>
      </c>
      <c r="B246" s="42" t="str">
        <f aca="false">CHOOSE(WEEKDAY(A246,2),"Lu","Ma","Mi","Jo","Vi","Sâ","Du")</f>
        <v>Sâ</v>
      </c>
      <c r="C246" s="42" t="str">
        <f aca="false">IF(AND(ISNUMBER(MATCH(A246,Sezoane!$C$6:$C$40,1)),A246&lt;=INDEX(Sezoane!$D$6:$D$40,MATCH(A246,Sezoane!$C$6:$C$40,1))),INDEX(Sezoane!$A$6:$A$40,MATCH(A246,Sezoane!$C$6:$C$40,1)),"⚠ fără sezon")</f>
        <v>⚠ fără sezon</v>
      </c>
      <c r="D246" s="42" t="str">
        <f aca="false">IF(AND(ISNUMBER(MATCH(A246,Sezoane!$C$6:$C$40,1)),A246&lt;=INDEX(Sezoane!$D$6:$D$40,MATCH(A246,Sezoane!$C$6:$C$40,1))),INDEX(Sezoane!$F$6:$F$40,MATCH(A246,Sezoane!$C$6:$C$40,1)),"")</f>
        <v/>
      </c>
      <c r="E246" s="44" t="str">
        <f aca="false">IF(AND(ISNUMBER(MATCH(A246,Sezoane!$C$6:$C$40,1)),A246&lt;=INDEX(Sezoane!$D$6:$D$40,MATCH(A246,Sezoane!$C$6:$C$40,1))),INDEX('Prețuri de setat'!$E$5:$E$39,MATCH(A246,Sezoane!$C$6:$C$40,1)),"")</f>
        <v/>
      </c>
      <c r="F246" s="44" t="str">
        <f aca="false">IF(AND(ISNUMBER(MATCH(A246,Sezoane!$C$6:$C$40,1)),A246&lt;=INDEX(Sezoane!$D$6:$D$40,MATCH(A246,Sezoane!$C$6:$C$40,1))),INDEX('Prețuri de setat'!$F$5:$F$39,MATCH(A246,Sezoane!$C$6:$C$40,1)),"")</f>
        <v/>
      </c>
      <c r="G246" s="44" t="str">
        <f aca="false">IF(AND(ISNUMBER(MATCH(A246,Sezoane!$C$6:$C$40,1)),A246&lt;=INDEX(Sezoane!$D$6:$D$40,MATCH(A246,Sezoane!$C$6:$C$40,1))),INDEX('Prețuri de setat'!$G$5:$G$39,MATCH(A246,Sezoane!$C$6:$C$40,1)),"")</f>
        <v/>
      </c>
      <c r="H246" s="44" t="str">
        <f aca="false">IF(AND(ISNUMBER(MATCH(A246,Sezoane!$C$6:$C$40,1)),A246&lt;=INDEX(Sezoane!$D$6:$D$40,MATCH(A246,Sezoane!$C$6:$C$40,1))),INDEX('Prețuri de setat'!$H$5:$H$39,MATCH(A246,Sezoane!$C$6:$C$40,1)),"")</f>
        <v/>
      </c>
      <c r="I246" s="44" t="str">
        <f aca="false">IF(AND(ISNUMBER(MATCH(A246,Sezoane!$C$6:$C$40,1)),A246&lt;=INDEX(Sezoane!$D$6:$D$40,MATCH(A246,Sezoane!$C$6:$C$40,1))),INDEX('Prețuri de setat'!$I$5:$I$39,MATCH(A246,Sezoane!$C$6:$C$40,1)),"")</f>
        <v/>
      </c>
    </row>
    <row r="247" customFormat="false" ht="15" hidden="false" customHeight="false" outlineLevel="0" collapsed="false">
      <c r="A247" s="41" t="n">
        <f aca="false">$B$2+242</f>
        <v>46558</v>
      </c>
      <c r="B247" s="42" t="str">
        <f aca="false">CHOOSE(WEEKDAY(A247,2),"Lu","Ma","Mi","Jo","Vi","Sâ","Du")</f>
        <v>Du</v>
      </c>
      <c r="C247" s="42" t="str">
        <f aca="false">IF(AND(ISNUMBER(MATCH(A247,Sezoane!$C$6:$C$40,1)),A247&lt;=INDEX(Sezoane!$D$6:$D$40,MATCH(A247,Sezoane!$C$6:$C$40,1))),INDEX(Sezoane!$A$6:$A$40,MATCH(A247,Sezoane!$C$6:$C$40,1)),"⚠ fără sezon")</f>
        <v>⚠ fără sezon</v>
      </c>
      <c r="D247" s="42" t="str">
        <f aca="false">IF(AND(ISNUMBER(MATCH(A247,Sezoane!$C$6:$C$40,1)),A247&lt;=INDEX(Sezoane!$D$6:$D$40,MATCH(A247,Sezoane!$C$6:$C$40,1))),INDEX(Sezoane!$F$6:$F$40,MATCH(A247,Sezoane!$C$6:$C$40,1)),"")</f>
        <v/>
      </c>
      <c r="E247" s="44" t="str">
        <f aca="false">IF(AND(ISNUMBER(MATCH(A247,Sezoane!$C$6:$C$40,1)),A247&lt;=INDEX(Sezoane!$D$6:$D$40,MATCH(A247,Sezoane!$C$6:$C$40,1))),INDEX('Prețuri de setat'!$E$5:$E$39,MATCH(A247,Sezoane!$C$6:$C$40,1)),"")</f>
        <v/>
      </c>
      <c r="F247" s="44" t="str">
        <f aca="false">IF(AND(ISNUMBER(MATCH(A247,Sezoane!$C$6:$C$40,1)),A247&lt;=INDEX(Sezoane!$D$6:$D$40,MATCH(A247,Sezoane!$C$6:$C$40,1))),INDEX('Prețuri de setat'!$F$5:$F$39,MATCH(A247,Sezoane!$C$6:$C$40,1)),"")</f>
        <v/>
      </c>
      <c r="G247" s="44" t="str">
        <f aca="false">IF(AND(ISNUMBER(MATCH(A247,Sezoane!$C$6:$C$40,1)),A247&lt;=INDEX(Sezoane!$D$6:$D$40,MATCH(A247,Sezoane!$C$6:$C$40,1))),INDEX('Prețuri de setat'!$G$5:$G$39,MATCH(A247,Sezoane!$C$6:$C$40,1)),"")</f>
        <v/>
      </c>
      <c r="H247" s="44" t="str">
        <f aca="false">IF(AND(ISNUMBER(MATCH(A247,Sezoane!$C$6:$C$40,1)),A247&lt;=INDEX(Sezoane!$D$6:$D$40,MATCH(A247,Sezoane!$C$6:$C$40,1))),INDEX('Prețuri de setat'!$H$5:$H$39,MATCH(A247,Sezoane!$C$6:$C$40,1)),"")</f>
        <v/>
      </c>
      <c r="I247" s="44" t="str">
        <f aca="false">IF(AND(ISNUMBER(MATCH(A247,Sezoane!$C$6:$C$40,1)),A247&lt;=INDEX(Sezoane!$D$6:$D$40,MATCH(A247,Sezoane!$C$6:$C$40,1))),INDEX('Prețuri de setat'!$I$5:$I$39,MATCH(A247,Sezoane!$C$6:$C$40,1)),"")</f>
        <v/>
      </c>
    </row>
    <row r="248" customFormat="false" ht="15" hidden="false" customHeight="false" outlineLevel="0" collapsed="false">
      <c r="A248" s="41" t="n">
        <f aca="false">$B$2+243</f>
        <v>46559</v>
      </c>
      <c r="B248" s="42" t="str">
        <f aca="false">CHOOSE(WEEKDAY(A248,2),"Lu","Ma","Mi","Jo","Vi","Sâ","Du")</f>
        <v>Lu</v>
      </c>
      <c r="C248" s="42" t="str">
        <f aca="false">IF(AND(ISNUMBER(MATCH(A248,Sezoane!$C$6:$C$40,1)),A248&lt;=INDEX(Sezoane!$D$6:$D$40,MATCH(A248,Sezoane!$C$6:$C$40,1))),INDEX(Sezoane!$A$6:$A$40,MATCH(A248,Sezoane!$C$6:$C$40,1)),"⚠ fără sezon")</f>
        <v>⚠ fără sezon</v>
      </c>
      <c r="D248" s="42" t="str">
        <f aca="false">IF(AND(ISNUMBER(MATCH(A248,Sezoane!$C$6:$C$40,1)),A248&lt;=INDEX(Sezoane!$D$6:$D$40,MATCH(A248,Sezoane!$C$6:$C$40,1))),INDEX(Sezoane!$F$6:$F$40,MATCH(A248,Sezoane!$C$6:$C$40,1)),"")</f>
        <v/>
      </c>
      <c r="E248" s="44" t="str">
        <f aca="false">IF(AND(ISNUMBER(MATCH(A248,Sezoane!$C$6:$C$40,1)),A248&lt;=INDEX(Sezoane!$D$6:$D$40,MATCH(A248,Sezoane!$C$6:$C$40,1))),INDEX('Prețuri de setat'!$E$5:$E$39,MATCH(A248,Sezoane!$C$6:$C$40,1)),"")</f>
        <v/>
      </c>
      <c r="F248" s="44" t="str">
        <f aca="false">IF(AND(ISNUMBER(MATCH(A248,Sezoane!$C$6:$C$40,1)),A248&lt;=INDEX(Sezoane!$D$6:$D$40,MATCH(A248,Sezoane!$C$6:$C$40,1))),INDEX('Prețuri de setat'!$F$5:$F$39,MATCH(A248,Sezoane!$C$6:$C$40,1)),"")</f>
        <v/>
      </c>
      <c r="G248" s="44" t="str">
        <f aca="false">IF(AND(ISNUMBER(MATCH(A248,Sezoane!$C$6:$C$40,1)),A248&lt;=INDEX(Sezoane!$D$6:$D$40,MATCH(A248,Sezoane!$C$6:$C$40,1))),INDEX('Prețuri de setat'!$G$5:$G$39,MATCH(A248,Sezoane!$C$6:$C$40,1)),"")</f>
        <v/>
      </c>
      <c r="H248" s="44" t="str">
        <f aca="false">IF(AND(ISNUMBER(MATCH(A248,Sezoane!$C$6:$C$40,1)),A248&lt;=INDEX(Sezoane!$D$6:$D$40,MATCH(A248,Sezoane!$C$6:$C$40,1))),INDEX('Prețuri de setat'!$H$5:$H$39,MATCH(A248,Sezoane!$C$6:$C$40,1)),"")</f>
        <v/>
      </c>
      <c r="I248" s="44" t="str">
        <f aca="false">IF(AND(ISNUMBER(MATCH(A248,Sezoane!$C$6:$C$40,1)),A248&lt;=INDEX(Sezoane!$D$6:$D$40,MATCH(A248,Sezoane!$C$6:$C$40,1))),INDEX('Prețuri de setat'!$I$5:$I$39,MATCH(A248,Sezoane!$C$6:$C$40,1)),"")</f>
        <v/>
      </c>
    </row>
    <row r="249" customFormat="false" ht="15" hidden="false" customHeight="false" outlineLevel="0" collapsed="false">
      <c r="A249" s="41" t="n">
        <f aca="false">$B$2+244</f>
        <v>46560</v>
      </c>
      <c r="B249" s="42" t="str">
        <f aca="false">CHOOSE(WEEKDAY(A249,2),"Lu","Ma","Mi","Jo","Vi","Sâ","Du")</f>
        <v>Ma</v>
      </c>
      <c r="C249" s="42" t="str">
        <f aca="false">IF(AND(ISNUMBER(MATCH(A249,Sezoane!$C$6:$C$40,1)),A249&lt;=INDEX(Sezoane!$D$6:$D$40,MATCH(A249,Sezoane!$C$6:$C$40,1))),INDEX(Sezoane!$A$6:$A$40,MATCH(A249,Sezoane!$C$6:$C$40,1)),"⚠ fără sezon")</f>
        <v>⚠ fără sezon</v>
      </c>
      <c r="D249" s="42" t="str">
        <f aca="false">IF(AND(ISNUMBER(MATCH(A249,Sezoane!$C$6:$C$40,1)),A249&lt;=INDEX(Sezoane!$D$6:$D$40,MATCH(A249,Sezoane!$C$6:$C$40,1))),INDEX(Sezoane!$F$6:$F$40,MATCH(A249,Sezoane!$C$6:$C$40,1)),"")</f>
        <v/>
      </c>
      <c r="E249" s="44" t="str">
        <f aca="false">IF(AND(ISNUMBER(MATCH(A249,Sezoane!$C$6:$C$40,1)),A249&lt;=INDEX(Sezoane!$D$6:$D$40,MATCH(A249,Sezoane!$C$6:$C$40,1))),INDEX('Prețuri de setat'!$E$5:$E$39,MATCH(A249,Sezoane!$C$6:$C$40,1)),"")</f>
        <v/>
      </c>
      <c r="F249" s="44" t="str">
        <f aca="false">IF(AND(ISNUMBER(MATCH(A249,Sezoane!$C$6:$C$40,1)),A249&lt;=INDEX(Sezoane!$D$6:$D$40,MATCH(A249,Sezoane!$C$6:$C$40,1))),INDEX('Prețuri de setat'!$F$5:$F$39,MATCH(A249,Sezoane!$C$6:$C$40,1)),"")</f>
        <v/>
      </c>
      <c r="G249" s="44" t="str">
        <f aca="false">IF(AND(ISNUMBER(MATCH(A249,Sezoane!$C$6:$C$40,1)),A249&lt;=INDEX(Sezoane!$D$6:$D$40,MATCH(A249,Sezoane!$C$6:$C$40,1))),INDEX('Prețuri de setat'!$G$5:$G$39,MATCH(A249,Sezoane!$C$6:$C$40,1)),"")</f>
        <v/>
      </c>
      <c r="H249" s="44" t="str">
        <f aca="false">IF(AND(ISNUMBER(MATCH(A249,Sezoane!$C$6:$C$40,1)),A249&lt;=INDEX(Sezoane!$D$6:$D$40,MATCH(A249,Sezoane!$C$6:$C$40,1))),INDEX('Prețuri de setat'!$H$5:$H$39,MATCH(A249,Sezoane!$C$6:$C$40,1)),"")</f>
        <v/>
      </c>
      <c r="I249" s="44" t="str">
        <f aca="false">IF(AND(ISNUMBER(MATCH(A249,Sezoane!$C$6:$C$40,1)),A249&lt;=INDEX(Sezoane!$D$6:$D$40,MATCH(A249,Sezoane!$C$6:$C$40,1))),INDEX('Prețuri de setat'!$I$5:$I$39,MATCH(A249,Sezoane!$C$6:$C$40,1)),"")</f>
        <v/>
      </c>
    </row>
    <row r="250" customFormat="false" ht="15" hidden="false" customHeight="false" outlineLevel="0" collapsed="false">
      <c r="A250" s="41" t="n">
        <f aca="false">$B$2+245</f>
        <v>46561</v>
      </c>
      <c r="B250" s="42" t="str">
        <f aca="false">CHOOSE(WEEKDAY(A250,2),"Lu","Ma","Mi","Jo","Vi","Sâ","Du")</f>
        <v>Mi</v>
      </c>
      <c r="C250" s="42" t="str">
        <f aca="false">IF(AND(ISNUMBER(MATCH(A250,Sezoane!$C$6:$C$40,1)),A250&lt;=INDEX(Sezoane!$D$6:$D$40,MATCH(A250,Sezoane!$C$6:$C$40,1))),INDEX(Sezoane!$A$6:$A$40,MATCH(A250,Sezoane!$C$6:$C$40,1)),"⚠ fără sezon")</f>
        <v>⚠ fără sezon</v>
      </c>
      <c r="D250" s="42" t="str">
        <f aca="false">IF(AND(ISNUMBER(MATCH(A250,Sezoane!$C$6:$C$40,1)),A250&lt;=INDEX(Sezoane!$D$6:$D$40,MATCH(A250,Sezoane!$C$6:$C$40,1))),INDEX(Sezoane!$F$6:$F$40,MATCH(A250,Sezoane!$C$6:$C$40,1)),"")</f>
        <v/>
      </c>
      <c r="E250" s="44" t="str">
        <f aca="false">IF(AND(ISNUMBER(MATCH(A250,Sezoane!$C$6:$C$40,1)),A250&lt;=INDEX(Sezoane!$D$6:$D$40,MATCH(A250,Sezoane!$C$6:$C$40,1))),INDEX('Prețuri de setat'!$E$5:$E$39,MATCH(A250,Sezoane!$C$6:$C$40,1)),"")</f>
        <v/>
      </c>
      <c r="F250" s="44" t="str">
        <f aca="false">IF(AND(ISNUMBER(MATCH(A250,Sezoane!$C$6:$C$40,1)),A250&lt;=INDEX(Sezoane!$D$6:$D$40,MATCH(A250,Sezoane!$C$6:$C$40,1))),INDEX('Prețuri de setat'!$F$5:$F$39,MATCH(A250,Sezoane!$C$6:$C$40,1)),"")</f>
        <v/>
      </c>
      <c r="G250" s="44" t="str">
        <f aca="false">IF(AND(ISNUMBER(MATCH(A250,Sezoane!$C$6:$C$40,1)),A250&lt;=INDEX(Sezoane!$D$6:$D$40,MATCH(A250,Sezoane!$C$6:$C$40,1))),INDEX('Prețuri de setat'!$G$5:$G$39,MATCH(A250,Sezoane!$C$6:$C$40,1)),"")</f>
        <v/>
      </c>
      <c r="H250" s="44" t="str">
        <f aca="false">IF(AND(ISNUMBER(MATCH(A250,Sezoane!$C$6:$C$40,1)),A250&lt;=INDEX(Sezoane!$D$6:$D$40,MATCH(A250,Sezoane!$C$6:$C$40,1))),INDEX('Prețuri de setat'!$H$5:$H$39,MATCH(A250,Sezoane!$C$6:$C$40,1)),"")</f>
        <v/>
      </c>
      <c r="I250" s="44" t="str">
        <f aca="false">IF(AND(ISNUMBER(MATCH(A250,Sezoane!$C$6:$C$40,1)),A250&lt;=INDEX(Sezoane!$D$6:$D$40,MATCH(A250,Sezoane!$C$6:$C$40,1))),INDEX('Prețuri de setat'!$I$5:$I$39,MATCH(A250,Sezoane!$C$6:$C$40,1)),"")</f>
        <v/>
      </c>
    </row>
    <row r="251" customFormat="false" ht="15" hidden="false" customHeight="false" outlineLevel="0" collapsed="false">
      <c r="A251" s="41" t="n">
        <f aca="false">$B$2+246</f>
        <v>46562</v>
      </c>
      <c r="B251" s="42" t="str">
        <f aca="false">CHOOSE(WEEKDAY(A251,2),"Lu","Ma","Mi","Jo","Vi","Sâ","Du")</f>
        <v>Jo</v>
      </c>
      <c r="C251" s="42" t="str">
        <f aca="false">IF(AND(ISNUMBER(MATCH(A251,Sezoane!$C$6:$C$40,1)),A251&lt;=INDEX(Sezoane!$D$6:$D$40,MATCH(A251,Sezoane!$C$6:$C$40,1))),INDEX(Sezoane!$A$6:$A$40,MATCH(A251,Sezoane!$C$6:$C$40,1)),"⚠ fără sezon")</f>
        <v>⚠ fără sezon</v>
      </c>
      <c r="D251" s="42" t="str">
        <f aca="false">IF(AND(ISNUMBER(MATCH(A251,Sezoane!$C$6:$C$40,1)),A251&lt;=INDEX(Sezoane!$D$6:$D$40,MATCH(A251,Sezoane!$C$6:$C$40,1))),INDEX(Sezoane!$F$6:$F$40,MATCH(A251,Sezoane!$C$6:$C$40,1)),"")</f>
        <v/>
      </c>
      <c r="E251" s="44" t="str">
        <f aca="false">IF(AND(ISNUMBER(MATCH(A251,Sezoane!$C$6:$C$40,1)),A251&lt;=INDEX(Sezoane!$D$6:$D$40,MATCH(A251,Sezoane!$C$6:$C$40,1))),INDEX('Prețuri de setat'!$E$5:$E$39,MATCH(A251,Sezoane!$C$6:$C$40,1)),"")</f>
        <v/>
      </c>
      <c r="F251" s="44" t="str">
        <f aca="false">IF(AND(ISNUMBER(MATCH(A251,Sezoane!$C$6:$C$40,1)),A251&lt;=INDEX(Sezoane!$D$6:$D$40,MATCH(A251,Sezoane!$C$6:$C$40,1))),INDEX('Prețuri de setat'!$F$5:$F$39,MATCH(A251,Sezoane!$C$6:$C$40,1)),"")</f>
        <v/>
      </c>
      <c r="G251" s="44" t="str">
        <f aca="false">IF(AND(ISNUMBER(MATCH(A251,Sezoane!$C$6:$C$40,1)),A251&lt;=INDEX(Sezoane!$D$6:$D$40,MATCH(A251,Sezoane!$C$6:$C$40,1))),INDEX('Prețuri de setat'!$G$5:$G$39,MATCH(A251,Sezoane!$C$6:$C$40,1)),"")</f>
        <v/>
      </c>
      <c r="H251" s="44" t="str">
        <f aca="false">IF(AND(ISNUMBER(MATCH(A251,Sezoane!$C$6:$C$40,1)),A251&lt;=INDEX(Sezoane!$D$6:$D$40,MATCH(A251,Sezoane!$C$6:$C$40,1))),INDEX('Prețuri de setat'!$H$5:$H$39,MATCH(A251,Sezoane!$C$6:$C$40,1)),"")</f>
        <v/>
      </c>
      <c r="I251" s="44" t="str">
        <f aca="false">IF(AND(ISNUMBER(MATCH(A251,Sezoane!$C$6:$C$40,1)),A251&lt;=INDEX(Sezoane!$D$6:$D$40,MATCH(A251,Sezoane!$C$6:$C$40,1))),INDEX('Prețuri de setat'!$I$5:$I$39,MATCH(A251,Sezoane!$C$6:$C$40,1)),"")</f>
        <v/>
      </c>
    </row>
    <row r="252" customFormat="false" ht="15" hidden="false" customHeight="false" outlineLevel="0" collapsed="false">
      <c r="A252" s="41" t="n">
        <f aca="false">$B$2+247</f>
        <v>46563</v>
      </c>
      <c r="B252" s="42" t="str">
        <f aca="false">CHOOSE(WEEKDAY(A252,2),"Lu","Ma","Mi","Jo","Vi","Sâ","Du")</f>
        <v>Vi</v>
      </c>
      <c r="C252" s="42" t="str">
        <f aca="false">IF(AND(ISNUMBER(MATCH(A252,Sezoane!$C$6:$C$40,1)),A252&lt;=INDEX(Sezoane!$D$6:$D$40,MATCH(A252,Sezoane!$C$6:$C$40,1))),INDEX(Sezoane!$A$6:$A$40,MATCH(A252,Sezoane!$C$6:$C$40,1)),"⚠ fără sezon")</f>
        <v>⚠ fără sezon</v>
      </c>
      <c r="D252" s="42" t="str">
        <f aca="false">IF(AND(ISNUMBER(MATCH(A252,Sezoane!$C$6:$C$40,1)),A252&lt;=INDEX(Sezoane!$D$6:$D$40,MATCH(A252,Sezoane!$C$6:$C$40,1))),INDEX(Sezoane!$F$6:$F$40,MATCH(A252,Sezoane!$C$6:$C$40,1)),"")</f>
        <v/>
      </c>
      <c r="E252" s="44" t="str">
        <f aca="false">IF(AND(ISNUMBER(MATCH(A252,Sezoane!$C$6:$C$40,1)),A252&lt;=INDEX(Sezoane!$D$6:$D$40,MATCH(A252,Sezoane!$C$6:$C$40,1))),INDEX('Prețuri de setat'!$E$5:$E$39,MATCH(A252,Sezoane!$C$6:$C$40,1)),"")</f>
        <v/>
      </c>
      <c r="F252" s="44" t="str">
        <f aca="false">IF(AND(ISNUMBER(MATCH(A252,Sezoane!$C$6:$C$40,1)),A252&lt;=INDEX(Sezoane!$D$6:$D$40,MATCH(A252,Sezoane!$C$6:$C$40,1))),INDEX('Prețuri de setat'!$F$5:$F$39,MATCH(A252,Sezoane!$C$6:$C$40,1)),"")</f>
        <v/>
      </c>
      <c r="G252" s="44" t="str">
        <f aca="false">IF(AND(ISNUMBER(MATCH(A252,Sezoane!$C$6:$C$40,1)),A252&lt;=INDEX(Sezoane!$D$6:$D$40,MATCH(A252,Sezoane!$C$6:$C$40,1))),INDEX('Prețuri de setat'!$G$5:$G$39,MATCH(A252,Sezoane!$C$6:$C$40,1)),"")</f>
        <v/>
      </c>
      <c r="H252" s="44" t="str">
        <f aca="false">IF(AND(ISNUMBER(MATCH(A252,Sezoane!$C$6:$C$40,1)),A252&lt;=INDEX(Sezoane!$D$6:$D$40,MATCH(A252,Sezoane!$C$6:$C$40,1))),INDEX('Prețuri de setat'!$H$5:$H$39,MATCH(A252,Sezoane!$C$6:$C$40,1)),"")</f>
        <v/>
      </c>
      <c r="I252" s="44" t="str">
        <f aca="false">IF(AND(ISNUMBER(MATCH(A252,Sezoane!$C$6:$C$40,1)),A252&lt;=INDEX(Sezoane!$D$6:$D$40,MATCH(A252,Sezoane!$C$6:$C$40,1))),INDEX('Prețuri de setat'!$I$5:$I$39,MATCH(A252,Sezoane!$C$6:$C$40,1)),"")</f>
        <v/>
      </c>
    </row>
    <row r="253" customFormat="false" ht="15" hidden="false" customHeight="false" outlineLevel="0" collapsed="false">
      <c r="A253" s="41" t="n">
        <f aca="false">$B$2+248</f>
        <v>46564</v>
      </c>
      <c r="B253" s="42" t="str">
        <f aca="false">CHOOSE(WEEKDAY(A253,2),"Lu","Ma","Mi","Jo","Vi","Sâ","Du")</f>
        <v>Sâ</v>
      </c>
      <c r="C253" s="42" t="str">
        <f aca="false">IF(AND(ISNUMBER(MATCH(A253,Sezoane!$C$6:$C$40,1)),A253&lt;=INDEX(Sezoane!$D$6:$D$40,MATCH(A253,Sezoane!$C$6:$C$40,1))),INDEX(Sezoane!$A$6:$A$40,MATCH(A253,Sezoane!$C$6:$C$40,1)),"⚠ fără sezon")</f>
        <v>⚠ fără sezon</v>
      </c>
      <c r="D253" s="42" t="str">
        <f aca="false">IF(AND(ISNUMBER(MATCH(A253,Sezoane!$C$6:$C$40,1)),A253&lt;=INDEX(Sezoane!$D$6:$D$40,MATCH(A253,Sezoane!$C$6:$C$40,1))),INDEX(Sezoane!$F$6:$F$40,MATCH(A253,Sezoane!$C$6:$C$40,1)),"")</f>
        <v/>
      </c>
      <c r="E253" s="44" t="str">
        <f aca="false">IF(AND(ISNUMBER(MATCH(A253,Sezoane!$C$6:$C$40,1)),A253&lt;=INDEX(Sezoane!$D$6:$D$40,MATCH(A253,Sezoane!$C$6:$C$40,1))),INDEX('Prețuri de setat'!$E$5:$E$39,MATCH(A253,Sezoane!$C$6:$C$40,1)),"")</f>
        <v/>
      </c>
      <c r="F253" s="44" t="str">
        <f aca="false">IF(AND(ISNUMBER(MATCH(A253,Sezoane!$C$6:$C$40,1)),A253&lt;=INDEX(Sezoane!$D$6:$D$40,MATCH(A253,Sezoane!$C$6:$C$40,1))),INDEX('Prețuri de setat'!$F$5:$F$39,MATCH(A253,Sezoane!$C$6:$C$40,1)),"")</f>
        <v/>
      </c>
      <c r="G253" s="44" t="str">
        <f aca="false">IF(AND(ISNUMBER(MATCH(A253,Sezoane!$C$6:$C$40,1)),A253&lt;=INDEX(Sezoane!$D$6:$D$40,MATCH(A253,Sezoane!$C$6:$C$40,1))),INDEX('Prețuri de setat'!$G$5:$G$39,MATCH(A253,Sezoane!$C$6:$C$40,1)),"")</f>
        <v/>
      </c>
      <c r="H253" s="44" t="str">
        <f aca="false">IF(AND(ISNUMBER(MATCH(A253,Sezoane!$C$6:$C$40,1)),A253&lt;=INDEX(Sezoane!$D$6:$D$40,MATCH(A253,Sezoane!$C$6:$C$40,1))),INDEX('Prețuri de setat'!$H$5:$H$39,MATCH(A253,Sezoane!$C$6:$C$40,1)),"")</f>
        <v/>
      </c>
      <c r="I253" s="44" t="str">
        <f aca="false">IF(AND(ISNUMBER(MATCH(A253,Sezoane!$C$6:$C$40,1)),A253&lt;=INDEX(Sezoane!$D$6:$D$40,MATCH(A253,Sezoane!$C$6:$C$40,1))),INDEX('Prețuri de setat'!$I$5:$I$39,MATCH(A253,Sezoane!$C$6:$C$40,1)),"")</f>
        <v/>
      </c>
    </row>
    <row r="254" customFormat="false" ht="15" hidden="false" customHeight="false" outlineLevel="0" collapsed="false">
      <c r="A254" s="41" t="n">
        <f aca="false">$B$2+249</f>
        <v>46565</v>
      </c>
      <c r="B254" s="42" t="str">
        <f aca="false">CHOOSE(WEEKDAY(A254,2),"Lu","Ma","Mi","Jo","Vi","Sâ","Du")</f>
        <v>Du</v>
      </c>
      <c r="C254" s="42" t="str">
        <f aca="false">IF(AND(ISNUMBER(MATCH(A254,Sezoane!$C$6:$C$40,1)),A254&lt;=INDEX(Sezoane!$D$6:$D$40,MATCH(A254,Sezoane!$C$6:$C$40,1))),INDEX(Sezoane!$A$6:$A$40,MATCH(A254,Sezoane!$C$6:$C$40,1)),"⚠ fără sezon")</f>
        <v>⚠ fără sezon</v>
      </c>
      <c r="D254" s="42" t="str">
        <f aca="false">IF(AND(ISNUMBER(MATCH(A254,Sezoane!$C$6:$C$40,1)),A254&lt;=INDEX(Sezoane!$D$6:$D$40,MATCH(A254,Sezoane!$C$6:$C$40,1))),INDEX(Sezoane!$F$6:$F$40,MATCH(A254,Sezoane!$C$6:$C$40,1)),"")</f>
        <v/>
      </c>
      <c r="E254" s="44" t="str">
        <f aca="false">IF(AND(ISNUMBER(MATCH(A254,Sezoane!$C$6:$C$40,1)),A254&lt;=INDEX(Sezoane!$D$6:$D$40,MATCH(A254,Sezoane!$C$6:$C$40,1))),INDEX('Prețuri de setat'!$E$5:$E$39,MATCH(A254,Sezoane!$C$6:$C$40,1)),"")</f>
        <v/>
      </c>
      <c r="F254" s="44" t="str">
        <f aca="false">IF(AND(ISNUMBER(MATCH(A254,Sezoane!$C$6:$C$40,1)),A254&lt;=INDEX(Sezoane!$D$6:$D$40,MATCH(A254,Sezoane!$C$6:$C$40,1))),INDEX('Prețuri de setat'!$F$5:$F$39,MATCH(A254,Sezoane!$C$6:$C$40,1)),"")</f>
        <v/>
      </c>
      <c r="G254" s="44" t="str">
        <f aca="false">IF(AND(ISNUMBER(MATCH(A254,Sezoane!$C$6:$C$40,1)),A254&lt;=INDEX(Sezoane!$D$6:$D$40,MATCH(A254,Sezoane!$C$6:$C$40,1))),INDEX('Prețuri de setat'!$G$5:$G$39,MATCH(A254,Sezoane!$C$6:$C$40,1)),"")</f>
        <v/>
      </c>
      <c r="H254" s="44" t="str">
        <f aca="false">IF(AND(ISNUMBER(MATCH(A254,Sezoane!$C$6:$C$40,1)),A254&lt;=INDEX(Sezoane!$D$6:$D$40,MATCH(A254,Sezoane!$C$6:$C$40,1))),INDEX('Prețuri de setat'!$H$5:$H$39,MATCH(A254,Sezoane!$C$6:$C$40,1)),"")</f>
        <v/>
      </c>
      <c r="I254" s="44" t="str">
        <f aca="false">IF(AND(ISNUMBER(MATCH(A254,Sezoane!$C$6:$C$40,1)),A254&lt;=INDEX(Sezoane!$D$6:$D$40,MATCH(A254,Sezoane!$C$6:$C$40,1))),INDEX('Prețuri de setat'!$I$5:$I$39,MATCH(A254,Sezoane!$C$6:$C$40,1)),"")</f>
        <v/>
      </c>
    </row>
    <row r="255" customFormat="false" ht="15" hidden="false" customHeight="false" outlineLevel="0" collapsed="false">
      <c r="A255" s="41" t="n">
        <f aca="false">$B$2+250</f>
        <v>46566</v>
      </c>
      <c r="B255" s="42" t="str">
        <f aca="false">CHOOSE(WEEKDAY(A255,2),"Lu","Ma","Mi","Jo","Vi","Sâ","Du")</f>
        <v>Lu</v>
      </c>
      <c r="C255" s="42" t="str">
        <f aca="false">IF(AND(ISNUMBER(MATCH(A255,Sezoane!$C$6:$C$40,1)),A255&lt;=INDEX(Sezoane!$D$6:$D$40,MATCH(A255,Sezoane!$C$6:$C$40,1))),INDEX(Sezoane!$A$6:$A$40,MATCH(A255,Sezoane!$C$6:$C$40,1)),"⚠ fără sezon")</f>
        <v>⚠ fără sezon</v>
      </c>
      <c r="D255" s="42" t="str">
        <f aca="false">IF(AND(ISNUMBER(MATCH(A255,Sezoane!$C$6:$C$40,1)),A255&lt;=INDEX(Sezoane!$D$6:$D$40,MATCH(A255,Sezoane!$C$6:$C$40,1))),INDEX(Sezoane!$F$6:$F$40,MATCH(A255,Sezoane!$C$6:$C$40,1)),"")</f>
        <v/>
      </c>
      <c r="E255" s="44" t="str">
        <f aca="false">IF(AND(ISNUMBER(MATCH(A255,Sezoane!$C$6:$C$40,1)),A255&lt;=INDEX(Sezoane!$D$6:$D$40,MATCH(A255,Sezoane!$C$6:$C$40,1))),INDEX('Prețuri de setat'!$E$5:$E$39,MATCH(A255,Sezoane!$C$6:$C$40,1)),"")</f>
        <v/>
      </c>
      <c r="F255" s="44" t="str">
        <f aca="false">IF(AND(ISNUMBER(MATCH(A255,Sezoane!$C$6:$C$40,1)),A255&lt;=INDEX(Sezoane!$D$6:$D$40,MATCH(A255,Sezoane!$C$6:$C$40,1))),INDEX('Prețuri de setat'!$F$5:$F$39,MATCH(A255,Sezoane!$C$6:$C$40,1)),"")</f>
        <v/>
      </c>
      <c r="G255" s="44" t="str">
        <f aca="false">IF(AND(ISNUMBER(MATCH(A255,Sezoane!$C$6:$C$40,1)),A255&lt;=INDEX(Sezoane!$D$6:$D$40,MATCH(A255,Sezoane!$C$6:$C$40,1))),INDEX('Prețuri de setat'!$G$5:$G$39,MATCH(A255,Sezoane!$C$6:$C$40,1)),"")</f>
        <v/>
      </c>
      <c r="H255" s="44" t="str">
        <f aca="false">IF(AND(ISNUMBER(MATCH(A255,Sezoane!$C$6:$C$40,1)),A255&lt;=INDEX(Sezoane!$D$6:$D$40,MATCH(A255,Sezoane!$C$6:$C$40,1))),INDEX('Prețuri de setat'!$H$5:$H$39,MATCH(A255,Sezoane!$C$6:$C$40,1)),"")</f>
        <v/>
      </c>
      <c r="I255" s="44" t="str">
        <f aca="false">IF(AND(ISNUMBER(MATCH(A255,Sezoane!$C$6:$C$40,1)),A255&lt;=INDEX(Sezoane!$D$6:$D$40,MATCH(A255,Sezoane!$C$6:$C$40,1))),INDEX('Prețuri de setat'!$I$5:$I$39,MATCH(A255,Sezoane!$C$6:$C$40,1)),"")</f>
        <v/>
      </c>
    </row>
    <row r="256" customFormat="false" ht="15" hidden="false" customHeight="false" outlineLevel="0" collapsed="false">
      <c r="A256" s="41" t="n">
        <f aca="false">$B$2+251</f>
        <v>46567</v>
      </c>
      <c r="B256" s="42" t="str">
        <f aca="false">CHOOSE(WEEKDAY(A256,2),"Lu","Ma","Mi","Jo","Vi","Sâ","Du")</f>
        <v>Ma</v>
      </c>
      <c r="C256" s="42" t="str">
        <f aca="false">IF(AND(ISNUMBER(MATCH(A256,Sezoane!$C$6:$C$40,1)),A256&lt;=INDEX(Sezoane!$D$6:$D$40,MATCH(A256,Sezoane!$C$6:$C$40,1))),INDEX(Sezoane!$A$6:$A$40,MATCH(A256,Sezoane!$C$6:$C$40,1)),"⚠ fără sezon")</f>
        <v>⚠ fără sezon</v>
      </c>
      <c r="D256" s="42" t="str">
        <f aca="false">IF(AND(ISNUMBER(MATCH(A256,Sezoane!$C$6:$C$40,1)),A256&lt;=INDEX(Sezoane!$D$6:$D$40,MATCH(A256,Sezoane!$C$6:$C$40,1))),INDEX(Sezoane!$F$6:$F$40,MATCH(A256,Sezoane!$C$6:$C$40,1)),"")</f>
        <v/>
      </c>
      <c r="E256" s="44" t="str">
        <f aca="false">IF(AND(ISNUMBER(MATCH(A256,Sezoane!$C$6:$C$40,1)),A256&lt;=INDEX(Sezoane!$D$6:$D$40,MATCH(A256,Sezoane!$C$6:$C$40,1))),INDEX('Prețuri de setat'!$E$5:$E$39,MATCH(A256,Sezoane!$C$6:$C$40,1)),"")</f>
        <v/>
      </c>
      <c r="F256" s="44" t="str">
        <f aca="false">IF(AND(ISNUMBER(MATCH(A256,Sezoane!$C$6:$C$40,1)),A256&lt;=INDEX(Sezoane!$D$6:$D$40,MATCH(A256,Sezoane!$C$6:$C$40,1))),INDEX('Prețuri de setat'!$F$5:$F$39,MATCH(A256,Sezoane!$C$6:$C$40,1)),"")</f>
        <v/>
      </c>
      <c r="G256" s="44" t="str">
        <f aca="false">IF(AND(ISNUMBER(MATCH(A256,Sezoane!$C$6:$C$40,1)),A256&lt;=INDEX(Sezoane!$D$6:$D$40,MATCH(A256,Sezoane!$C$6:$C$40,1))),INDEX('Prețuri de setat'!$G$5:$G$39,MATCH(A256,Sezoane!$C$6:$C$40,1)),"")</f>
        <v/>
      </c>
      <c r="H256" s="44" t="str">
        <f aca="false">IF(AND(ISNUMBER(MATCH(A256,Sezoane!$C$6:$C$40,1)),A256&lt;=INDEX(Sezoane!$D$6:$D$40,MATCH(A256,Sezoane!$C$6:$C$40,1))),INDEX('Prețuri de setat'!$H$5:$H$39,MATCH(A256,Sezoane!$C$6:$C$40,1)),"")</f>
        <v/>
      </c>
      <c r="I256" s="44" t="str">
        <f aca="false">IF(AND(ISNUMBER(MATCH(A256,Sezoane!$C$6:$C$40,1)),A256&lt;=INDEX(Sezoane!$D$6:$D$40,MATCH(A256,Sezoane!$C$6:$C$40,1))),INDEX('Prețuri de setat'!$I$5:$I$39,MATCH(A256,Sezoane!$C$6:$C$40,1)),"")</f>
        <v/>
      </c>
    </row>
    <row r="257" customFormat="false" ht="15" hidden="false" customHeight="false" outlineLevel="0" collapsed="false">
      <c r="A257" s="41" t="n">
        <f aca="false">$B$2+252</f>
        <v>46568</v>
      </c>
      <c r="B257" s="42" t="str">
        <f aca="false">CHOOSE(WEEKDAY(A257,2),"Lu","Ma","Mi","Jo","Vi","Sâ","Du")</f>
        <v>Mi</v>
      </c>
      <c r="C257" s="42" t="str">
        <f aca="false">IF(AND(ISNUMBER(MATCH(A257,Sezoane!$C$6:$C$40,1)),A257&lt;=INDEX(Sezoane!$D$6:$D$40,MATCH(A257,Sezoane!$C$6:$C$40,1))),INDEX(Sezoane!$A$6:$A$40,MATCH(A257,Sezoane!$C$6:$C$40,1)),"⚠ fără sezon")</f>
        <v>⚠ fără sezon</v>
      </c>
      <c r="D257" s="42" t="str">
        <f aca="false">IF(AND(ISNUMBER(MATCH(A257,Sezoane!$C$6:$C$40,1)),A257&lt;=INDEX(Sezoane!$D$6:$D$40,MATCH(A257,Sezoane!$C$6:$C$40,1))),INDEX(Sezoane!$F$6:$F$40,MATCH(A257,Sezoane!$C$6:$C$40,1)),"")</f>
        <v/>
      </c>
      <c r="E257" s="44" t="str">
        <f aca="false">IF(AND(ISNUMBER(MATCH(A257,Sezoane!$C$6:$C$40,1)),A257&lt;=INDEX(Sezoane!$D$6:$D$40,MATCH(A257,Sezoane!$C$6:$C$40,1))),INDEX('Prețuri de setat'!$E$5:$E$39,MATCH(A257,Sezoane!$C$6:$C$40,1)),"")</f>
        <v/>
      </c>
      <c r="F257" s="44" t="str">
        <f aca="false">IF(AND(ISNUMBER(MATCH(A257,Sezoane!$C$6:$C$40,1)),A257&lt;=INDEX(Sezoane!$D$6:$D$40,MATCH(A257,Sezoane!$C$6:$C$40,1))),INDEX('Prețuri de setat'!$F$5:$F$39,MATCH(A257,Sezoane!$C$6:$C$40,1)),"")</f>
        <v/>
      </c>
      <c r="G257" s="44" t="str">
        <f aca="false">IF(AND(ISNUMBER(MATCH(A257,Sezoane!$C$6:$C$40,1)),A257&lt;=INDEX(Sezoane!$D$6:$D$40,MATCH(A257,Sezoane!$C$6:$C$40,1))),INDEX('Prețuri de setat'!$G$5:$G$39,MATCH(A257,Sezoane!$C$6:$C$40,1)),"")</f>
        <v/>
      </c>
      <c r="H257" s="44" t="str">
        <f aca="false">IF(AND(ISNUMBER(MATCH(A257,Sezoane!$C$6:$C$40,1)),A257&lt;=INDEX(Sezoane!$D$6:$D$40,MATCH(A257,Sezoane!$C$6:$C$40,1))),INDEX('Prețuri de setat'!$H$5:$H$39,MATCH(A257,Sezoane!$C$6:$C$40,1)),"")</f>
        <v/>
      </c>
      <c r="I257" s="44" t="str">
        <f aca="false">IF(AND(ISNUMBER(MATCH(A257,Sezoane!$C$6:$C$40,1)),A257&lt;=INDEX(Sezoane!$D$6:$D$40,MATCH(A257,Sezoane!$C$6:$C$40,1))),INDEX('Prețuri de setat'!$I$5:$I$39,MATCH(A257,Sezoane!$C$6:$C$40,1)),"")</f>
        <v/>
      </c>
    </row>
    <row r="258" customFormat="false" ht="15" hidden="false" customHeight="false" outlineLevel="0" collapsed="false">
      <c r="A258" s="41" t="n">
        <f aca="false">$B$2+253</f>
        <v>46569</v>
      </c>
      <c r="B258" s="42" t="str">
        <f aca="false">CHOOSE(WEEKDAY(A258,2),"Lu","Ma","Mi","Jo","Vi","Sâ","Du")</f>
        <v>Jo</v>
      </c>
      <c r="C258" s="42" t="str">
        <f aca="false">IF(AND(ISNUMBER(MATCH(A258,Sezoane!$C$6:$C$40,1)),A258&lt;=INDEX(Sezoane!$D$6:$D$40,MATCH(A258,Sezoane!$C$6:$C$40,1))),INDEX(Sezoane!$A$6:$A$40,MATCH(A258,Sezoane!$C$6:$C$40,1)),"⚠ fără sezon")</f>
        <v>⚠ fără sezon</v>
      </c>
      <c r="D258" s="42" t="str">
        <f aca="false">IF(AND(ISNUMBER(MATCH(A258,Sezoane!$C$6:$C$40,1)),A258&lt;=INDEX(Sezoane!$D$6:$D$40,MATCH(A258,Sezoane!$C$6:$C$40,1))),INDEX(Sezoane!$F$6:$F$40,MATCH(A258,Sezoane!$C$6:$C$40,1)),"")</f>
        <v/>
      </c>
      <c r="E258" s="44" t="str">
        <f aca="false">IF(AND(ISNUMBER(MATCH(A258,Sezoane!$C$6:$C$40,1)),A258&lt;=INDEX(Sezoane!$D$6:$D$40,MATCH(A258,Sezoane!$C$6:$C$40,1))),INDEX('Prețuri de setat'!$E$5:$E$39,MATCH(A258,Sezoane!$C$6:$C$40,1)),"")</f>
        <v/>
      </c>
      <c r="F258" s="44" t="str">
        <f aca="false">IF(AND(ISNUMBER(MATCH(A258,Sezoane!$C$6:$C$40,1)),A258&lt;=INDEX(Sezoane!$D$6:$D$40,MATCH(A258,Sezoane!$C$6:$C$40,1))),INDEX('Prețuri de setat'!$F$5:$F$39,MATCH(A258,Sezoane!$C$6:$C$40,1)),"")</f>
        <v/>
      </c>
      <c r="G258" s="44" t="str">
        <f aca="false">IF(AND(ISNUMBER(MATCH(A258,Sezoane!$C$6:$C$40,1)),A258&lt;=INDEX(Sezoane!$D$6:$D$40,MATCH(A258,Sezoane!$C$6:$C$40,1))),INDEX('Prețuri de setat'!$G$5:$G$39,MATCH(A258,Sezoane!$C$6:$C$40,1)),"")</f>
        <v/>
      </c>
      <c r="H258" s="44" t="str">
        <f aca="false">IF(AND(ISNUMBER(MATCH(A258,Sezoane!$C$6:$C$40,1)),A258&lt;=INDEX(Sezoane!$D$6:$D$40,MATCH(A258,Sezoane!$C$6:$C$40,1))),INDEX('Prețuri de setat'!$H$5:$H$39,MATCH(A258,Sezoane!$C$6:$C$40,1)),"")</f>
        <v/>
      </c>
      <c r="I258" s="44" t="str">
        <f aca="false">IF(AND(ISNUMBER(MATCH(A258,Sezoane!$C$6:$C$40,1)),A258&lt;=INDEX(Sezoane!$D$6:$D$40,MATCH(A258,Sezoane!$C$6:$C$40,1))),INDEX('Prețuri de setat'!$I$5:$I$39,MATCH(A258,Sezoane!$C$6:$C$40,1)),"")</f>
        <v/>
      </c>
    </row>
    <row r="259" customFormat="false" ht="15" hidden="false" customHeight="false" outlineLevel="0" collapsed="false">
      <c r="A259" s="41" t="n">
        <f aca="false">$B$2+254</f>
        <v>46570</v>
      </c>
      <c r="B259" s="42" t="str">
        <f aca="false">CHOOSE(WEEKDAY(A259,2),"Lu","Ma","Mi","Jo","Vi","Sâ","Du")</f>
        <v>Vi</v>
      </c>
      <c r="C259" s="42" t="str">
        <f aca="false">IF(AND(ISNUMBER(MATCH(A259,Sezoane!$C$6:$C$40,1)),A259&lt;=INDEX(Sezoane!$D$6:$D$40,MATCH(A259,Sezoane!$C$6:$C$40,1))),INDEX(Sezoane!$A$6:$A$40,MATCH(A259,Sezoane!$C$6:$C$40,1)),"⚠ fără sezon")</f>
        <v>⚠ fără sezon</v>
      </c>
      <c r="D259" s="42" t="str">
        <f aca="false">IF(AND(ISNUMBER(MATCH(A259,Sezoane!$C$6:$C$40,1)),A259&lt;=INDEX(Sezoane!$D$6:$D$40,MATCH(A259,Sezoane!$C$6:$C$40,1))),INDEX(Sezoane!$F$6:$F$40,MATCH(A259,Sezoane!$C$6:$C$40,1)),"")</f>
        <v/>
      </c>
      <c r="E259" s="44" t="str">
        <f aca="false">IF(AND(ISNUMBER(MATCH(A259,Sezoane!$C$6:$C$40,1)),A259&lt;=INDEX(Sezoane!$D$6:$D$40,MATCH(A259,Sezoane!$C$6:$C$40,1))),INDEX('Prețuri de setat'!$E$5:$E$39,MATCH(A259,Sezoane!$C$6:$C$40,1)),"")</f>
        <v/>
      </c>
      <c r="F259" s="44" t="str">
        <f aca="false">IF(AND(ISNUMBER(MATCH(A259,Sezoane!$C$6:$C$40,1)),A259&lt;=INDEX(Sezoane!$D$6:$D$40,MATCH(A259,Sezoane!$C$6:$C$40,1))),INDEX('Prețuri de setat'!$F$5:$F$39,MATCH(A259,Sezoane!$C$6:$C$40,1)),"")</f>
        <v/>
      </c>
      <c r="G259" s="44" t="str">
        <f aca="false">IF(AND(ISNUMBER(MATCH(A259,Sezoane!$C$6:$C$40,1)),A259&lt;=INDEX(Sezoane!$D$6:$D$40,MATCH(A259,Sezoane!$C$6:$C$40,1))),INDEX('Prețuri de setat'!$G$5:$G$39,MATCH(A259,Sezoane!$C$6:$C$40,1)),"")</f>
        <v/>
      </c>
      <c r="H259" s="44" t="str">
        <f aca="false">IF(AND(ISNUMBER(MATCH(A259,Sezoane!$C$6:$C$40,1)),A259&lt;=INDEX(Sezoane!$D$6:$D$40,MATCH(A259,Sezoane!$C$6:$C$40,1))),INDEX('Prețuri de setat'!$H$5:$H$39,MATCH(A259,Sezoane!$C$6:$C$40,1)),"")</f>
        <v/>
      </c>
      <c r="I259" s="44" t="str">
        <f aca="false">IF(AND(ISNUMBER(MATCH(A259,Sezoane!$C$6:$C$40,1)),A259&lt;=INDEX(Sezoane!$D$6:$D$40,MATCH(A259,Sezoane!$C$6:$C$40,1))),INDEX('Prețuri de setat'!$I$5:$I$39,MATCH(A259,Sezoane!$C$6:$C$40,1)),"")</f>
        <v/>
      </c>
    </row>
    <row r="260" customFormat="false" ht="15" hidden="false" customHeight="false" outlineLevel="0" collapsed="false">
      <c r="A260" s="41" t="n">
        <f aca="false">$B$2+255</f>
        <v>46571</v>
      </c>
      <c r="B260" s="42" t="str">
        <f aca="false">CHOOSE(WEEKDAY(A260,2),"Lu","Ma","Mi","Jo","Vi","Sâ","Du")</f>
        <v>Sâ</v>
      </c>
      <c r="C260" s="42" t="str">
        <f aca="false">IF(AND(ISNUMBER(MATCH(A260,Sezoane!$C$6:$C$40,1)),A260&lt;=INDEX(Sezoane!$D$6:$D$40,MATCH(A260,Sezoane!$C$6:$C$40,1))),INDEX(Sezoane!$A$6:$A$40,MATCH(A260,Sezoane!$C$6:$C$40,1)),"⚠ fără sezon")</f>
        <v>⚠ fără sezon</v>
      </c>
      <c r="D260" s="42" t="str">
        <f aca="false">IF(AND(ISNUMBER(MATCH(A260,Sezoane!$C$6:$C$40,1)),A260&lt;=INDEX(Sezoane!$D$6:$D$40,MATCH(A260,Sezoane!$C$6:$C$40,1))),INDEX(Sezoane!$F$6:$F$40,MATCH(A260,Sezoane!$C$6:$C$40,1)),"")</f>
        <v/>
      </c>
      <c r="E260" s="44" t="str">
        <f aca="false">IF(AND(ISNUMBER(MATCH(A260,Sezoane!$C$6:$C$40,1)),A260&lt;=INDEX(Sezoane!$D$6:$D$40,MATCH(A260,Sezoane!$C$6:$C$40,1))),INDEX('Prețuri de setat'!$E$5:$E$39,MATCH(A260,Sezoane!$C$6:$C$40,1)),"")</f>
        <v/>
      </c>
      <c r="F260" s="44" t="str">
        <f aca="false">IF(AND(ISNUMBER(MATCH(A260,Sezoane!$C$6:$C$40,1)),A260&lt;=INDEX(Sezoane!$D$6:$D$40,MATCH(A260,Sezoane!$C$6:$C$40,1))),INDEX('Prețuri de setat'!$F$5:$F$39,MATCH(A260,Sezoane!$C$6:$C$40,1)),"")</f>
        <v/>
      </c>
      <c r="G260" s="44" t="str">
        <f aca="false">IF(AND(ISNUMBER(MATCH(A260,Sezoane!$C$6:$C$40,1)),A260&lt;=INDEX(Sezoane!$D$6:$D$40,MATCH(A260,Sezoane!$C$6:$C$40,1))),INDEX('Prețuri de setat'!$G$5:$G$39,MATCH(A260,Sezoane!$C$6:$C$40,1)),"")</f>
        <v/>
      </c>
      <c r="H260" s="44" t="str">
        <f aca="false">IF(AND(ISNUMBER(MATCH(A260,Sezoane!$C$6:$C$40,1)),A260&lt;=INDEX(Sezoane!$D$6:$D$40,MATCH(A260,Sezoane!$C$6:$C$40,1))),INDEX('Prețuri de setat'!$H$5:$H$39,MATCH(A260,Sezoane!$C$6:$C$40,1)),"")</f>
        <v/>
      </c>
      <c r="I260" s="44" t="str">
        <f aca="false">IF(AND(ISNUMBER(MATCH(A260,Sezoane!$C$6:$C$40,1)),A260&lt;=INDEX(Sezoane!$D$6:$D$40,MATCH(A260,Sezoane!$C$6:$C$40,1))),INDEX('Prețuri de setat'!$I$5:$I$39,MATCH(A260,Sezoane!$C$6:$C$40,1)),"")</f>
        <v/>
      </c>
    </row>
    <row r="261" customFormat="false" ht="15" hidden="false" customHeight="false" outlineLevel="0" collapsed="false">
      <c r="A261" s="41" t="n">
        <f aca="false">$B$2+256</f>
        <v>46572</v>
      </c>
      <c r="B261" s="42" t="str">
        <f aca="false">CHOOSE(WEEKDAY(A261,2),"Lu","Ma","Mi","Jo","Vi","Sâ","Du")</f>
        <v>Du</v>
      </c>
      <c r="C261" s="42" t="str">
        <f aca="false">IF(AND(ISNUMBER(MATCH(A261,Sezoane!$C$6:$C$40,1)),A261&lt;=INDEX(Sezoane!$D$6:$D$40,MATCH(A261,Sezoane!$C$6:$C$40,1))),INDEX(Sezoane!$A$6:$A$40,MATCH(A261,Sezoane!$C$6:$C$40,1)),"⚠ fără sezon")</f>
        <v>⚠ fără sezon</v>
      </c>
      <c r="D261" s="42" t="str">
        <f aca="false">IF(AND(ISNUMBER(MATCH(A261,Sezoane!$C$6:$C$40,1)),A261&lt;=INDEX(Sezoane!$D$6:$D$40,MATCH(A261,Sezoane!$C$6:$C$40,1))),INDEX(Sezoane!$F$6:$F$40,MATCH(A261,Sezoane!$C$6:$C$40,1)),"")</f>
        <v/>
      </c>
      <c r="E261" s="44" t="str">
        <f aca="false">IF(AND(ISNUMBER(MATCH(A261,Sezoane!$C$6:$C$40,1)),A261&lt;=INDEX(Sezoane!$D$6:$D$40,MATCH(A261,Sezoane!$C$6:$C$40,1))),INDEX('Prețuri de setat'!$E$5:$E$39,MATCH(A261,Sezoane!$C$6:$C$40,1)),"")</f>
        <v/>
      </c>
      <c r="F261" s="44" t="str">
        <f aca="false">IF(AND(ISNUMBER(MATCH(A261,Sezoane!$C$6:$C$40,1)),A261&lt;=INDEX(Sezoane!$D$6:$D$40,MATCH(A261,Sezoane!$C$6:$C$40,1))),INDEX('Prețuri de setat'!$F$5:$F$39,MATCH(A261,Sezoane!$C$6:$C$40,1)),"")</f>
        <v/>
      </c>
      <c r="G261" s="44" t="str">
        <f aca="false">IF(AND(ISNUMBER(MATCH(A261,Sezoane!$C$6:$C$40,1)),A261&lt;=INDEX(Sezoane!$D$6:$D$40,MATCH(A261,Sezoane!$C$6:$C$40,1))),INDEX('Prețuri de setat'!$G$5:$G$39,MATCH(A261,Sezoane!$C$6:$C$40,1)),"")</f>
        <v/>
      </c>
      <c r="H261" s="44" t="str">
        <f aca="false">IF(AND(ISNUMBER(MATCH(A261,Sezoane!$C$6:$C$40,1)),A261&lt;=INDEX(Sezoane!$D$6:$D$40,MATCH(A261,Sezoane!$C$6:$C$40,1))),INDEX('Prețuri de setat'!$H$5:$H$39,MATCH(A261,Sezoane!$C$6:$C$40,1)),"")</f>
        <v/>
      </c>
      <c r="I261" s="44" t="str">
        <f aca="false">IF(AND(ISNUMBER(MATCH(A261,Sezoane!$C$6:$C$40,1)),A261&lt;=INDEX(Sezoane!$D$6:$D$40,MATCH(A261,Sezoane!$C$6:$C$40,1))),INDEX('Prețuri de setat'!$I$5:$I$39,MATCH(A261,Sezoane!$C$6:$C$40,1)),"")</f>
        <v/>
      </c>
    </row>
    <row r="262" customFormat="false" ht="15" hidden="false" customHeight="false" outlineLevel="0" collapsed="false">
      <c r="A262" s="41" t="n">
        <f aca="false">$B$2+257</f>
        <v>46573</v>
      </c>
      <c r="B262" s="42" t="str">
        <f aca="false">CHOOSE(WEEKDAY(A262,2),"Lu","Ma","Mi","Jo","Vi","Sâ","Du")</f>
        <v>Lu</v>
      </c>
      <c r="C262" s="42" t="str">
        <f aca="false">IF(AND(ISNUMBER(MATCH(A262,Sezoane!$C$6:$C$40,1)),A262&lt;=INDEX(Sezoane!$D$6:$D$40,MATCH(A262,Sezoane!$C$6:$C$40,1))),INDEX(Sezoane!$A$6:$A$40,MATCH(A262,Sezoane!$C$6:$C$40,1)),"⚠ fără sezon")</f>
        <v>⚠ fără sezon</v>
      </c>
      <c r="D262" s="42" t="str">
        <f aca="false">IF(AND(ISNUMBER(MATCH(A262,Sezoane!$C$6:$C$40,1)),A262&lt;=INDEX(Sezoane!$D$6:$D$40,MATCH(A262,Sezoane!$C$6:$C$40,1))),INDEX(Sezoane!$F$6:$F$40,MATCH(A262,Sezoane!$C$6:$C$40,1)),"")</f>
        <v/>
      </c>
      <c r="E262" s="44" t="str">
        <f aca="false">IF(AND(ISNUMBER(MATCH(A262,Sezoane!$C$6:$C$40,1)),A262&lt;=INDEX(Sezoane!$D$6:$D$40,MATCH(A262,Sezoane!$C$6:$C$40,1))),INDEX('Prețuri de setat'!$E$5:$E$39,MATCH(A262,Sezoane!$C$6:$C$40,1)),"")</f>
        <v/>
      </c>
      <c r="F262" s="44" t="str">
        <f aca="false">IF(AND(ISNUMBER(MATCH(A262,Sezoane!$C$6:$C$40,1)),A262&lt;=INDEX(Sezoane!$D$6:$D$40,MATCH(A262,Sezoane!$C$6:$C$40,1))),INDEX('Prețuri de setat'!$F$5:$F$39,MATCH(A262,Sezoane!$C$6:$C$40,1)),"")</f>
        <v/>
      </c>
      <c r="G262" s="44" t="str">
        <f aca="false">IF(AND(ISNUMBER(MATCH(A262,Sezoane!$C$6:$C$40,1)),A262&lt;=INDEX(Sezoane!$D$6:$D$40,MATCH(A262,Sezoane!$C$6:$C$40,1))),INDEX('Prețuri de setat'!$G$5:$G$39,MATCH(A262,Sezoane!$C$6:$C$40,1)),"")</f>
        <v/>
      </c>
      <c r="H262" s="44" t="str">
        <f aca="false">IF(AND(ISNUMBER(MATCH(A262,Sezoane!$C$6:$C$40,1)),A262&lt;=INDEX(Sezoane!$D$6:$D$40,MATCH(A262,Sezoane!$C$6:$C$40,1))),INDEX('Prețuri de setat'!$H$5:$H$39,MATCH(A262,Sezoane!$C$6:$C$40,1)),"")</f>
        <v/>
      </c>
      <c r="I262" s="44" t="str">
        <f aca="false">IF(AND(ISNUMBER(MATCH(A262,Sezoane!$C$6:$C$40,1)),A262&lt;=INDEX(Sezoane!$D$6:$D$40,MATCH(A262,Sezoane!$C$6:$C$40,1))),INDEX('Prețuri de setat'!$I$5:$I$39,MATCH(A262,Sezoane!$C$6:$C$40,1)),"")</f>
        <v/>
      </c>
    </row>
    <row r="263" customFormat="false" ht="15" hidden="false" customHeight="false" outlineLevel="0" collapsed="false">
      <c r="A263" s="41" t="n">
        <f aca="false">$B$2+258</f>
        <v>46574</v>
      </c>
      <c r="B263" s="42" t="str">
        <f aca="false">CHOOSE(WEEKDAY(A263,2),"Lu","Ma","Mi","Jo","Vi","Sâ","Du")</f>
        <v>Ma</v>
      </c>
      <c r="C263" s="42" t="str">
        <f aca="false">IF(AND(ISNUMBER(MATCH(A263,Sezoane!$C$6:$C$40,1)),A263&lt;=INDEX(Sezoane!$D$6:$D$40,MATCH(A263,Sezoane!$C$6:$C$40,1))),INDEX(Sezoane!$A$6:$A$40,MATCH(A263,Sezoane!$C$6:$C$40,1)),"⚠ fără sezon")</f>
        <v>⚠ fără sezon</v>
      </c>
      <c r="D263" s="42" t="str">
        <f aca="false">IF(AND(ISNUMBER(MATCH(A263,Sezoane!$C$6:$C$40,1)),A263&lt;=INDEX(Sezoane!$D$6:$D$40,MATCH(A263,Sezoane!$C$6:$C$40,1))),INDEX(Sezoane!$F$6:$F$40,MATCH(A263,Sezoane!$C$6:$C$40,1)),"")</f>
        <v/>
      </c>
      <c r="E263" s="44" t="str">
        <f aca="false">IF(AND(ISNUMBER(MATCH(A263,Sezoane!$C$6:$C$40,1)),A263&lt;=INDEX(Sezoane!$D$6:$D$40,MATCH(A263,Sezoane!$C$6:$C$40,1))),INDEX('Prețuri de setat'!$E$5:$E$39,MATCH(A263,Sezoane!$C$6:$C$40,1)),"")</f>
        <v/>
      </c>
      <c r="F263" s="44" t="str">
        <f aca="false">IF(AND(ISNUMBER(MATCH(A263,Sezoane!$C$6:$C$40,1)),A263&lt;=INDEX(Sezoane!$D$6:$D$40,MATCH(A263,Sezoane!$C$6:$C$40,1))),INDEX('Prețuri de setat'!$F$5:$F$39,MATCH(A263,Sezoane!$C$6:$C$40,1)),"")</f>
        <v/>
      </c>
      <c r="G263" s="44" t="str">
        <f aca="false">IF(AND(ISNUMBER(MATCH(A263,Sezoane!$C$6:$C$40,1)),A263&lt;=INDEX(Sezoane!$D$6:$D$40,MATCH(A263,Sezoane!$C$6:$C$40,1))),INDEX('Prețuri de setat'!$G$5:$G$39,MATCH(A263,Sezoane!$C$6:$C$40,1)),"")</f>
        <v/>
      </c>
      <c r="H263" s="44" t="str">
        <f aca="false">IF(AND(ISNUMBER(MATCH(A263,Sezoane!$C$6:$C$40,1)),A263&lt;=INDEX(Sezoane!$D$6:$D$40,MATCH(A263,Sezoane!$C$6:$C$40,1))),INDEX('Prețuri de setat'!$H$5:$H$39,MATCH(A263,Sezoane!$C$6:$C$40,1)),"")</f>
        <v/>
      </c>
      <c r="I263" s="44" t="str">
        <f aca="false">IF(AND(ISNUMBER(MATCH(A263,Sezoane!$C$6:$C$40,1)),A263&lt;=INDEX(Sezoane!$D$6:$D$40,MATCH(A263,Sezoane!$C$6:$C$40,1))),INDEX('Prețuri de setat'!$I$5:$I$39,MATCH(A263,Sezoane!$C$6:$C$40,1)),"")</f>
        <v/>
      </c>
    </row>
    <row r="264" customFormat="false" ht="15" hidden="false" customHeight="false" outlineLevel="0" collapsed="false">
      <c r="A264" s="41" t="n">
        <f aca="false">$B$2+259</f>
        <v>46575</v>
      </c>
      <c r="B264" s="42" t="str">
        <f aca="false">CHOOSE(WEEKDAY(A264,2),"Lu","Ma","Mi","Jo","Vi","Sâ","Du")</f>
        <v>Mi</v>
      </c>
      <c r="C264" s="42" t="str">
        <f aca="false">IF(AND(ISNUMBER(MATCH(A264,Sezoane!$C$6:$C$40,1)),A264&lt;=INDEX(Sezoane!$D$6:$D$40,MATCH(A264,Sezoane!$C$6:$C$40,1))),INDEX(Sezoane!$A$6:$A$40,MATCH(A264,Sezoane!$C$6:$C$40,1)),"⚠ fără sezon")</f>
        <v>⚠ fără sezon</v>
      </c>
      <c r="D264" s="42" t="str">
        <f aca="false">IF(AND(ISNUMBER(MATCH(A264,Sezoane!$C$6:$C$40,1)),A264&lt;=INDEX(Sezoane!$D$6:$D$40,MATCH(A264,Sezoane!$C$6:$C$40,1))),INDEX(Sezoane!$F$6:$F$40,MATCH(A264,Sezoane!$C$6:$C$40,1)),"")</f>
        <v/>
      </c>
      <c r="E264" s="44" t="str">
        <f aca="false">IF(AND(ISNUMBER(MATCH(A264,Sezoane!$C$6:$C$40,1)),A264&lt;=INDEX(Sezoane!$D$6:$D$40,MATCH(A264,Sezoane!$C$6:$C$40,1))),INDEX('Prețuri de setat'!$E$5:$E$39,MATCH(A264,Sezoane!$C$6:$C$40,1)),"")</f>
        <v/>
      </c>
      <c r="F264" s="44" t="str">
        <f aca="false">IF(AND(ISNUMBER(MATCH(A264,Sezoane!$C$6:$C$40,1)),A264&lt;=INDEX(Sezoane!$D$6:$D$40,MATCH(A264,Sezoane!$C$6:$C$40,1))),INDEX('Prețuri de setat'!$F$5:$F$39,MATCH(A264,Sezoane!$C$6:$C$40,1)),"")</f>
        <v/>
      </c>
      <c r="G264" s="44" t="str">
        <f aca="false">IF(AND(ISNUMBER(MATCH(A264,Sezoane!$C$6:$C$40,1)),A264&lt;=INDEX(Sezoane!$D$6:$D$40,MATCH(A264,Sezoane!$C$6:$C$40,1))),INDEX('Prețuri de setat'!$G$5:$G$39,MATCH(A264,Sezoane!$C$6:$C$40,1)),"")</f>
        <v/>
      </c>
      <c r="H264" s="44" t="str">
        <f aca="false">IF(AND(ISNUMBER(MATCH(A264,Sezoane!$C$6:$C$40,1)),A264&lt;=INDEX(Sezoane!$D$6:$D$40,MATCH(A264,Sezoane!$C$6:$C$40,1))),INDEX('Prețuri de setat'!$H$5:$H$39,MATCH(A264,Sezoane!$C$6:$C$40,1)),"")</f>
        <v/>
      </c>
      <c r="I264" s="44" t="str">
        <f aca="false">IF(AND(ISNUMBER(MATCH(A264,Sezoane!$C$6:$C$40,1)),A264&lt;=INDEX(Sezoane!$D$6:$D$40,MATCH(A264,Sezoane!$C$6:$C$40,1))),INDEX('Prețuri de setat'!$I$5:$I$39,MATCH(A264,Sezoane!$C$6:$C$40,1)),"")</f>
        <v/>
      </c>
    </row>
    <row r="265" customFormat="false" ht="15" hidden="false" customHeight="false" outlineLevel="0" collapsed="false">
      <c r="A265" s="41" t="n">
        <f aca="false">$B$2+260</f>
        <v>46576</v>
      </c>
      <c r="B265" s="42" t="str">
        <f aca="false">CHOOSE(WEEKDAY(A265,2),"Lu","Ma","Mi","Jo","Vi","Sâ","Du")</f>
        <v>Jo</v>
      </c>
      <c r="C265" s="42" t="str">
        <f aca="false">IF(AND(ISNUMBER(MATCH(A265,Sezoane!$C$6:$C$40,1)),A265&lt;=INDEX(Sezoane!$D$6:$D$40,MATCH(A265,Sezoane!$C$6:$C$40,1))),INDEX(Sezoane!$A$6:$A$40,MATCH(A265,Sezoane!$C$6:$C$40,1)),"⚠ fără sezon")</f>
        <v>⚠ fără sezon</v>
      </c>
      <c r="D265" s="42" t="str">
        <f aca="false">IF(AND(ISNUMBER(MATCH(A265,Sezoane!$C$6:$C$40,1)),A265&lt;=INDEX(Sezoane!$D$6:$D$40,MATCH(A265,Sezoane!$C$6:$C$40,1))),INDEX(Sezoane!$F$6:$F$40,MATCH(A265,Sezoane!$C$6:$C$40,1)),"")</f>
        <v/>
      </c>
      <c r="E265" s="44" t="str">
        <f aca="false">IF(AND(ISNUMBER(MATCH(A265,Sezoane!$C$6:$C$40,1)),A265&lt;=INDEX(Sezoane!$D$6:$D$40,MATCH(A265,Sezoane!$C$6:$C$40,1))),INDEX('Prețuri de setat'!$E$5:$E$39,MATCH(A265,Sezoane!$C$6:$C$40,1)),"")</f>
        <v/>
      </c>
      <c r="F265" s="44" t="str">
        <f aca="false">IF(AND(ISNUMBER(MATCH(A265,Sezoane!$C$6:$C$40,1)),A265&lt;=INDEX(Sezoane!$D$6:$D$40,MATCH(A265,Sezoane!$C$6:$C$40,1))),INDEX('Prețuri de setat'!$F$5:$F$39,MATCH(A265,Sezoane!$C$6:$C$40,1)),"")</f>
        <v/>
      </c>
      <c r="G265" s="44" t="str">
        <f aca="false">IF(AND(ISNUMBER(MATCH(A265,Sezoane!$C$6:$C$40,1)),A265&lt;=INDEX(Sezoane!$D$6:$D$40,MATCH(A265,Sezoane!$C$6:$C$40,1))),INDEX('Prețuri de setat'!$G$5:$G$39,MATCH(A265,Sezoane!$C$6:$C$40,1)),"")</f>
        <v/>
      </c>
      <c r="H265" s="44" t="str">
        <f aca="false">IF(AND(ISNUMBER(MATCH(A265,Sezoane!$C$6:$C$40,1)),A265&lt;=INDEX(Sezoane!$D$6:$D$40,MATCH(A265,Sezoane!$C$6:$C$40,1))),INDEX('Prețuri de setat'!$H$5:$H$39,MATCH(A265,Sezoane!$C$6:$C$40,1)),"")</f>
        <v/>
      </c>
      <c r="I265" s="44" t="str">
        <f aca="false">IF(AND(ISNUMBER(MATCH(A265,Sezoane!$C$6:$C$40,1)),A265&lt;=INDEX(Sezoane!$D$6:$D$40,MATCH(A265,Sezoane!$C$6:$C$40,1))),INDEX('Prețuri de setat'!$I$5:$I$39,MATCH(A265,Sezoane!$C$6:$C$40,1)),"")</f>
        <v/>
      </c>
    </row>
    <row r="266" customFormat="false" ht="15" hidden="false" customHeight="false" outlineLevel="0" collapsed="false">
      <c r="A266" s="41" t="n">
        <f aca="false">$B$2+261</f>
        <v>46577</v>
      </c>
      <c r="B266" s="42" t="str">
        <f aca="false">CHOOSE(WEEKDAY(A266,2),"Lu","Ma","Mi","Jo","Vi","Sâ","Du")</f>
        <v>Vi</v>
      </c>
      <c r="C266" s="42" t="str">
        <f aca="false">IF(AND(ISNUMBER(MATCH(A266,Sezoane!$C$6:$C$40,1)),A266&lt;=INDEX(Sezoane!$D$6:$D$40,MATCH(A266,Sezoane!$C$6:$C$40,1))),INDEX(Sezoane!$A$6:$A$40,MATCH(A266,Sezoane!$C$6:$C$40,1)),"⚠ fără sezon")</f>
        <v>⚠ fără sezon</v>
      </c>
      <c r="D266" s="42" t="str">
        <f aca="false">IF(AND(ISNUMBER(MATCH(A266,Sezoane!$C$6:$C$40,1)),A266&lt;=INDEX(Sezoane!$D$6:$D$40,MATCH(A266,Sezoane!$C$6:$C$40,1))),INDEX(Sezoane!$F$6:$F$40,MATCH(A266,Sezoane!$C$6:$C$40,1)),"")</f>
        <v/>
      </c>
      <c r="E266" s="44" t="str">
        <f aca="false">IF(AND(ISNUMBER(MATCH(A266,Sezoane!$C$6:$C$40,1)),A266&lt;=INDEX(Sezoane!$D$6:$D$40,MATCH(A266,Sezoane!$C$6:$C$40,1))),INDEX('Prețuri de setat'!$E$5:$E$39,MATCH(A266,Sezoane!$C$6:$C$40,1)),"")</f>
        <v/>
      </c>
      <c r="F266" s="44" t="str">
        <f aca="false">IF(AND(ISNUMBER(MATCH(A266,Sezoane!$C$6:$C$40,1)),A266&lt;=INDEX(Sezoane!$D$6:$D$40,MATCH(A266,Sezoane!$C$6:$C$40,1))),INDEX('Prețuri de setat'!$F$5:$F$39,MATCH(A266,Sezoane!$C$6:$C$40,1)),"")</f>
        <v/>
      </c>
      <c r="G266" s="44" t="str">
        <f aca="false">IF(AND(ISNUMBER(MATCH(A266,Sezoane!$C$6:$C$40,1)),A266&lt;=INDEX(Sezoane!$D$6:$D$40,MATCH(A266,Sezoane!$C$6:$C$40,1))),INDEX('Prețuri de setat'!$G$5:$G$39,MATCH(A266,Sezoane!$C$6:$C$40,1)),"")</f>
        <v/>
      </c>
      <c r="H266" s="44" t="str">
        <f aca="false">IF(AND(ISNUMBER(MATCH(A266,Sezoane!$C$6:$C$40,1)),A266&lt;=INDEX(Sezoane!$D$6:$D$40,MATCH(A266,Sezoane!$C$6:$C$40,1))),INDEX('Prețuri de setat'!$H$5:$H$39,MATCH(A266,Sezoane!$C$6:$C$40,1)),"")</f>
        <v/>
      </c>
      <c r="I266" s="44" t="str">
        <f aca="false">IF(AND(ISNUMBER(MATCH(A266,Sezoane!$C$6:$C$40,1)),A266&lt;=INDEX(Sezoane!$D$6:$D$40,MATCH(A266,Sezoane!$C$6:$C$40,1))),INDEX('Prețuri de setat'!$I$5:$I$39,MATCH(A266,Sezoane!$C$6:$C$40,1)),"")</f>
        <v/>
      </c>
    </row>
    <row r="267" customFormat="false" ht="15" hidden="false" customHeight="false" outlineLevel="0" collapsed="false">
      <c r="A267" s="41" t="n">
        <f aca="false">$B$2+262</f>
        <v>46578</v>
      </c>
      <c r="B267" s="42" t="str">
        <f aca="false">CHOOSE(WEEKDAY(A267,2),"Lu","Ma","Mi","Jo","Vi","Sâ","Du")</f>
        <v>Sâ</v>
      </c>
      <c r="C267" s="42" t="str">
        <f aca="false">IF(AND(ISNUMBER(MATCH(A267,Sezoane!$C$6:$C$40,1)),A267&lt;=INDEX(Sezoane!$D$6:$D$40,MATCH(A267,Sezoane!$C$6:$C$40,1))),INDEX(Sezoane!$A$6:$A$40,MATCH(A267,Sezoane!$C$6:$C$40,1)),"⚠ fără sezon")</f>
        <v>⚠ fără sezon</v>
      </c>
      <c r="D267" s="42" t="str">
        <f aca="false">IF(AND(ISNUMBER(MATCH(A267,Sezoane!$C$6:$C$40,1)),A267&lt;=INDEX(Sezoane!$D$6:$D$40,MATCH(A267,Sezoane!$C$6:$C$40,1))),INDEX(Sezoane!$F$6:$F$40,MATCH(A267,Sezoane!$C$6:$C$40,1)),"")</f>
        <v/>
      </c>
      <c r="E267" s="44" t="str">
        <f aca="false">IF(AND(ISNUMBER(MATCH(A267,Sezoane!$C$6:$C$40,1)),A267&lt;=INDEX(Sezoane!$D$6:$D$40,MATCH(A267,Sezoane!$C$6:$C$40,1))),INDEX('Prețuri de setat'!$E$5:$E$39,MATCH(A267,Sezoane!$C$6:$C$40,1)),"")</f>
        <v/>
      </c>
      <c r="F267" s="44" t="str">
        <f aca="false">IF(AND(ISNUMBER(MATCH(A267,Sezoane!$C$6:$C$40,1)),A267&lt;=INDEX(Sezoane!$D$6:$D$40,MATCH(A267,Sezoane!$C$6:$C$40,1))),INDEX('Prețuri de setat'!$F$5:$F$39,MATCH(A267,Sezoane!$C$6:$C$40,1)),"")</f>
        <v/>
      </c>
      <c r="G267" s="44" t="str">
        <f aca="false">IF(AND(ISNUMBER(MATCH(A267,Sezoane!$C$6:$C$40,1)),A267&lt;=INDEX(Sezoane!$D$6:$D$40,MATCH(A267,Sezoane!$C$6:$C$40,1))),INDEX('Prețuri de setat'!$G$5:$G$39,MATCH(A267,Sezoane!$C$6:$C$40,1)),"")</f>
        <v/>
      </c>
      <c r="H267" s="44" t="str">
        <f aca="false">IF(AND(ISNUMBER(MATCH(A267,Sezoane!$C$6:$C$40,1)),A267&lt;=INDEX(Sezoane!$D$6:$D$40,MATCH(A267,Sezoane!$C$6:$C$40,1))),INDEX('Prețuri de setat'!$H$5:$H$39,MATCH(A267,Sezoane!$C$6:$C$40,1)),"")</f>
        <v/>
      </c>
      <c r="I267" s="44" t="str">
        <f aca="false">IF(AND(ISNUMBER(MATCH(A267,Sezoane!$C$6:$C$40,1)),A267&lt;=INDEX(Sezoane!$D$6:$D$40,MATCH(A267,Sezoane!$C$6:$C$40,1))),INDEX('Prețuri de setat'!$I$5:$I$39,MATCH(A267,Sezoane!$C$6:$C$40,1)),"")</f>
        <v/>
      </c>
    </row>
    <row r="268" customFormat="false" ht="15" hidden="false" customHeight="false" outlineLevel="0" collapsed="false">
      <c r="A268" s="41" t="n">
        <f aca="false">$B$2+263</f>
        <v>46579</v>
      </c>
      <c r="B268" s="42" t="str">
        <f aca="false">CHOOSE(WEEKDAY(A268,2),"Lu","Ma","Mi","Jo","Vi","Sâ","Du")</f>
        <v>Du</v>
      </c>
      <c r="C268" s="42" t="str">
        <f aca="false">IF(AND(ISNUMBER(MATCH(A268,Sezoane!$C$6:$C$40,1)),A268&lt;=INDEX(Sezoane!$D$6:$D$40,MATCH(A268,Sezoane!$C$6:$C$40,1))),INDEX(Sezoane!$A$6:$A$40,MATCH(A268,Sezoane!$C$6:$C$40,1)),"⚠ fără sezon")</f>
        <v>⚠ fără sezon</v>
      </c>
      <c r="D268" s="42" t="str">
        <f aca="false">IF(AND(ISNUMBER(MATCH(A268,Sezoane!$C$6:$C$40,1)),A268&lt;=INDEX(Sezoane!$D$6:$D$40,MATCH(A268,Sezoane!$C$6:$C$40,1))),INDEX(Sezoane!$F$6:$F$40,MATCH(A268,Sezoane!$C$6:$C$40,1)),"")</f>
        <v/>
      </c>
      <c r="E268" s="44" t="str">
        <f aca="false">IF(AND(ISNUMBER(MATCH(A268,Sezoane!$C$6:$C$40,1)),A268&lt;=INDEX(Sezoane!$D$6:$D$40,MATCH(A268,Sezoane!$C$6:$C$40,1))),INDEX('Prețuri de setat'!$E$5:$E$39,MATCH(A268,Sezoane!$C$6:$C$40,1)),"")</f>
        <v/>
      </c>
      <c r="F268" s="44" t="str">
        <f aca="false">IF(AND(ISNUMBER(MATCH(A268,Sezoane!$C$6:$C$40,1)),A268&lt;=INDEX(Sezoane!$D$6:$D$40,MATCH(A268,Sezoane!$C$6:$C$40,1))),INDEX('Prețuri de setat'!$F$5:$F$39,MATCH(A268,Sezoane!$C$6:$C$40,1)),"")</f>
        <v/>
      </c>
      <c r="G268" s="44" t="str">
        <f aca="false">IF(AND(ISNUMBER(MATCH(A268,Sezoane!$C$6:$C$40,1)),A268&lt;=INDEX(Sezoane!$D$6:$D$40,MATCH(A268,Sezoane!$C$6:$C$40,1))),INDEX('Prețuri de setat'!$G$5:$G$39,MATCH(A268,Sezoane!$C$6:$C$40,1)),"")</f>
        <v/>
      </c>
      <c r="H268" s="44" t="str">
        <f aca="false">IF(AND(ISNUMBER(MATCH(A268,Sezoane!$C$6:$C$40,1)),A268&lt;=INDEX(Sezoane!$D$6:$D$40,MATCH(A268,Sezoane!$C$6:$C$40,1))),INDEX('Prețuri de setat'!$H$5:$H$39,MATCH(A268,Sezoane!$C$6:$C$40,1)),"")</f>
        <v/>
      </c>
      <c r="I268" s="44" t="str">
        <f aca="false">IF(AND(ISNUMBER(MATCH(A268,Sezoane!$C$6:$C$40,1)),A268&lt;=INDEX(Sezoane!$D$6:$D$40,MATCH(A268,Sezoane!$C$6:$C$40,1))),INDEX('Prețuri de setat'!$I$5:$I$39,MATCH(A268,Sezoane!$C$6:$C$40,1)),"")</f>
        <v/>
      </c>
    </row>
    <row r="269" customFormat="false" ht="15" hidden="false" customHeight="false" outlineLevel="0" collapsed="false">
      <c r="A269" s="41" t="n">
        <f aca="false">$B$2+264</f>
        <v>46580</v>
      </c>
      <c r="B269" s="42" t="str">
        <f aca="false">CHOOSE(WEEKDAY(A269,2),"Lu","Ma","Mi","Jo","Vi","Sâ","Du")</f>
        <v>Lu</v>
      </c>
      <c r="C269" s="42" t="str">
        <f aca="false">IF(AND(ISNUMBER(MATCH(A269,Sezoane!$C$6:$C$40,1)),A269&lt;=INDEX(Sezoane!$D$6:$D$40,MATCH(A269,Sezoane!$C$6:$C$40,1))),INDEX(Sezoane!$A$6:$A$40,MATCH(A269,Sezoane!$C$6:$C$40,1)),"⚠ fără sezon")</f>
        <v>⚠ fără sezon</v>
      </c>
      <c r="D269" s="42" t="str">
        <f aca="false">IF(AND(ISNUMBER(MATCH(A269,Sezoane!$C$6:$C$40,1)),A269&lt;=INDEX(Sezoane!$D$6:$D$40,MATCH(A269,Sezoane!$C$6:$C$40,1))),INDEX(Sezoane!$F$6:$F$40,MATCH(A269,Sezoane!$C$6:$C$40,1)),"")</f>
        <v/>
      </c>
      <c r="E269" s="44" t="str">
        <f aca="false">IF(AND(ISNUMBER(MATCH(A269,Sezoane!$C$6:$C$40,1)),A269&lt;=INDEX(Sezoane!$D$6:$D$40,MATCH(A269,Sezoane!$C$6:$C$40,1))),INDEX('Prețuri de setat'!$E$5:$E$39,MATCH(A269,Sezoane!$C$6:$C$40,1)),"")</f>
        <v/>
      </c>
      <c r="F269" s="44" t="str">
        <f aca="false">IF(AND(ISNUMBER(MATCH(A269,Sezoane!$C$6:$C$40,1)),A269&lt;=INDEX(Sezoane!$D$6:$D$40,MATCH(A269,Sezoane!$C$6:$C$40,1))),INDEX('Prețuri de setat'!$F$5:$F$39,MATCH(A269,Sezoane!$C$6:$C$40,1)),"")</f>
        <v/>
      </c>
      <c r="G269" s="44" t="str">
        <f aca="false">IF(AND(ISNUMBER(MATCH(A269,Sezoane!$C$6:$C$40,1)),A269&lt;=INDEX(Sezoane!$D$6:$D$40,MATCH(A269,Sezoane!$C$6:$C$40,1))),INDEX('Prețuri de setat'!$G$5:$G$39,MATCH(A269,Sezoane!$C$6:$C$40,1)),"")</f>
        <v/>
      </c>
      <c r="H269" s="44" t="str">
        <f aca="false">IF(AND(ISNUMBER(MATCH(A269,Sezoane!$C$6:$C$40,1)),A269&lt;=INDEX(Sezoane!$D$6:$D$40,MATCH(A269,Sezoane!$C$6:$C$40,1))),INDEX('Prețuri de setat'!$H$5:$H$39,MATCH(A269,Sezoane!$C$6:$C$40,1)),"")</f>
        <v/>
      </c>
      <c r="I269" s="44" t="str">
        <f aca="false">IF(AND(ISNUMBER(MATCH(A269,Sezoane!$C$6:$C$40,1)),A269&lt;=INDEX(Sezoane!$D$6:$D$40,MATCH(A269,Sezoane!$C$6:$C$40,1))),INDEX('Prețuri de setat'!$I$5:$I$39,MATCH(A269,Sezoane!$C$6:$C$40,1)),"")</f>
        <v/>
      </c>
    </row>
    <row r="270" customFormat="false" ht="15" hidden="false" customHeight="false" outlineLevel="0" collapsed="false">
      <c r="A270" s="41" t="n">
        <f aca="false">$B$2+265</f>
        <v>46581</v>
      </c>
      <c r="B270" s="42" t="str">
        <f aca="false">CHOOSE(WEEKDAY(A270,2),"Lu","Ma","Mi","Jo","Vi","Sâ","Du")</f>
        <v>Ma</v>
      </c>
      <c r="C270" s="42" t="str">
        <f aca="false">IF(AND(ISNUMBER(MATCH(A270,Sezoane!$C$6:$C$40,1)),A270&lt;=INDEX(Sezoane!$D$6:$D$40,MATCH(A270,Sezoane!$C$6:$C$40,1))),INDEX(Sezoane!$A$6:$A$40,MATCH(A270,Sezoane!$C$6:$C$40,1)),"⚠ fără sezon")</f>
        <v>⚠ fără sezon</v>
      </c>
      <c r="D270" s="42" t="str">
        <f aca="false">IF(AND(ISNUMBER(MATCH(A270,Sezoane!$C$6:$C$40,1)),A270&lt;=INDEX(Sezoane!$D$6:$D$40,MATCH(A270,Sezoane!$C$6:$C$40,1))),INDEX(Sezoane!$F$6:$F$40,MATCH(A270,Sezoane!$C$6:$C$40,1)),"")</f>
        <v/>
      </c>
      <c r="E270" s="44" t="str">
        <f aca="false">IF(AND(ISNUMBER(MATCH(A270,Sezoane!$C$6:$C$40,1)),A270&lt;=INDEX(Sezoane!$D$6:$D$40,MATCH(A270,Sezoane!$C$6:$C$40,1))),INDEX('Prețuri de setat'!$E$5:$E$39,MATCH(A270,Sezoane!$C$6:$C$40,1)),"")</f>
        <v/>
      </c>
      <c r="F270" s="44" t="str">
        <f aca="false">IF(AND(ISNUMBER(MATCH(A270,Sezoane!$C$6:$C$40,1)),A270&lt;=INDEX(Sezoane!$D$6:$D$40,MATCH(A270,Sezoane!$C$6:$C$40,1))),INDEX('Prețuri de setat'!$F$5:$F$39,MATCH(A270,Sezoane!$C$6:$C$40,1)),"")</f>
        <v/>
      </c>
      <c r="G270" s="44" t="str">
        <f aca="false">IF(AND(ISNUMBER(MATCH(A270,Sezoane!$C$6:$C$40,1)),A270&lt;=INDEX(Sezoane!$D$6:$D$40,MATCH(A270,Sezoane!$C$6:$C$40,1))),INDEX('Prețuri de setat'!$G$5:$G$39,MATCH(A270,Sezoane!$C$6:$C$40,1)),"")</f>
        <v/>
      </c>
      <c r="H270" s="44" t="str">
        <f aca="false">IF(AND(ISNUMBER(MATCH(A270,Sezoane!$C$6:$C$40,1)),A270&lt;=INDEX(Sezoane!$D$6:$D$40,MATCH(A270,Sezoane!$C$6:$C$40,1))),INDEX('Prețuri de setat'!$H$5:$H$39,MATCH(A270,Sezoane!$C$6:$C$40,1)),"")</f>
        <v/>
      </c>
      <c r="I270" s="44" t="str">
        <f aca="false">IF(AND(ISNUMBER(MATCH(A270,Sezoane!$C$6:$C$40,1)),A270&lt;=INDEX(Sezoane!$D$6:$D$40,MATCH(A270,Sezoane!$C$6:$C$40,1))),INDEX('Prețuri de setat'!$I$5:$I$39,MATCH(A270,Sezoane!$C$6:$C$40,1)),"")</f>
        <v/>
      </c>
    </row>
    <row r="271" customFormat="false" ht="15" hidden="false" customHeight="false" outlineLevel="0" collapsed="false">
      <c r="A271" s="41" t="n">
        <f aca="false">$B$2+266</f>
        <v>46582</v>
      </c>
      <c r="B271" s="42" t="str">
        <f aca="false">CHOOSE(WEEKDAY(A271,2),"Lu","Ma","Mi","Jo","Vi","Sâ","Du")</f>
        <v>Mi</v>
      </c>
      <c r="C271" s="42" t="str">
        <f aca="false">IF(AND(ISNUMBER(MATCH(A271,Sezoane!$C$6:$C$40,1)),A271&lt;=INDEX(Sezoane!$D$6:$D$40,MATCH(A271,Sezoane!$C$6:$C$40,1))),INDEX(Sezoane!$A$6:$A$40,MATCH(A271,Sezoane!$C$6:$C$40,1)),"⚠ fără sezon")</f>
        <v>⚠ fără sezon</v>
      </c>
      <c r="D271" s="42" t="str">
        <f aca="false">IF(AND(ISNUMBER(MATCH(A271,Sezoane!$C$6:$C$40,1)),A271&lt;=INDEX(Sezoane!$D$6:$D$40,MATCH(A271,Sezoane!$C$6:$C$40,1))),INDEX(Sezoane!$F$6:$F$40,MATCH(A271,Sezoane!$C$6:$C$40,1)),"")</f>
        <v/>
      </c>
      <c r="E271" s="44" t="str">
        <f aca="false">IF(AND(ISNUMBER(MATCH(A271,Sezoane!$C$6:$C$40,1)),A271&lt;=INDEX(Sezoane!$D$6:$D$40,MATCH(A271,Sezoane!$C$6:$C$40,1))),INDEX('Prețuri de setat'!$E$5:$E$39,MATCH(A271,Sezoane!$C$6:$C$40,1)),"")</f>
        <v/>
      </c>
      <c r="F271" s="44" t="str">
        <f aca="false">IF(AND(ISNUMBER(MATCH(A271,Sezoane!$C$6:$C$40,1)),A271&lt;=INDEX(Sezoane!$D$6:$D$40,MATCH(A271,Sezoane!$C$6:$C$40,1))),INDEX('Prețuri de setat'!$F$5:$F$39,MATCH(A271,Sezoane!$C$6:$C$40,1)),"")</f>
        <v/>
      </c>
      <c r="G271" s="44" t="str">
        <f aca="false">IF(AND(ISNUMBER(MATCH(A271,Sezoane!$C$6:$C$40,1)),A271&lt;=INDEX(Sezoane!$D$6:$D$40,MATCH(A271,Sezoane!$C$6:$C$40,1))),INDEX('Prețuri de setat'!$G$5:$G$39,MATCH(A271,Sezoane!$C$6:$C$40,1)),"")</f>
        <v/>
      </c>
      <c r="H271" s="44" t="str">
        <f aca="false">IF(AND(ISNUMBER(MATCH(A271,Sezoane!$C$6:$C$40,1)),A271&lt;=INDEX(Sezoane!$D$6:$D$40,MATCH(A271,Sezoane!$C$6:$C$40,1))),INDEX('Prețuri de setat'!$H$5:$H$39,MATCH(A271,Sezoane!$C$6:$C$40,1)),"")</f>
        <v/>
      </c>
      <c r="I271" s="44" t="str">
        <f aca="false">IF(AND(ISNUMBER(MATCH(A271,Sezoane!$C$6:$C$40,1)),A271&lt;=INDEX(Sezoane!$D$6:$D$40,MATCH(A271,Sezoane!$C$6:$C$40,1))),INDEX('Prețuri de setat'!$I$5:$I$39,MATCH(A271,Sezoane!$C$6:$C$40,1)),"")</f>
        <v/>
      </c>
    </row>
    <row r="272" customFormat="false" ht="15" hidden="false" customHeight="false" outlineLevel="0" collapsed="false">
      <c r="A272" s="41" t="n">
        <f aca="false">$B$2+267</f>
        <v>46583</v>
      </c>
      <c r="B272" s="42" t="str">
        <f aca="false">CHOOSE(WEEKDAY(A272,2),"Lu","Ma","Mi","Jo","Vi","Sâ","Du")</f>
        <v>Jo</v>
      </c>
      <c r="C272" s="42" t="str">
        <f aca="false">IF(AND(ISNUMBER(MATCH(A272,Sezoane!$C$6:$C$40,1)),A272&lt;=INDEX(Sezoane!$D$6:$D$40,MATCH(A272,Sezoane!$C$6:$C$40,1))),INDEX(Sezoane!$A$6:$A$40,MATCH(A272,Sezoane!$C$6:$C$40,1)),"⚠ fără sezon")</f>
        <v>⚠ fără sezon</v>
      </c>
      <c r="D272" s="42" t="str">
        <f aca="false">IF(AND(ISNUMBER(MATCH(A272,Sezoane!$C$6:$C$40,1)),A272&lt;=INDEX(Sezoane!$D$6:$D$40,MATCH(A272,Sezoane!$C$6:$C$40,1))),INDEX(Sezoane!$F$6:$F$40,MATCH(A272,Sezoane!$C$6:$C$40,1)),"")</f>
        <v/>
      </c>
      <c r="E272" s="44" t="str">
        <f aca="false">IF(AND(ISNUMBER(MATCH(A272,Sezoane!$C$6:$C$40,1)),A272&lt;=INDEX(Sezoane!$D$6:$D$40,MATCH(A272,Sezoane!$C$6:$C$40,1))),INDEX('Prețuri de setat'!$E$5:$E$39,MATCH(A272,Sezoane!$C$6:$C$40,1)),"")</f>
        <v/>
      </c>
      <c r="F272" s="44" t="str">
        <f aca="false">IF(AND(ISNUMBER(MATCH(A272,Sezoane!$C$6:$C$40,1)),A272&lt;=INDEX(Sezoane!$D$6:$D$40,MATCH(A272,Sezoane!$C$6:$C$40,1))),INDEX('Prețuri de setat'!$F$5:$F$39,MATCH(A272,Sezoane!$C$6:$C$40,1)),"")</f>
        <v/>
      </c>
      <c r="G272" s="44" t="str">
        <f aca="false">IF(AND(ISNUMBER(MATCH(A272,Sezoane!$C$6:$C$40,1)),A272&lt;=INDEX(Sezoane!$D$6:$D$40,MATCH(A272,Sezoane!$C$6:$C$40,1))),INDEX('Prețuri de setat'!$G$5:$G$39,MATCH(A272,Sezoane!$C$6:$C$40,1)),"")</f>
        <v/>
      </c>
      <c r="H272" s="44" t="str">
        <f aca="false">IF(AND(ISNUMBER(MATCH(A272,Sezoane!$C$6:$C$40,1)),A272&lt;=INDEX(Sezoane!$D$6:$D$40,MATCH(A272,Sezoane!$C$6:$C$40,1))),INDEX('Prețuri de setat'!$H$5:$H$39,MATCH(A272,Sezoane!$C$6:$C$40,1)),"")</f>
        <v/>
      </c>
      <c r="I272" s="44" t="str">
        <f aca="false">IF(AND(ISNUMBER(MATCH(A272,Sezoane!$C$6:$C$40,1)),A272&lt;=INDEX(Sezoane!$D$6:$D$40,MATCH(A272,Sezoane!$C$6:$C$40,1))),INDEX('Prețuri de setat'!$I$5:$I$39,MATCH(A272,Sezoane!$C$6:$C$40,1)),"")</f>
        <v/>
      </c>
    </row>
    <row r="273" customFormat="false" ht="15" hidden="false" customHeight="false" outlineLevel="0" collapsed="false">
      <c r="A273" s="41" t="n">
        <f aca="false">$B$2+268</f>
        <v>46584</v>
      </c>
      <c r="B273" s="42" t="str">
        <f aca="false">CHOOSE(WEEKDAY(A273,2),"Lu","Ma","Mi","Jo","Vi","Sâ","Du")</f>
        <v>Vi</v>
      </c>
      <c r="C273" s="42" t="str">
        <f aca="false">IF(AND(ISNUMBER(MATCH(A273,Sezoane!$C$6:$C$40,1)),A273&lt;=INDEX(Sezoane!$D$6:$D$40,MATCH(A273,Sezoane!$C$6:$C$40,1))),INDEX(Sezoane!$A$6:$A$40,MATCH(A273,Sezoane!$C$6:$C$40,1)),"⚠ fără sezon")</f>
        <v>⚠ fără sezon</v>
      </c>
      <c r="D273" s="42" t="str">
        <f aca="false">IF(AND(ISNUMBER(MATCH(A273,Sezoane!$C$6:$C$40,1)),A273&lt;=INDEX(Sezoane!$D$6:$D$40,MATCH(A273,Sezoane!$C$6:$C$40,1))),INDEX(Sezoane!$F$6:$F$40,MATCH(A273,Sezoane!$C$6:$C$40,1)),"")</f>
        <v/>
      </c>
      <c r="E273" s="44" t="str">
        <f aca="false">IF(AND(ISNUMBER(MATCH(A273,Sezoane!$C$6:$C$40,1)),A273&lt;=INDEX(Sezoane!$D$6:$D$40,MATCH(A273,Sezoane!$C$6:$C$40,1))),INDEX('Prețuri de setat'!$E$5:$E$39,MATCH(A273,Sezoane!$C$6:$C$40,1)),"")</f>
        <v/>
      </c>
      <c r="F273" s="44" t="str">
        <f aca="false">IF(AND(ISNUMBER(MATCH(A273,Sezoane!$C$6:$C$40,1)),A273&lt;=INDEX(Sezoane!$D$6:$D$40,MATCH(A273,Sezoane!$C$6:$C$40,1))),INDEX('Prețuri de setat'!$F$5:$F$39,MATCH(A273,Sezoane!$C$6:$C$40,1)),"")</f>
        <v/>
      </c>
      <c r="G273" s="44" t="str">
        <f aca="false">IF(AND(ISNUMBER(MATCH(A273,Sezoane!$C$6:$C$40,1)),A273&lt;=INDEX(Sezoane!$D$6:$D$40,MATCH(A273,Sezoane!$C$6:$C$40,1))),INDEX('Prețuri de setat'!$G$5:$G$39,MATCH(A273,Sezoane!$C$6:$C$40,1)),"")</f>
        <v/>
      </c>
      <c r="H273" s="44" t="str">
        <f aca="false">IF(AND(ISNUMBER(MATCH(A273,Sezoane!$C$6:$C$40,1)),A273&lt;=INDEX(Sezoane!$D$6:$D$40,MATCH(A273,Sezoane!$C$6:$C$40,1))),INDEX('Prețuri de setat'!$H$5:$H$39,MATCH(A273,Sezoane!$C$6:$C$40,1)),"")</f>
        <v/>
      </c>
      <c r="I273" s="44" t="str">
        <f aca="false">IF(AND(ISNUMBER(MATCH(A273,Sezoane!$C$6:$C$40,1)),A273&lt;=INDEX(Sezoane!$D$6:$D$40,MATCH(A273,Sezoane!$C$6:$C$40,1))),INDEX('Prețuri de setat'!$I$5:$I$39,MATCH(A273,Sezoane!$C$6:$C$40,1)),"")</f>
        <v/>
      </c>
    </row>
    <row r="274" customFormat="false" ht="15" hidden="false" customHeight="false" outlineLevel="0" collapsed="false">
      <c r="A274" s="41" t="n">
        <f aca="false">$B$2+269</f>
        <v>46585</v>
      </c>
      <c r="B274" s="42" t="str">
        <f aca="false">CHOOSE(WEEKDAY(A274,2),"Lu","Ma","Mi","Jo","Vi","Sâ","Du")</f>
        <v>Sâ</v>
      </c>
      <c r="C274" s="42" t="str">
        <f aca="false">IF(AND(ISNUMBER(MATCH(A274,Sezoane!$C$6:$C$40,1)),A274&lt;=INDEX(Sezoane!$D$6:$D$40,MATCH(A274,Sezoane!$C$6:$C$40,1))),INDEX(Sezoane!$A$6:$A$40,MATCH(A274,Sezoane!$C$6:$C$40,1)),"⚠ fără sezon")</f>
        <v>⚠ fără sezon</v>
      </c>
      <c r="D274" s="42" t="str">
        <f aca="false">IF(AND(ISNUMBER(MATCH(A274,Sezoane!$C$6:$C$40,1)),A274&lt;=INDEX(Sezoane!$D$6:$D$40,MATCH(A274,Sezoane!$C$6:$C$40,1))),INDEX(Sezoane!$F$6:$F$40,MATCH(A274,Sezoane!$C$6:$C$40,1)),"")</f>
        <v/>
      </c>
      <c r="E274" s="44" t="str">
        <f aca="false">IF(AND(ISNUMBER(MATCH(A274,Sezoane!$C$6:$C$40,1)),A274&lt;=INDEX(Sezoane!$D$6:$D$40,MATCH(A274,Sezoane!$C$6:$C$40,1))),INDEX('Prețuri de setat'!$E$5:$E$39,MATCH(A274,Sezoane!$C$6:$C$40,1)),"")</f>
        <v/>
      </c>
      <c r="F274" s="44" t="str">
        <f aca="false">IF(AND(ISNUMBER(MATCH(A274,Sezoane!$C$6:$C$40,1)),A274&lt;=INDEX(Sezoane!$D$6:$D$40,MATCH(A274,Sezoane!$C$6:$C$40,1))),INDEX('Prețuri de setat'!$F$5:$F$39,MATCH(A274,Sezoane!$C$6:$C$40,1)),"")</f>
        <v/>
      </c>
      <c r="G274" s="44" t="str">
        <f aca="false">IF(AND(ISNUMBER(MATCH(A274,Sezoane!$C$6:$C$40,1)),A274&lt;=INDEX(Sezoane!$D$6:$D$40,MATCH(A274,Sezoane!$C$6:$C$40,1))),INDEX('Prețuri de setat'!$G$5:$G$39,MATCH(A274,Sezoane!$C$6:$C$40,1)),"")</f>
        <v/>
      </c>
      <c r="H274" s="44" t="str">
        <f aca="false">IF(AND(ISNUMBER(MATCH(A274,Sezoane!$C$6:$C$40,1)),A274&lt;=INDEX(Sezoane!$D$6:$D$40,MATCH(A274,Sezoane!$C$6:$C$40,1))),INDEX('Prețuri de setat'!$H$5:$H$39,MATCH(A274,Sezoane!$C$6:$C$40,1)),"")</f>
        <v/>
      </c>
      <c r="I274" s="44" t="str">
        <f aca="false">IF(AND(ISNUMBER(MATCH(A274,Sezoane!$C$6:$C$40,1)),A274&lt;=INDEX(Sezoane!$D$6:$D$40,MATCH(A274,Sezoane!$C$6:$C$40,1))),INDEX('Prețuri de setat'!$I$5:$I$39,MATCH(A274,Sezoane!$C$6:$C$40,1)),"")</f>
        <v/>
      </c>
    </row>
    <row r="275" customFormat="false" ht="15" hidden="false" customHeight="false" outlineLevel="0" collapsed="false">
      <c r="A275" s="41" t="n">
        <f aca="false">$B$2+270</f>
        <v>46586</v>
      </c>
      <c r="B275" s="42" t="str">
        <f aca="false">CHOOSE(WEEKDAY(A275,2),"Lu","Ma","Mi","Jo","Vi","Sâ","Du")</f>
        <v>Du</v>
      </c>
      <c r="C275" s="42" t="str">
        <f aca="false">IF(AND(ISNUMBER(MATCH(A275,Sezoane!$C$6:$C$40,1)),A275&lt;=INDEX(Sezoane!$D$6:$D$40,MATCH(A275,Sezoane!$C$6:$C$40,1))),INDEX(Sezoane!$A$6:$A$40,MATCH(A275,Sezoane!$C$6:$C$40,1)),"⚠ fără sezon")</f>
        <v>⚠ fără sezon</v>
      </c>
      <c r="D275" s="42" t="str">
        <f aca="false">IF(AND(ISNUMBER(MATCH(A275,Sezoane!$C$6:$C$40,1)),A275&lt;=INDEX(Sezoane!$D$6:$D$40,MATCH(A275,Sezoane!$C$6:$C$40,1))),INDEX(Sezoane!$F$6:$F$40,MATCH(A275,Sezoane!$C$6:$C$40,1)),"")</f>
        <v/>
      </c>
      <c r="E275" s="44" t="str">
        <f aca="false">IF(AND(ISNUMBER(MATCH(A275,Sezoane!$C$6:$C$40,1)),A275&lt;=INDEX(Sezoane!$D$6:$D$40,MATCH(A275,Sezoane!$C$6:$C$40,1))),INDEX('Prețuri de setat'!$E$5:$E$39,MATCH(A275,Sezoane!$C$6:$C$40,1)),"")</f>
        <v/>
      </c>
      <c r="F275" s="44" t="str">
        <f aca="false">IF(AND(ISNUMBER(MATCH(A275,Sezoane!$C$6:$C$40,1)),A275&lt;=INDEX(Sezoane!$D$6:$D$40,MATCH(A275,Sezoane!$C$6:$C$40,1))),INDEX('Prețuri de setat'!$F$5:$F$39,MATCH(A275,Sezoane!$C$6:$C$40,1)),"")</f>
        <v/>
      </c>
      <c r="G275" s="44" t="str">
        <f aca="false">IF(AND(ISNUMBER(MATCH(A275,Sezoane!$C$6:$C$40,1)),A275&lt;=INDEX(Sezoane!$D$6:$D$40,MATCH(A275,Sezoane!$C$6:$C$40,1))),INDEX('Prețuri de setat'!$G$5:$G$39,MATCH(A275,Sezoane!$C$6:$C$40,1)),"")</f>
        <v/>
      </c>
      <c r="H275" s="44" t="str">
        <f aca="false">IF(AND(ISNUMBER(MATCH(A275,Sezoane!$C$6:$C$40,1)),A275&lt;=INDEX(Sezoane!$D$6:$D$40,MATCH(A275,Sezoane!$C$6:$C$40,1))),INDEX('Prețuri de setat'!$H$5:$H$39,MATCH(A275,Sezoane!$C$6:$C$40,1)),"")</f>
        <v/>
      </c>
      <c r="I275" s="44" t="str">
        <f aca="false">IF(AND(ISNUMBER(MATCH(A275,Sezoane!$C$6:$C$40,1)),A275&lt;=INDEX(Sezoane!$D$6:$D$40,MATCH(A275,Sezoane!$C$6:$C$40,1))),INDEX('Prețuri de setat'!$I$5:$I$39,MATCH(A275,Sezoane!$C$6:$C$40,1)),"")</f>
        <v/>
      </c>
    </row>
    <row r="276" customFormat="false" ht="15" hidden="false" customHeight="false" outlineLevel="0" collapsed="false">
      <c r="A276" s="41" t="n">
        <f aca="false">$B$2+271</f>
        <v>46587</v>
      </c>
      <c r="B276" s="42" t="str">
        <f aca="false">CHOOSE(WEEKDAY(A276,2),"Lu","Ma","Mi","Jo","Vi","Sâ","Du")</f>
        <v>Lu</v>
      </c>
      <c r="C276" s="42" t="str">
        <f aca="false">IF(AND(ISNUMBER(MATCH(A276,Sezoane!$C$6:$C$40,1)),A276&lt;=INDEX(Sezoane!$D$6:$D$40,MATCH(A276,Sezoane!$C$6:$C$40,1))),INDEX(Sezoane!$A$6:$A$40,MATCH(A276,Sezoane!$C$6:$C$40,1)),"⚠ fără sezon")</f>
        <v>⚠ fără sezon</v>
      </c>
      <c r="D276" s="42" t="str">
        <f aca="false">IF(AND(ISNUMBER(MATCH(A276,Sezoane!$C$6:$C$40,1)),A276&lt;=INDEX(Sezoane!$D$6:$D$40,MATCH(A276,Sezoane!$C$6:$C$40,1))),INDEX(Sezoane!$F$6:$F$40,MATCH(A276,Sezoane!$C$6:$C$40,1)),"")</f>
        <v/>
      </c>
      <c r="E276" s="44" t="str">
        <f aca="false">IF(AND(ISNUMBER(MATCH(A276,Sezoane!$C$6:$C$40,1)),A276&lt;=INDEX(Sezoane!$D$6:$D$40,MATCH(A276,Sezoane!$C$6:$C$40,1))),INDEX('Prețuri de setat'!$E$5:$E$39,MATCH(A276,Sezoane!$C$6:$C$40,1)),"")</f>
        <v/>
      </c>
      <c r="F276" s="44" t="str">
        <f aca="false">IF(AND(ISNUMBER(MATCH(A276,Sezoane!$C$6:$C$40,1)),A276&lt;=INDEX(Sezoane!$D$6:$D$40,MATCH(A276,Sezoane!$C$6:$C$40,1))),INDEX('Prețuri de setat'!$F$5:$F$39,MATCH(A276,Sezoane!$C$6:$C$40,1)),"")</f>
        <v/>
      </c>
      <c r="G276" s="44" t="str">
        <f aca="false">IF(AND(ISNUMBER(MATCH(A276,Sezoane!$C$6:$C$40,1)),A276&lt;=INDEX(Sezoane!$D$6:$D$40,MATCH(A276,Sezoane!$C$6:$C$40,1))),INDEX('Prețuri de setat'!$G$5:$G$39,MATCH(A276,Sezoane!$C$6:$C$40,1)),"")</f>
        <v/>
      </c>
      <c r="H276" s="44" t="str">
        <f aca="false">IF(AND(ISNUMBER(MATCH(A276,Sezoane!$C$6:$C$40,1)),A276&lt;=INDEX(Sezoane!$D$6:$D$40,MATCH(A276,Sezoane!$C$6:$C$40,1))),INDEX('Prețuri de setat'!$H$5:$H$39,MATCH(A276,Sezoane!$C$6:$C$40,1)),"")</f>
        <v/>
      </c>
      <c r="I276" s="44" t="str">
        <f aca="false">IF(AND(ISNUMBER(MATCH(A276,Sezoane!$C$6:$C$40,1)),A276&lt;=INDEX(Sezoane!$D$6:$D$40,MATCH(A276,Sezoane!$C$6:$C$40,1))),INDEX('Prețuri de setat'!$I$5:$I$39,MATCH(A276,Sezoane!$C$6:$C$40,1)),"")</f>
        <v/>
      </c>
    </row>
    <row r="277" customFormat="false" ht="15" hidden="false" customHeight="false" outlineLevel="0" collapsed="false">
      <c r="A277" s="41" t="n">
        <f aca="false">$B$2+272</f>
        <v>46588</v>
      </c>
      <c r="B277" s="42" t="str">
        <f aca="false">CHOOSE(WEEKDAY(A277,2),"Lu","Ma","Mi","Jo","Vi","Sâ","Du")</f>
        <v>Ma</v>
      </c>
      <c r="C277" s="42" t="str">
        <f aca="false">IF(AND(ISNUMBER(MATCH(A277,Sezoane!$C$6:$C$40,1)),A277&lt;=INDEX(Sezoane!$D$6:$D$40,MATCH(A277,Sezoane!$C$6:$C$40,1))),INDEX(Sezoane!$A$6:$A$40,MATCH(A277,Sezoane!$C$6:$C$40,1)),"⚠ fără sezon")</f>
        <v>⚠ fără sezon</v>
      </c>
      <c r="D277" s="42" t="str">
        <f aca="false">IF(AND(ISNUMBER(MATCH(A277,Sezoane!$C$6:$C$40,1)),A277&lt;=INDEX(Sezoane!$D$6:$D$40,MATCH(A277,Sezoane!$C$6:$C$40,1))),INDEX(Sezoane!$F$6:$F$40,MATCH(A277,Sezoane!$C$6:$C$40,1)),"")</f>
        <v/>
      </c>
      <c r="E277" s="44" t="str">
        <f aca="false">IF(AND(ISNUMBER(MATCH(A277,Sezoane!$C$6:$C$40,1)),A277&lt;=INDEX(Sezoane!$D$6:$D$40,MATCH(A277,Sezoane!$C$6:$C$40,1))),INDEX('Prețuri de setat'!$E$5:$E$39,MATCH(A277,Sezoane!$C$6:$C$40,1)),"")</f>
        <v/>
      </c>
      <c r="F277" s="44" t="str">
        <f aca="false">IF(AND(ISNUMBER(MATCH(A277,Sezoane!$C$6:$C$40,1)),A277&lt;=INDEX(Sezoane!$D$6:$D$40,MATCH(A277,Sezoane!$C$6:$C$40,1))),INDEX('Prețuri de setat'!$F$5:$F$39,MATCH(A277,Sezoane!$C$6:$C$40,1)),"")</f>
        <v/>
      </c>
      <c r="G277" s="44" t="str">
        <f aca="false">IF(AND(ISNUMBER(MATCH(A277,Sezoane!$C$6:$C$40,1)),A277&lt;=INDEX(Sezoane!$D$6:$D$40,MATCH(A277,Sezoane!$C$6:$C$40,1))),INDEX('Prețuri de setat'!$G$5:$G$39,MATCH(A277,Sezoane!$C$6:$C$40,1)),"")</f>
        <v/>
      </c>
      <c r="H277" s="44" t="str">
        <f aca="false">IF(AND(ISNUMBER(MATCH(A277,Sezoane!$C$6:$C$40,1)),A277&lt;=INDEX(Sezoane!$D$6:$D$40,MATCH(A277,Sezoane!$C$6:$C$40,1))),INDEX('Prețuri de setat'!$H$5:$H$39,MATCH(A277,Sezoane!$C$6:$C$40,1)),"")</f>
        <v/>
      </c>
      <c r="I277" s="44" t="str">
        <f aca="false">IF(AND(ISNUMBER(MATCH(A277,Sezoane!$C$6:$C$40,1)),A277&lt;=INDEX(Sezoane!$D$6:$D$40,MATCH(A277,Sezoane!$C$6:$C$40,1))),INDEX('Prețuri de setat'!$I$5:$I$39,MATCH(A277,Sezoane!$C$6:$C$40,1)),"")</f>
        <v/>
      </c>
    </row>
    <row r="278" customFormat="false" ht="15" hidden="false" customHeight="false" outlineLevel="0" collapsed="false">
      <c r="A278" s="41" t="n">
        <f aca="false">$B$2+273</f>
        <v>46589</v>
      </c>
      <c r="B278" s="42" t="str">
        <f aca="false">CHOOSE(WEEKDAY(A278,2),"Lu","Ma","Mi","Jo","Vi","Sâ","Du")</f>
        <v>Mi</v>
      </c>
      <c r="C278" s="42" t="str">
        <f aca="false">IF(AND(ISNUMBER(MATCH(A278,Sezoane!$C$6:$C$40,1)),A278&lt;=INDEX(Sezoane!$D$6:$D$40,MATCH(A278,Sezoane!$C$6:$C$40,1))),INDEX(Sezoane!$A$6:$A$40,MATCH(A278,Sezoane!$C$6:$C$40,1)),"⚠ fără sezon")</f>
        <v>⚠ fără sezon</v>
      </c>
      <c r="D278" s="42" t="str">
        <f aca="false">IF(AND(ISNUMBER(MATCH(A278,Sezoane!$C$6:$C$40,1)),A278&lt;=INDEX(Sezoane!$D$6:$D$40,MATCH(A278,Sezoane!$C$6:$C$40,1))),INDEX(Sezoane!$F$6:$F$40,MATCH(A278,Sezoane!$C$6:$C$40,1)),"")</f>
        <v/>
      </c>
      <c r="E278" s="44" t="str">
        <f aca="false">IF(AND(ISNUMBER(MATCH(A278,Sezoane!$C$6:$C$40,1)),A278&lt;=INDEX(Sezoane!$D$6:$D$40,MATCH(A278,Sezoane!$C$6:$C$40,1))),INDEX('Prețuri de setat'!$E$5:$E$39,MATCH(A278,Sezoane!$C$6:$C$40,1)),"")</f>
        <v/>
      </c>
      <c r="F278" s="44" t="str">
        <f aca="false">IF(AND(ISNUMBER(MATCH(A278,Sezoane!$C$6:$C$40,1)),A278&lt;=INDEX(Sezoane!$D$6:$D$40,MATCH(A278,Sezoane!$C$6:$C$40,1))),INDEX('Prețuri de setat'!$F$5:$F$39,MATCH(A278,Sezoane!$C$6:$C$40,1)),"")</f>
        <v/>
      </c>
      <c r="G278" s="44" t="str">
        <f aca="false">IF(AND(ISNUMBER(MATCH(A278,Sezoane!$C$6:$C$40,1)),A278&lt;=INDEX(Sezoane!$D$6:$D$40,MATCH(A278,Sezoane!$C$6:$C$40,1))),INDEX('Prețuri de setat'!$G$5:$G$39,MATCH(A278,Sezoane!$C$6:$C$40,1)),"")</f>
        <v/>
      </c>
      <c r="H278" s="44" t="str">
        <f aca="false">IF(AND(ISNUMBER(MATCH(A278,Sezoane!$C$6:$C$40,1)),A278&lt;=INDEX(Sezoane!$D$6:$D$40,MATCH(A278,Sezoane!$C$6:$C$40,1))),INDEX('Prețuri de setat'!$H$5:$H$39,MATCH(A278,Sezoane!$C$6:$C$40,1)),"")</f>
        <v/>
      </c>
      <c r="I278" s="44" t="str">
        <f aca="false">IF(AND(ISNUMBER(MATCH(A278,Sezoane!$C$6:$C$40,1)),A278&lt;=INDEX(Sezoane!$D$6:$D$40,MATCH(A278,Sezoane!$C$6:$C$40,1))),INDEX('Prețuri de setat'!$I$5:$I$39,MATCH(A278,Sezoane!$C$6:$C$40,1)),"")</f>
        <v/>
      </c>
    </row>
    <row r="279" customFormat="false" ht="15" hidden="false" customHeight="false" outlineLevel="0" collapsed="false">
      <c r="A279" s="41" t="n">
        <f aca="false">$B$2+274</f>
        <v>46590</v>
      </c>
      <c r="B279" s="42" t="str">
        <f aca="false">CHOOSE(WEEKDAY(A279,2),"Lu","Ma","Mi","Jo","Vi","Sâ","Du")</f>
        <v>Jo</v>
      </c>
      <c r="C279" s="42" t="str">
        <f aca="false">IF(AND(ISNUMBER(MATCH(A279,Sezoane!$C$6:$C$40,1)),A279&lt;=INDEX(Sezoane!$D$6:$D$40,MATCH(A279,Sezoane!$C$6:$C$40,1))),INDEX(Sezoane!$A$6:$A$40,MATCH(A279,Sezoane!$C$6:$C$40,1)),"⚠ fără sezon")</f>
        <v>⚠ fără sezon</v>
      </c>
      <c r="D279" s="42" t="str">
        <f aca="false">IF(AND(ISNUMBER(MATCH(A279,Sezoane!$C$6:$C$40,1)),A279&lt;=INDEX(Sezoane!$D$6:$D$40,MATCH(A279,Sezoane!$C$6:$C$40,1))),INDEX(Sezoane!$F$6:$F$40,MATCH(A279,Sezoane!$C$6:$C$40,1)),"")</f>
        <v/>
      </c>
      <c r="E279" s="44" t="str">
        <f aca="false">IF(AND(ISNUMBER(MATCH(A279,Sezoane!$C$6:$C$40,1)),A279&lt;=INDEX(Sezoane!$D$6:$D$40,MATCH(A279,Sezoane!$C$6:$C$40,1))),INDEX('Prețuri de setat'!$E$5:$E$39,MATCH(A279,Sezoane!$C$6:$C$40,1)),"")</f>
        <v/>
      </c>
      <c r="F279" s="44" t="str">
        <f aca="false">IF(AND(ISNUMBER(MATCH(A279,Sezoane!$C$6:$C$40,1)),A279&lt;=INDEX(Sezoane!$D$6:$D$40,MATCH(A279,Sezoane!$C$6:$C$40,1))),INDEX('Prețuri de setat'!$F$5:$F$39,MATCH(A279,Sezoane!$C$6:$C$40,1)),"")</f>
        <v/>
      </c>
      <c r="G279" s="44" t="str">
        <f aca="false">IF(AND(ISNUMBER(MATCH(A279,Sezoane!$C$6:$C$40,1)),A279&lt;=INDEX(Sezoane!$D$6:$D$40,MATCH(A279,Sezoane!$C$6:$C$40,1))),INDEX('Prețuri de setat'!$G$5:$G$39,MATCH(A279,Sezoane!$C$6:$C$40,1)),"")</f>
        <v/>
      </c>
      <c r="H279" s="44" t="str">
        <f aca="false">IF(AND(ISNUMBER(MATCH(A279,Sezoane!$C$6:$C$40,1)),A279&lt;=INDEX(Sezoane!$D$6:$D$40,MATCH(A279,Sezoane!$C$6:$C$40,1))),INDEX('Prețuri de setat'!$H$5:$H$39,MATCH(A279,Sezoane!$C$6:$C$40,1)),"")</f>
        <v/>
      </c>
      <c r="I279" s="44" t="str">
        <f aca="false">IF(AND(ISNUMBER(MATCH(A279,Sezoane!$C$6:$C$40,1)),A279&lt;=INDEX(Sezoane!$D$6:$D$40,MATCH(A279,Sezoane!$C$6:$C$40,1))),INDEX('Prețuri de setat'!$I$5:$I$39,MATCH(A279,Sezoane!$C$6:$C$40,1)),"")</f>
        <v/>
      </c>
    </row>
    <row r="280" customFormat="false" ht="15" hidden="false" customHeight="false" outlineLevel="0" collapsed="false">
      <c r="A280" s="41" t="n">
        <f aca="false">$B$2+275</f>
        <v>46591</v>
      </c>
      <c r="B280" s="42" t="str">
        <f aca="false">CHOOSE(WEEKDAY(A280,2),"Lu","Ma","Mi","Jo","Vi","Sâ","Du")</f>
        <v>Vi</v>
      </c>
      <c r="C280" s="42" t="str">
        <f aca="false">IF(AND(ISNUMBER(MATCH(A280,Sezoane!$C$6:$C$40,1)),A280&lt;=INDEX(Sezoane!$D$6:$D$40,MATCH(A280,Sezoane!$C$6:$C$40,1))),INDEX(Sezoane!$A$6:$A$40,MATCH(A280,Sezoane!$C$6:$C$40,1)),"⚠ fără sezon")</f>
        <v>⚠ fără sezon</v>
      </c>
      <c r="D280" s="42" t="str">
        <f aca="false">IF(AND(ISNUMBER(MATCH(A280,Sezoane!$C$6:$C$40,1)),A280&lt;=INDEX(Sezoane!$D$6:$D$40,MATCH(A280,Sezoane!$C$6:$C$40,1))),INDEX(Sezoane!$F$6:$F$40,MATCH(A280,Sezoane!$C$6:$C$40,1)),"")</f>
        <v/>
      </c>
      <c r="E280" s="44" t="str">
        <f aca="false">IF(AND(ISNUMBER(MATCH(A280,Sezoane!$C$6:$C$40,1)),A280&lt;=INDEX(Sezoane!$D$6:$D$40,MATCH(A280,Sezoane!$C$6:$C$40,1))),INDEX('Prețuri de setat'!$E$5:$E$39,MATCH(A280,Sezoane!$C$6:$C$40,1)),"")</f>
        <v/>
      </c>
      <c r="F280" s="44" t="str">
        <f aca="false">IF(AND(ISNUMBER(MATCH(A280,Sezoane!$C$6:$C$40,1)),A280&lt;=INDEX(Sezoane!$D$6:$D$40,MATCH(A280,Sezoane!$C$6:$C$40,1))),INDEX('Prețuri de setat'!$F$5:$F$39,MATCH(A280,Sezoane!$C$6:$C$40,1)),"")</f>
        <v/>
      </c>
      <c r="G280" s="44" t="str">
        <f aca="false">IF(AND(ISNUMBER(MATCH(A280,Sezoane!$C$6:$C$40,1)),A280&lt;=INDEX(Sezoane!$D$6:$D$40,MATCH(A280,Sezoane!$C$6:$C$40,1))),INDEX('Prețuri de setat'!$G$5:$G$39,MATCH(A280,Sezoane!$C$6:$C$40,1)),"")</f>
        <v/>
      </c>
      <c r="H280" s="44" t="str">
        <f aca="false">IF(AND(ISNUMBER(MATCH(A280,Sezoane!$C$6:$C$40,1)),A280&lt;=INDEX(Sezoane!$D$6:$D$40,MATCH(A280,Sezoane!$C$6:$C$40,1))),INDEX('Prețuri de setat'!$H$5:$H$39,MATCH(A280,Sezoane!$C$6:$C$40,1)),"")</f>
        <v/>
      </c>
      <c r="I280" s="44" t="str">
        <f aca="false">IF(AND(ISNUMBER(MATCH(A280,Sezoane!$C$6:$C$40,1)),A280&lt;=INDEX(Sezoane!$D$6:$D$40,MATCH(A280,Sezoane!$C$6:$C$40,1))),INDEX('Prețuri de setat'!$I$5:$I$39,MATCH(A280,Sezoane!$C$6:$C$40,1)),"")</f>
        <v/>
      </c>
    </row>
    <row r="281" customFormat="false" ht="15" hidden="false" customHeight="false" outlineLevel="0" collapsed="false">
      <c r="A281" s="41" t="n">
        <f aca="false">$B$2+276</f>
        <v>46592</v>
      </c>
      <c r="B281" s="42" t="str">
        <f aca="false">CHOOSE(WEEKDAY(A281,2),"Lu","Ma","Mi","Jo","Vi","Sâ","Du")</f>
        <v>Sâ</v>
      </c>
      <c r="C281" s="42" t="str">
        <f aca="false">IF(AND(ISNUMBER(MATCH(A281,Sezoane!$C$6:$C$40,1)),A281&lt;=INDEX(Sezoane!$D$6:$D$40,MATCH(A281,Sezoane!$C$6:$C$40,1))),INDEX(Sezoane!$A$6:$A$40,MATCH(A281,Sezoane!$C$6:$C$40,1)),"⚠ fără sezon")</f>
        <v>⚠ fără sezon</v>
      </c>
      <c r="D281" s="42" t="str">
        <f aca="false">IF(AND(ISNUMBER(MATCH(A281,Sezoane!$C$6:$C$40,1)),A281&lt;=INDEX(Sezoane!$D$6:$D$40,MATCH(A281,Sezoane!$C$6:$C$40,1))),INDEX(Sezoane!$F$6:$F$40,MATCH(A281,Sezoane!$C$6:$C$40,1)),"")</f>
        <v/>
      </c>
      <c r="E281" s="44" t="str">
        <f aca="false">IF(AND(ISNUMBER(MATCH(A281,Sezoane!$C$6:$C$40,1)),A281&lt;=INDEX(Sezoane!$D$6:$D$40,MATCH(A281,Sezoane!$C$6:$C$40,1))),INDEX('Prețuri de setat'!$E$5:$E$39,MATCH(A281,Sezoane!$C$6:$C$40,1)),"")</f>
        <v/>
      </c>
      <c r="F281" s="44" t="str">
        <f aca="false">IF(AND(ISNUMBER(MATCH(A281,Sezoane!$C$6:$C$40,1)),A281&lt;=INDEX(Sezoane!$D$6:$D$40,MATCH(A281,Sezoane!$C$6:$C$40,1))),INDEX('Prețuri de setat'!$F$5:$F$39,MATCH(A281,Sezoane!$C$6:$C$40,1)),"")</f>
        <v/>
      </c>
      <c r="G281" s="44" t="str">
        <f aca="false">IF(AND(ISNUMBER(MATCH(A281,Sezoane!$C$6:$C$40,1)),A281&lt;=INDEX(Sezoane!$D$6:$D$40,MATCH(A281,Sezoane!$C$6:$C$40,1))),INDEX('Prețuri de setat'!$G$5:$G$39,MATCH(A281,Sezoane!$C$6:$C$40,1)),"")</f>
        <v/>
      </c>
      <c r="H281" s="44" t="str">
        <f aca="false">IF(AND(ISNUMBER(MATCH(A281,Sezoane!$C$6:$C$40,1)),A281&lt;=INDEX(Sezoane!$D$6:$D$40,MATCH(A281,Sezoane!$C$6:$C$40,1))),INDEX('Prețuri de setat'!$H$5:$H$39,MATCH(A281,Sezoane!$C$6:$C$40,1)),"")</f>
        <v/>
      </c>
      <c r="I281" s="44" t="str">
        <f aca="false">IF(AND(ISNUMBER(MATCH(A281,Sezoane!$C$6:$C$40,1)),A281&lt;=INDEX(Sezoane!$D$6:$D$40,MATCH(A281,Sezoane!$C$6:$C$40,1))),INDEX('Prețuri de setat'!$I$5:$I$39,MATCH(A281,Sezoane!$C$6:$C$40,1)),"")</f>
        <v/>
      </c>
    </row>
    <row r="282" customFormat="false" ht="15" hidden="false" customHeight="false" outlineLevel="0" collapsed="false">
      <c r="A282" s="41" t="n">
        <f aca="false">$B$2+277</f>
        <v>46593</v>
      </c>
      <c r="B282" s="42" t="str">
        <f aca="false">CHOOSE(WEEKDAY(A282,2),"Lu","Ma","Mi","Jo","Vi","Sâ","Du")</f>
        <v>Du</v>
      </c>
      <c r="C282" s="42" t="str">
        <f aca="false">IF(AND(ISNUMBER(MATCH(A282,Sezoane!$C$6:$C$40,1)),A282&lt;=INDEX(Sezoane!$D$6:$D$40,MATCH(A282,Sezoane!$C$6:$C$40,1))),INDEX(Sezoane!$A$6:$A$40,MATCH(A282,Sezoane!$C$6:$C$40,1)),"⚠ fără sezon")</f>
        <v>⚠ fără sezon</v>
      </c>
      <c r="D282" s="42" t="str">
        <f aca="false">IF(AND(ISNUMBER(MATCH(A282,Sezoane!$C$6:$C$40,1)),A282&lt;=INDEX(Sezoane!$D$6:$D$40,MATCH(A282,Sezoane!$C$6:$C$40,1))),INDEX(Sezoane!$F$6:$F$40,MATCH(A282,Sezoane!$C$6:$C$40,1)),"")</f>
        <v/>
      </c>
      <c r="E282" s="44" t="str">
        <f aca="false">IF(AND(ISNUMBER(MATCH(A282,Sezoane!$C$6:$C$40,1)),A282&lt;=INDEX(Sezoane!$D$6:$D$40,MATCH(A282,Sezoane!$C$6:$C$40,1))),INDEX('Prețuri de setat'!$E$5:$E$39,MATCH(A282,Sezoane!$C$6:$C$40,1)),"")</f>
        <v/>
      </c>
      <c r="F282" s="44" t="str">
        <f aca="false">IF(AND(ISNUMBER(MATCH(A282,Sezoane!$C$6:$C$40,1)),A282&lt;=INDEX(Sezoane!$D$6:$D$40,MATCH(A282,Sezoane!$C$6:$C$40,1))),INDEX('Prețuri de setat'!$F$5:$F$39,MATCH(A282,Sezoane!$C$6:$C$40,1)),"")</f>
        <v/>
      </c>
      <c r="G282" s="44" t="str">
        <f aca="false">IF(AND(ISNUMBER(MATCH(A282,Sezoane!$C$6:$C$40,1)),A282&lt;=INDEX(Sezoane!$D$6:$D$40,MATCH(A282,Sezoane!$C$6:$C$40,1))),INDEX('Prețuri de setat'!$G$5:$G$39,MATCH(A282,Sezoane!$C$6:$C$40,1)),"")</f>
        <v/>
      </c>
      <c r="H282" s="44" t="str">
        <f aca="false">IF(AND(ISNUMBER(MATCH(A282,Sezoane!$C$6:$C$40,1)),A282&lt;=INDEX(Sezoane!$D$6:$D$40,MATCH(A282,Sezoane!$C$6:$C$40,1))),INDEX('Prețuri de setat'!$H$5:$H$39,MATCH(A282,Sezoane!$C$6:$C$40,1)),"")</f>
        <v/>
      </c>
      <c r="I282" s="44" t="str">
        <f aca="false">IF(AND(ISNUMBER(MATCH(A282,Sezoane!$C$6:$C$40,1)),A282&lt;=INDEX(Sezoane!$D$6:$D$40,MATCH(A282,Sezoane!$C$6:$C$40,1))),INDEX('Prețuri de setat'!$I$5:$I$39,MATCH(A282,Sezoane!$C$6:$C$40,1)),"")</f>
        <v/>
      </c>
    </row>
    <row r="283" customFormat="false" ht="15" hidden="false" customHeight="false" outlineLevel="0" collapsed="false">
      <c r="A283" s="41" t="n">
        <f aca="false">$B$2+278</f>
        <v>46594</v>
      </c>
      <c r="B283" s="42" t="str">
        <f aca="false">CHOOSE(WEEKDAY(A283,2),"Lu","Ma","Mi","Jo","Vi","Sâ","Du")</f>
        <v>Lu</v>
      </c>
      <c r="C283" s="42" t="str">
        <f aca="false">IF(AND(ISNUMBER(MATCH(A283,Sezoane!$C$6:$C$40,1)),A283&lt;=INDEX(Sezoane!$D$6:$D$40,MATCH(A283,Sezoane!$C$6:$C$40,1))),INDEX(Sezoane!$A$6:$A$40,MATCH(A283,Sezoane!$C$6:$C$40,1)),"⚠ fără sezon")</f>
        <v>⚠ fără sezon</v>
      </c>
      <c r="D283" s="42" t="str">
        <f aca="false">IF(AND(ISNUMBER(MATCH(A283,Sezoane!$C$6:$C$40,1)),A283&lt;=INDEX(Sezoane!$D$6:$D$40,MATCH(A283,Sezoane!$C$6:$C$40,1))),INDEX(Sezoane!$F$6:$F$40,MATCH(A283,Sezoane!$C$6:$C$40,1)),"")</f>
        <v/>
      </c>
      <c r="E283" s="44" t="str">
        <f aca="false">IF(AND(ISNUMBER(MATCH(A283,Sezoane!$C$6:$C$40,1)),A283&lt;=INDEX(Sezoane!$D$6:$D$40,MATCH(A283,Sezoane!$C$6:$C$40,1))),INDEX('Prețuri de setat'!$E$5:$E$39,MATCH(A283,Sezoane!$C$6:$C$40,1)),"")</f>
        <v/>
      </c>
      <c r="F283" s="44" t="str">
        <f aca="false">IF(AND(ISNUMBER(MATCH(A283,Sezoane!$C$6:$C$40,1)),A283&lt;=INDEX(Sezoane!$D$6:$D$40,MATCH(A283,Sezoane!$C$6:$C$40,1))),INDEX('Prețuri de setat'!$F$5:$F$39,MATCH(A283,Sezoane!$C$6:$C$40,1)),"")</f>
        <v/>
      </c>
      <c r="G283" s="44" t="str">
        <f aca="false">IF(AND(ISNUMBER(MATCH(A283,Sezoane!$C$6:$C$40,1)),A283&lt;=INDEX(Sezoane!$D$6:$D$40,MATCH(A283,Sezoane!$C$6:$C$40,1))),INDEX('Prețuri de setat'!$G$5:$G$39,MATCH(A283,Sezoane!$C$6:$C$40,1)),"")</f>
        <v/>
      </c>
      <c r="H283" s="44" t="str">
        <f aca="false">IF(AND(ISNUMBER(MATCH(A283,Sezoane!$C$6:$C$40,1)),A283&lt;=INDEX(Sezoane!$D$6:$D$40,MATCH(A283,Sezoane!$C$6:$C$40,1))),INDEX('Prețuri de setat'!$H$5:$H$39,MATCH(A283,Sezoane!$C$6:$C$40,1)),"")</f>
        <v/>
      </c>
      <c r="I283" s="44" t="str">
        <f aca="false">IF(AND(ISNUMBER(MATCH(A283,Sezoane!$C$6:$C$40,1)),A283&lt;=INDEX(Sezoane!$D$6:$D$40,MATCH(A283,Sezoane!$C$6:$C$40,1))),INDEX('Prețuri de setat'!$I$5:$I$39,MATCH(A283,Sezoane!$C$6:$C$40,1)),"")</f>
        <v/>
      </c>
    </row>
    <row r="284" customFormat="false" ht="15" hidden="false" customHeight="false" outlineLevel="0" collapsed="false">
      <c r="A284" s="41" t="n">
        <f aca="false">$B$2+279</f>
        <v>46595</v>
      </c>
      <c r="B284" s="42" t="str">
        <f aca="false">CHOOSE(WEEKDAY(A284,2),"Lu","Ma","Mi","Jo","Vi","Sâ","Du")</f>
        <v>Ma</v>
      </c>
      <c r="C284" s="42" t="str">
        <f aca="false">IF(AND(ISNUMBER(MATCH(A284,Sezoane!$C$6:$C$40,1)),A284&lt;=INDEX(Sezoane!$D$6:$D$40,MATCH(A284,Sezoane!$C$6:$C$40,1))),INDEX(Sezoane!$A$6:$A$40,MATCH(A284,Sezoane!$C$6:$C$40,1)),"⚠ fără sezon")</f>
        <v>⚠ fără sezon</v>
      </c>
      <c r="D284" s="42" t="str">
        <f aca="false">IF(AND(ISNUMBER(MATCH(A284,Sezoane!$C$6:$C$40,1)),A284&lt;=INDEX(Sezoane!$D$6:$D$40,MATCH(A284,Sezoane!$C$6:$C$40,1))),INDEX(Sezoane!$F$6:$F$40,MATCH(A284,Sezoane!$C$6:$C$40,1)),"")</f>
        <v/>
      </c>
      <c r="E284" s="44" t="str">
        <f aca="false">IF(AND(ISNUMBER(MATCH(A284,Sezoane!$C$6:$C$40,1)),A284&lt;=INDEX(Sezoane!$D$6:$D$40,MATCH(A284,Sezoane!$C$6:$C$40,1))),INDEX('Prețuri de setat'!$E$5:$E$39,MATCH(A284,Sezoane!$C$6:$C$40,1)),"")</f>
        <v/>
      </c>
      <c r="F284" s="44" t="str">
        <f aca="false">IF(AND(ISNUMBER(MATCH(A284,Sezoane!$C$6:$C$40,1)),A284&lt;=INDEX(Sezoane!$D$6:$D$40,MATCH(A284,Sezoane!$C$6:$C$40,1))),INDEX('Prețuri de setat'!$F$5:$F$39,MATCH(A284,Sezoane!$C$6:$C$40,1)),"")</f>
        <v/>
      </c>
      <c r="G284" s="44" t="str">
        <f aca="false">IF(AND(ISNUMBER(MATCH(A284,Sezoane!$C$6:$C$40,1)),A284&lt;=INDEX(Sezoane!$D$6:$D$40,MATCH(A284,Sezoane!$C$6:$C$40,1))),INDEX('Prețuri de setat'!$G$5:$G$39,MATCH(A284,Sezoane!$C$6:$C$40,1)),"")</f>
        <v/>
      </c>
      <c r="H284" s="44" t="str">
        <f aca="false">IF(AND(ISNUMBER(MATCH(A284,Sezoane!$C$6:$C$40,1)),A284&lt;=INDEX(Sezoane!$D$6:$D$40,MATCH(A284,Sezoane!$C$6:$C$40,1))),INDEX('Prețuri de setat'!$H$5:$H$39,MATCH(A284,Sezoane!$C$6:$C$40,1)),"")</f>
        <v/>
      </c>
      <c r="I284" s="44" t="str">
        <f aca="false">IF(AND(ISNUMBER(MATCH(A284,Sezoane!$C$6:$C$40,1)),A284&lt;=INDEX(Sezoane!$D$6:$D$40,MATCH(A284,Sezoane!$C$6:$C$40,1))),INDEX('Prețuri de setat'!$I$5:$I$39,MATCH(A284,Sezoane!$C$6:$C$40,1)),"")</f>
        <v/>
      </c>
    </row>
    <row r="285" customFormat="false" ht="15" hidden="false" customHeight="false" outlineLevel="0" collapsed="false">
      <c r="A285" s="41" t="n">
        <f aca="false">$B$2+280</f>
        <v>46596</v>
      </c>
      <c r="B285" s="42" t="str">
        <f aca="false">CHOOSE(WEEKDAY(A285,2),"Lu","Ma","Mi","Jo","Vi","Sâ","Du")</f>
        <v>Mi</v>
      </c>
      <c r="C285" s="42" t="str">
        <f aca="false">IF(AND(ISNUMBER(MATCH(A285,Sezoane!$C$6:$C$40,1)),A285&lt;=INDEX(Sezoane!$D$6:$D$40,MATCH(A285,Sezoane!$C$6:$C$40,1))),INDEX(Sezoane!$A$6:$A$40,MATCH(A285,Sezoane!$C$6:$C$40,1)),"⚠ fără sezon")</f>
        <v>⚠ fără sezon</v>
      </c>
      <c r="D285" s="42" t="str">
        <f aca="false">IF(AND(ISNUMBER(MATCH(A285,Sezoane!$C$6:$C$40,1)),A285&lt;=INDEX(Sezoane!$D$6:$D$40,MATCH(A285,Sezoane!$C$6:$C$40,1))),INDEX(Sezoane!$F$6:$F$40,MATCH(A285,Sezoane!$C$6:$C$40,1)),"")</f>
        <v/>
      </c>
      <c r="E285" s="44" t="str">
        <f aca="false">IF(AND(ISNUMBER(MATCH(A285,Sezoane!$C$6:$C$40,1)),A285&lt;=INDEX(Sezoane!$D$6:$D$40,MATCH(A285,Sezoane!$C$6:$C$40,1))),INDEX('Prețuri de setat'!$E$5:$E$39,MATCH(A285,Sezoane!$C$6:$C$40,1)),"")</f>
        <v/>
      </c>
      <c r="F285" s="44" t="str">
        <f aca="false">IF(AND(ISNUMBER(MATCH(A285,Sezoane!$C$6:$C$40,1)),A285&lt;=INDEX(Sezoane!$D$6:$D$40,MATCH(A285,Sezoane!$C$6:$C$40,1))),INDEX('Prețuri de setat'!$F$5:$F$39,MATCH(A285,Sezoane!$C$6:$C$40,1)),"")</f>
        <v/>
      </c>
      <c r="G285" s="44" t="str">
        <f aca="false">IF(AND(ISNUMBER(MATCH(A285,Sezoane!$C$6:$C$40,1)),A285&lt;=INDEX(Sezoane!$D$6:$D$40,MATCH(A285,Sezoane!$C$6:$C$40,1))),INDEX('Prețuri de setat'!$G$5:$G$39,MATCH(A285,Sezoane!$C$6:$C$40,1)),"")</f>
        <v/>
      </c>
      <c r="H285" s="44" t="str">
        <f aca="false">IF(AND(ISNUMBER(MATCH(A285,Sezoane!$C$6:$C$40,1)),A285&lt;=INDEX(Sezoane!$D$6:$D$40,MATCH(A285,Sezoane!$C$6:$C$40,1))),INDEX('Prețuri de setat'!$H$5:$H$39,MATCH(A285,Sezoane!$C$6:$C$40,1)),"")</f>
        <v/>
      </c>
      <c r="I285" s="44" t="str">
        <f aca="false">IF(AND(ISNUMBER(MATCH(A285,Sezoane!$C$6:$C$40,1)),A285&lt;=INDEX(Sezoane!$D$6:$D$40,MATCH(A285,Sezoane!$C$6:$C$40,1))),INDEX('Prețuri de setat'!$I$5:$I$39,MATCH(A285,Sezoane!$C$6:$C$40,1)),"")</f>
        <v/>
      </c>
    </row>
    <row r="286" customFormat="false" ht="15" hidden="false" customHeight="false" outlineLevel="0" collapsed="false">
      <c r="A286" s="41" t="n">
        <f aca="false">$B$2+281</f>
        <v>46597</v>
      </c>
      <c r="B286" s="42" t="str">
        <f aca="false">CHOOSE(WEEKDAY(A286,2),"Lu","Ma","Mi","Jo","Vi","Sâ","Du")</f>
        <v>Jo</v>
      </c>
      <c r="C286" s="42" t="str">
        <f aca="false">IF(AND(ISNUMBER(MATCH(A286,Sezoane!$C$6:$C$40,1)),A286&lt;=INDEX(Sezoane!$D$6:$D$40,MATCH(A286,Sezoane!$C$6:$C$40,1))),INDEX(Sezoane!$A$6:$A$40,MATCH(A286,Sezoane!$C$6:$C$40,1)),"⚠ fără sezon")</f>
        <v>⚠ fără sezon</v>
      </c>
      <c r="D286" s="42" t="str">
        <f aca="false">IF(AND(ISNUMBER(MATCH(A286,Sezoane!$C$6:$C$40,1)),A286&lt;=INDEX(Sezoane!$D$6:$D$40,MATCH(A286,Sezoane!$C$6:$C$40,1))),INDEX(Sezoane!$F$6:$F$40,MATCH(A286,Sezoane!$C$6:$C$40,1)),"")</f>
        <v/>
      </c>
      <c r="E286" s="44" t="str">
        <f aca="false">IF(AND(ISNUMBER(MATCH(A286,Sezoane!$C$6:$C$40,1)),A286&lt;=INDEX(Sezoane!$D$6:$D$40,MATCH(A286,Sezoane!$C$6:$C$40,1))),INDEX('Prețuri de setat'!$E$5:$E$39,MATCH(A286,Sezoane!$C$6:$C$40,1)),"")</f>
        <v/>
      </c>
      <c r="F286" s="44" t="str">
        <f aca="false">IF(AND(ISNUMBER(MATCH(A286,Sezoane!$C$6:$C$40,1)),A286&lt;=INDEX(Sezoane!$D$6:$D$40,MATCH(A286,Sezoane!$C$6:$C$40,1))),INDEX('Prețuri de setat'!$F$5:$F$39,MATCH(A286,Sezoane!$C$6:$C$40,1)),"")</f>
        <v/>
      </c>
      <c r="G286" s="44" t="str">
        <f aca="false">IF(AND(ISNUMBER(MATCH(A286,Sezoane!$C$6:$C$40,1)),A286&lt;=INDEX(Sezoane!$D$6:$D$40,MATCH(A286,Sezoane!$C$6:$C$40,1))),INDEX('Prețuri de setat'!$G$5:$G$39,MATCH(A286,Sezoane!$C$6:$C$40,1)),"")</f>
        <v/>
      </c>
      <c r="H286" s="44" t="str">
        <f aca="false">IF(AND(ISNUMBER(MATCH(A286,Sezoane!$C$6:$C$40,1)),A286&lt;=INDEX(Sezoane!$D$6:$D$40,MATCH(A286,Sezoane!$C$6:$C$40,1))),INDEX('Prețuri de setat'!$H$5:$H$39,MATCH(A286,Sezoane!$C$6:$C$40,1)),"")</f>
        <v/>
      </c>
      <c r="I286" s="44" t="str">
        <f aca="false">IF(AND(ISNUMBER(MATCH(A286,Sezoane!$C$6:$C$40,1)),A286&lt;=INDEX(Sezoane!$D$6:$D$40,MATCH(A286,Sezoane!$C$6:$C$40,1))),INDEX('Prețuri de setat'!$I$5:$I$39,MATCH(A286,Sezoane!$C$6:$C$40,1)),"")</f>
        <v/>
      </c>
    </row>
    <row r="287" customFormat="false" ht="15" hidden="false" customHeight="false" outlineLevel="0" collapsed="false">
      <c r="A287" s="41" t="n">
        <f aca="false">$B$2+282</f>
        <v>46598</v>
      </c>
      <c r="B287" s="42" t="str">
        <f aca="false">CHOOSE(WEEKDAY(A287,2),"Lu","Ma","Mi","Jo","Vi","Sâ","Du")</f>
        <v>Vi</v>
      </c>
      <c r="C287" s="42" t="str">
        <f aca="false">IF(AND(ISNUMBER(MATCH(A287,Sezoane!$C$6:$C$40,1)),A287&lt;=INDEX(Sezoane!$D$6:$D$40,MATCH(A287,Sezoane!$C$6:$C$40,1))),INDEX(Sezoane!$A$6:$A$40,MATCH(A287,Sezoane!$C$6:$C$40,1)),"⚠ fără sezon")</f>
        <v>⚠ fără sezon</v>
      </c>
      <c r="D287" s="42" t="str">
        <f aca="false">IF(AND(ISNUMBER(MATCH(A287,Sezoane!$C$6:$C$40,1)),A287&lt;=INDEX(Sezoane!$D$6:$D$40,MATCH(A287,Sezoane!$C$6:$C$40,1))),INDEX(Sezoane!$F$6:$F$40,MATCH(A287,Sezoane!$C$6:$C$40,1)),"")</f>
        <v/>
      </c>
      <c r="E287" s="44" t="str">
        <f aca="false">IF(AND(ISNUMBER(MATCH(A287,Sezoane!$C$6:$C$40,1)),A287&lt;=INDEX(Sezoane!$D$6:$D$40,MATCH(A287,Sezoane!$C$6:$C$40,1))),INDEX('Prețuri de setat'!$E$5:$E$39,MATCH(A287,Sezoane!$C$6:$C$40,1)),"")</f>
        <v/>
      </c>
      <c r="F287" s="44" t="str">
        <f aca="false">IF(AND(ISNUMBER(MATCH(A287,Sezoane!$C$6:$C$40,1)),A287&lt;=INDEX(Sezoane!$D$6:$D$40,MATCH(A287,Sezoane!$C$6:$C$40,1))),INDEX('Prețuri de setat'!$F$5:$F$39,MATCH(A287,Sezoane!$C$6:$C$40,1)),"")</f>
        <v/>
      </c>
      <c r="G287" s="44" t="str">
        <f aca="false">IF(AND(ISNUMBER(MATCH(A287,Sezoane!$C$6:$C$40,1)),A287&lt;=INDEX(Sezoane!$D$6:$D$40,MATCH(A287,Sezoane!$C$6:$C$40,1))),INDEX('Prețuri de setat'!$G$5:$G$39,MATCH(A287,Sezoane!$C$6:$C$40,1)),"")</f>
        <v/>
      </c>
      <c r="H287" s="44" t="str">
        <f aca="false">IF(AND(ISNUMBER(MATCH(A287,Sezoane!$C$6:$C$40,1)),A287&lt;=INDEX(Sezoane!$D$6:$D$40,MATCH(A287,Sezoane!$C$6:$C$40,1))),INDEX('Prețuri de setat'!$H$5:$H$39,MATCH(A287,Sezoane!$C$6:$C$40,1)),"")</f>
        <v/>
      </c>
      <c r="I287" s="44" t="str">
        <f aca="false">IF(AND(ISNUMBER(MATCH(A287,Sezoane!$C$6:$C$40,1)),A287&lt;=INDEX(Sezoane!$D$6:$D$40,MATCH(A287,Sezoane!$C$6:$C$40,1))),INDEX('Prețuri de setat'!$I$5:$I$39,MATCH(A287,Sezoane!$C$6:$C$40,1)),"")</f>
        <v/>
      </c>
    </row>
    <row r="288" customFormat="false" ht="15" hidden="false" customHeight="false" outlineLevel="0" collapsed="false">
      <c r="A288" s="41" t="n">
        <f aca="false">$B$2+283</f>
        <v>46599</v>
      </c>
      <c r="B288" s="42" t="str">
        <f aca="false">CHOOSE(WEEKDAY(A288,2),"Lu","Ma","Mi","Jo","Vi","Sâ","Du")</f>
        <v>Sâ</v>
      </c>
      <c r="C288" s="42" t="str">
        <f aca="false">IF(AND(ISNUMBER(MATCH(A288,Sezoane!$C$6:$C$40,1)),A288&lt;=INDEX(Sezoane!$D$6:$D$40,MATCH(A288,Sezoane!$C$6:$C$40,1))),INDEX(Sezoane!$A$6:$A$40,MATCH(A288,Sezoane!$C$6:$C$40,1)),"⚠ fără sezon")</f>
        <v>⚠ fără sezon</v>
      </c>
      <c r="D288" s="42" t="str">
        <f aca="false">IF(AND(ISNUMBER(MATCH(A288,Sezoane!$C$6:$C$40,1)),A288&lt;=INDEX(Sezoane!$D$6:$D$40,MATCH(A288,Sezoane!$C$6:$C$40,1))),INDEX(Sezoane!$F$6:$F$40,MATCH(A288,Sezoane!$C$6:$C$40,1)),"")</f>
        <v/>
      </c>
      <c r="E288" s="44" t="str">
        <f aca="false">IF(AND(ISNUMBER(MATCH(A288,Sezoane!$C$6:$C$40,1)),A288&lt;=INDEX(Sezoane!$D$6:$D$40,MATCH(A288,Sezoane!$C$6:$C$40,1))),INDEX('Prețuri de setat'!$E$5:$E$39,MATCH(A288,Sezoane!$C$6:$C$40,1)),"")</f>
        <v/>
      </c>
      <c r="F288" s="44" t="str">
        <f aca="false">IF(AND(ISNUMBER(MATCH(A288,Sezoane!$C$6:$C$40,1)),A288&lt;=INDEX(Sezoane!$D$6:$D$40,MATCH(A288,Sezoane!$C$6:$C$40,1))),INDEX('Prețuri de setat'!$F$5:$F$39,MATCH(A288,Sezoane!$C$6:$C$40,1)),"")</f>
        <v/>
      </c>
      <c r="G288" s="44" t="str">
        <f aca="false">IF(AND(ISNUMBER(MATCH(A288,Sezoane!$C$6:$C$40,1)),A288&lt;=INDEX(Sezoane!$D$6:$D$40,MATCH(A288,Sezoane!$C$6:$C$40,1))),INDEX('Prețuri de setat'!$G$5:$G$39,MATCH(A288,Sezoane!$C$6:$C$40,1)),"")</f>
        <v/>
      </c>
      <c r="H288" s="44" t="str">
        <f aca="false">IF(AND(ISNUMBER(MATCH(A288,Sezoane!$C$6:$C$40,1)),A288&lt;=INDEX(Sezoane!$D$6:$D$40,MATCH(A288,Sezoane!$C$6:$C$40,1))),INDEX('Prețuri de setat'!$H$5:$H$39,MATCH(A288,Sezoane!$C$6:$C$40,1)),"")</f>
        <v/>
      </c>
      <c r="I288" s="44" t="str">
        <f aca="false">IF(AND(ISNUMBER(MATCH(A288,Sezoane!$C$6:$C$40,1)),A288&lt;=INDEX(Sezoane!$D$6:$D$40,MATCH(A288,Sezoane!$C$6:$C$40,1))),INDEX('Prețuri de setat'!$I$5:$I$39,MATCH(A288,Sezoane!$C$6:$C$40,1)),"")</f>
        <v/>
      </c>
    </row>
    <row r="289" customFormat="false" ht="15" hidden="false" customHeight="false" outlineLevel="0" collapsed="false">
      <c r="A289" s="41" t="n">
        <f aca="false">$B$2+284</f>
        <v>46600</v>
      </c>
      <c r="B289" s="42" t="str">
        <f aca="false">CHOOSE(WEEKDAY(A289,2),"Lu","Ma","Mi","Jo","Vi","Sâ","Du")</f>
        <v>Du</v>
      </c>
      <c r="C289" s="42" t="str">
        <f aca="false">IF(AND(ISNUMBER(MATCH(A289,Sezoane!$C$6:$C$40,1)),A289&lt;=INDEX(Sezoane!$D$6:$D$40,MATCH(A289,Sezoane!$C$6:$C$40,1))),INDEX(Sezoane!$A$6:$A$40,MATCH(A289,Sezoane!$C$6:$C$40,1)),"⚠ fără sezon")</f>
        <v>⚠ fără sezon</v>
      </c>
      <c r="D289" s="42" t="str">
        <f aca="false">IF(AND(ISNUMBER(MATCH(A289,Sezoane!$C$6:$C$40,1)),A289&lt;=INDEX(Sezoane!$D$6:$D$40,MATCH(A289,Sezoane!$C$6:$C$40,1))),INDEX(Sezoane!$F$6:$F$40,MATCH(A289,Sezoane!$C$6:$C$40,1)),"")</f>
        <v/>
      </c>
      <c r="E289" s="44" t="str">
        <f aca="false">IF(AND(ISNUMBER(MATCH(A289,Sezoane!$C$6:$C$40,1)),A289&lt;=INDEX(Sezoane!$D$6:$D$40,MATCH(A289,Sezoane!$C$6:$C$40,1))),INDEX('Prețuri de setat'!$E$5:$E$39,MATCH(A289,Sezoane!$C$6:$C$40,1)),"")</f>
        <v/>
      </c>
      <c r="F289" s="44" t="str">
        <f aca="false">IF(AND(ISNUMBER(MATCH(A289,Sezoane!$C$6:$C$40,1)),A289&lt;=INDEX(Sezoane!$D$6:$D$40,MATCH(A289,Sezoane!$C$6:$C$40,1))),INDEX('Prețuri de setat'!$F$5:$F$39,MATCH(A289,Sezoane!$C$6:$C$40,1)),"")</f>
        <v/>
      </c>
      <c r="G289" s="44" t="str">
        <f aca="false">IF(AND(ISNUMBER(MATCH(A289,Sezoane!$C$6:$C$40,1)),A289&lt;=INDEX(Sezoane!$D$6:$D$40,MATCH(A289,Sezoane!$C$6:$C$40,1))),INDEX('Prețuri de setat'!$G$5:$G$39,MATCH(A289,Sezoane!$C$6:$C$40,1)),"")</f>
        <v/>
      </c>
      <c r="H289" s="44" t="str">
        <f aca="false">IF(AND(ISNUMBER(MATCH(A289,Sezoane!$C$6:$C$40,1)),A289&lt;=INDEX(Sezoane!$D$6:$D$40,MATCH(A289,Sezoane!$C$6:$C$40,1))),INDEX('Prețuri de setat'!$H$5:$H$39,MATCH(A289,Sezoane!$C$6:$C$40,1)),"")</f>
        <v/>
      </c>
      <c r="I289" s="44" t="str">
        <f aca="false">IF(AND(ISNUMBER(MATCH(A289,Sezoane!$C$6:$C$40,1)),A289&lt;=INDEX(Sezoane!$D$6:$D$40,MATCH(A289,Sezoane!$C$6:$C$40,1))),INDEX('Prețuri de setat'!$I$5:$I$39,MATCH(A289,Sezoane!$C$6:$C$40,1)),"")</f>
        <v/>
      </c>
    </row>
    <row r="290" customFormat="false" ht="15" hidden="false" customHeight="false" outlineLevel="0" collapsed="false">
      <c r="A290" s="41" t="n">
        <f aca="false">$B$2+285</f>
        <v>46601</v>
      </c>
      <c r="B290" s="42" t="str">
        <f aca="false">CHOOSE(WEEKDAY(A290,2),"Lu","Ma","Mi","Jo","Vi","Sâ","Du")</f>
        <v>Lu</v>
      </c>
      <c r="C290" s="42" t="str">
        <f aca="false">IF(AND(ISNUMBER(MATCH(A290,Sezoane!$C$6:$C$40,1)),A290&lt;=INDEX(Sezoane!$D$6:$D$40,MATCH(A290,Sezoane!$C$6:$C$40,1))),INDEX(Sezoane!$A$6:$A$40,MATCH(A290,Sezoane!$C$6:$C$40,1)),"⚠ fără sezon")</f>
        <v>⚠ fără sezon</v>
      </c>
      <c r="D290" s="42" t="str">
        <f aca="false">IF(AND(ISNUMBER(MATCH(A290,Sezoane!$C$6:$C$40,1)),A290&lt;=INDEX(Sezoane!$D$6:$D$40,MATCH(A290,Sezoane!$C$6:$C$40,1))),INDEX(Sezoane!$F$6:$F$40,MATCH(A290,Sezoane!$C$6:$C$40,1)),"")</f>
        <v/>
      </c>
      <c r="E290" s="44" t="str">
        <f aca="false">IF(AND(ISNUMBER(MATCH(A290,Sezoane!$C$6:$C$40,1)),A290&lt;=INDEX(Sezoane!$D$6:$D$40,MATCH(A290,Sezoane!$C$6:$C$40,1))),INDEX('Prețuri de setat'!$E$5:$E$39,MATCH(A290,Sezoane!$C$6:$C$40,1)),"")</f>
        <v/>
      </c>
      <c r="F290" s="44" t="str">
        <f aca="false">IF(AND(ISNUMBER(MATCH(A290,Sezoane!$C$6:$C$40,1)),A290&lt;=INDEX(Sezoane!$D$6:$D$40,MATCH(A290,Sezoane!$C$6:$C$40,1))),INDEX('Prețuri de setat'!$F$5:$F$39,MATCH(A290,Sezoane!$C$6:$C$40,1)),"")</f>
        <v/>
      </c>
      <c r="G290" s="44" t="str">
        <f aca="false">IF(AND(ISNUMBER(MATCH(A290,Sezoane!$C$6:$C$40,1)),A290&lt;=INDEX(Sezoane!$D$6:$D$40,MATCH(A290,Sezoane!$C$6:$C$40,1))),INDEX('Prețuri de setat'!$G$5:$G$39,MATCH(A290,Sezoane!$C$6:$C$40,1)),"")</f>
        <v/>
      </c>
      <c r="H290" s="44" t="str">
        <f aca="false">IF(AND(ISNUMBER(MATCH(A290,Sezoane!$C$6:$C$40,1)),A290&lt;=INDEX(Sezoane!$D$6:$D$40,MATCH(A290,Sezoane!$C$6:$C$40,1))),INDEX('Prețuri de setat'!$H$5:$H$39,MATCH(A290,Sezoane!$C$6:$C$40,1)),"")</f>
        <v/>
      </c>
      <c r="I290" s="44" t="str">
        <f aca="false">IF(AND(ISNUMBER(MATCH(A290,Sezoane!$C$6:$C$40,1)),A290&lt;=INDEX(Sezoane!$D$6:$D$40,MATCH(A290,Sezoane!$C$6:$C$40,1))),INDEX('Prețuri de setat'!$I$5:$I$39,MATCH(A290,Sezoane!$C$6:$C$40,1)),"")</f>
        <v/>
      </c>
    </row>
    <row r="291" customFormat="false" ht="15" hidden="false" customHeight="false" outlineLevel="0" collapsed="false">
      <c r="A291" s="41" t="n">
        <f aca="false">$B$2+286</f>
        <v>46602</v>
      </c>
      <c r="B291" s="42" t="str">
        <f aca="false">CHOOSE(WEEKDAY(A291,2),"Lu","Ma","Mi","Jo","Vi","Sâ","Du")</f>
        <v>Ma</v>
      </c>
      <c r="C291" s="42" t="str">
        <f aca="false">IF(AND(ISNUMBER(MATCH(A291,Sezoane!$C$6:$C$40,1)),A291&lt;=INDEX(Sezoane!$D$6:$D$40,MATCH(A291,Sezoane!$C$6:$C$40,1))),INDEX(Sezoane!$A$6:$A$40,MATCH(A291,Sezoane!$C$6:$C$40,1)),"⚠ fără sezon")</f>
        <v>⚠ fără sezon</v>
      </c>
      <c r="D291" s="42" t="str">
        <f aca="false">IF(AND(ISNUMBER(MATCH(A291,Sezoane!$C$6:$C$40,1)),A291&lt;=INDEX(Sezoane!$D$6:$D$40,MATCH(A291,Sezoane!$C$6:$C$40,1))),INDEX(Sezoane!$F$6:$F$40,MATCH(A291,Sezoane!$C$6:$C$40,1)),"")</f>
        <v/>
      </c>
      <c r="E291" s="44" t="str">
        <f aca="false">IF(AND(ISNUMBER(MATCH(A291,Sezoane!$C$6:$C$40,1)),A291&lt;=INDEX(Sezoane!$D$6:$D$40,MATCH(A291,Sezoane!$C$6:$C$40,1))),INDEX('Prețuri de setat'!$E$5:$E$39,MATCH(A291,Sezoane!$C$6:$C$40,1)),"")</f>
        <v/>
      </c>
      <c r="F291" s="44" t="str">
        <f aca="false">IF(AND(ISNUMBER(MATCH(A291,Sezoane!$C$6:$C$40,1)),A291&lt;=INDEX(Sezoane!$D$6:$D$40,MATCH(A291,Sezoane!$C$6:$C$40,1))),INDEX('Prețuri de setat'!$F$5:$F$39,MATCH(A291,Sezoane!$C$6:$C$40,1)),"")</f>
        <v/>
      </c>
      <c r="G291" s="44" t="str">
        <f aca="false">IF(AND(ISNUMBER(MATCH(A291,Sezoane!$C$6:$C$40,1)),A291&lt;=INDEX(Sezoane!$D$6:$D$40,MATCH(A291,Sezoane!$C$6:$C$40,1))),INDEX('Prețuri de setat'!$G$5:$G$39,MATCH(A291,Sezoane!$C$6:$C$40,1)),"")</f>
        <v/>
      </c>
      <c r="H291" s="44" t="str">
        <f aca="false">IF(AND(ISNUMBER(MATCH(A291,Sezoane!$C$6:$C$40,1)),A291&lt;=INDEX(Sezoane!$D$6:$D$40,MATCH(A291,Sezoane!$C$6:$C$40,1))),INDEX('Prețuri de setat'!$H$5:$H$39,MATCH(A291,Sezoane!$C$6:$C$40,1)),"")</f>
        <v/>
      </c>
      <c r="I291" s="44" t="str">
        <f aca="false">IF(AND(ISNUMBER(MATCH(A291,Sezoane!$C$6:$C$40,1)),A291&lt;=INDEX(Sezoane!$D$6:$D$40,MATCH(A291,Sezoane!$C$6:$C$40,1))),INDEX('Prețuri de setat'!$I$5:$I$39,MATCH(A291,Sezoane!$C$6:$C$40,1)),"")</f>
        <v/>
      </c>
    </row>
    <row r="292" customFormat="false" ht="15" hidden="false" customHeight="false" outlineLevel="0" collapsed="false">
      <c r="A292" s="41" t="n">
        <f aca="false">$B$2+287</f>
        <v>46603</v>
      </c>
      <c r="B292" s="42" t="str">
        <f aca="false">CHOOSE(WEEKDAY(A292,2),"Lu","Ma","Mi","Jo","Vi","Sâ","Du")</f>
        <v>Mi</v>
      </c>
      <c r="C292" s="42" t="str">
        <f aca="false">IF(AND(ISNUMBER(MATCH(A292,Sezoane!$C$6:$C$40,1)),A292&lt;=INDEX(Sezoane!$D$6:$D$40,MATCH(A292,Sezoane!$C$6:$C$40,1))),INDEX(Sezoane!$A$6:$A$40,MATCH(A292,Sezoane!$C$6:$C$40,1)),"⚠ fără sezon")</f>
        <v>⚠ fără sezon</v>
      </c>
      <c r="D292" s="42" t="str">
        <f aca="false">IF(AND(ISNUMBER(MATCH(A292,Sezoane!$C$6:$C$40,1)),A292&lt;=INDEX(Sezoane!$D$6:$D$40,MATCH(A292,Sezoane!$C$6:$C$40,1))),INDEX(Sezoane!$F$6:$F$40,MATCH(A292,Sezoane!$C$6:$C$40,1)),"")</f>
        <v/>
      </c>
      <c r="E292" s="44" t="str">
        <f aca="false">IF(AND(ISNUMBER(MATCH(A292,Sezoane!$C$6:$C$40,1)),A292&lt;=INDEX(Sezoane!$D$6:$D$40,MATCH(A292,Sezoane!$C$6:$C$40,1))),INDEX('Prețuri de setat'!$E$5:$E$39,MATCH(A292,Sezoane!$C$6:$C$40,1)),"")</f>
        <v/>
      </c>
      <c r="F292" s="44" t="str">
        <f aca="false">IF(AND(ISNUMBER(MATCH(A292,Sezoane!$C$6:$C$40,1)),A292&lt;=INDEX(Sezoane!$D$6:$D$40,MATCH(A292,Sezoane!$C$6:$C$40,1))),INDEX('Prețuri de setat'!$F$5:$F$39,MATCH(A292,Sezoane!$C$6:$C$40,1)),"")</f>
        <v/>
      </c>
      <c r="G292" s="44" t="str">
        <f aca="false">IF(AND(ISNUMBER(MATCH(A292,Sezoane!$C$6:$C$40,1)),A292&lt;=INDEX(Sezoane!$D$6:$D$40,MATCH(A292,Sezoane!$C$6:$C$40,1))),INDEX('Prețuri de setat'!$G$5:$G$39,MATCH(A292,Sezoane!$C$6:$C$40,1)),"")</f>
        <v/>
      </c>
      <c r="H292" s="44" t="str">
        <f aca="false">IF(AND(ISNUMBER(MATCH(A292,Sezoane!$C$6:$C$40,1)),A292&lt;=INDEX(Sezoane!$D$6:$D$40,MATCH(A292,Sezoane!$C$6:$C$40,1))),INDEX('Prețuri de setat'!$H$5:$H$39,MATCH(A292,Sezoane!$C$6:$C$40,1)),"")</f>
        <v/>
      </c>
      <c r="I292" s="44" t="str">
        <f aca="false">IF(AND(ISNUMBER(MATCH(A292,Sezoane!$C$6:$C$40,1)),A292&lt;=INDEX(Sezoane!$D$6:$D$40,MATCH(A292,Sezoane!$C$6:$C$40,1))),INDEX('Prețuri de setat'!$I$5:$I$39,MATCH(A292,Sezoane!$C$6:$C$40,1)),"")</f>
        <v/>
      </c>
    </row>
    <row r="293" customFormat="false" ht="15" hidden="false" customHeight="false" outlineLevel="0" collapsed="false">
      <c r="A293" s="41" t="n">
        <f aca="false">$B$2+288</f>
        <v>46604</v>
      </c>
      <c r="B293" s="42" t="str">
        <f aca="false">CHOOSE(WEEKDAY(A293,2),"Lu","Ma","Mi","Jo","Vi","Sâ","Du")</f>
        <v>Jo</v>
      </c>
      <c r="C293" s="42" t="str">
        <f aca="false">IF(AND(ISNUMBER(MATCH(A293,Sezoane!$C$6:$C$40,1)),A293&lt;=INDEX(Sezoane!$D$6:$D$40,MATCH(A293,Sezoane!$C$6:$C$40,1))),INDEX(Sezoane!$A$6:$A$40,MATCH(A293,Sezoane!$C$6:$C$40,1)),"⚠ fără sezon")</f>
        <v>⚠ fără sezon</v>
      </c>
      <c r="D293" s="42" t="str">
        <f aca="false">IF(AND(ISNUMBER(MATCH(A293,Sezoane!$C$6:$C$40,1)),A293&lt;=INDEX(Sezoane!$D$6:$D$40,MATCH(A293,Sezoane!$C$6:$C$40,1))),INDEX(Sezoane!$F$6:$F$40,MATCH(A293,Sezoane!$C$6:$C$40,1)),"")</f>
        <v/>
      </c>
      <c r="E293" s="44" t="str">
        <f aca="false">IF(AND(ISNUMBER(MATCH(A293,Sezoane!$C$6:$C$40,1)),A293&lt;=INDEX(Sezoane!$D$6:$D$40,MATCH(A293,Sezoane!$C$6:$C$40,1))),INDEX('Prețuri de setat'!$E$5:$E$39,MATCH(A293,Sezoane!$C$6:$C$40,1)),"")</f>
        <v/>
      </c>
      <c r="F293" s="44" t="str">
        <f aca="false">IF(AND(ISNUMBER(MATCH(A293,Sezoane!$C$6:$C$40,1)),A293&lt;=INDEX(Sezoane!$D$6:$D$40,MATCH(A293,Sezoane!$C$6:$C$40,1))),INDEX('Prețuri de setat'!$F$5:$F$39,MATCH(A293,Sezoane!$C$6:$C$40,1)),"")</f>
        <v/>
      </c>
      <c r="G293" s="44" t="str">
        <f aca="false">IF(AND(ISNUMBER(MATCH(A293,Sezoane!$C$6:$C$40,1)),A293&lt;=INDEX(Sezoane!$D$6:$D$40,MATCH(A293,Sezoane!$C$6:$C$40,1))),INDEX('Prețuri de setat'!$G$5:$G$39,MATCH(A293,Sezoane!$C$6:$C$40,1)),"")</f>
        <v/>
      </c>
      <c r="H293" s="44" t="str">
        <f aca="false">IF(AND(ISNUMBER(MATCH(A293,Sezoane!$C$6:$C$40,1)),A293&lt;=INDEX(Sezoane!$D$6:$D$40,MATCH(A293,Sezoane!$C$6:$C$40,1))),INDEX('Prețuri de setat'!$H$5:$H$39,MATCH(A293,Sezoane!$C$6:$C$40,1)),"")</f>
        <v/>
      </c>
      <c r="I293" s="44" t="str">
        <f aca="false">IF(AND(ISNUMBER(MATCH(A293,Sezoane!$C$6:$C$40,1)),A293&lt;=INDEX(Sezoane!$D$6:$D$40,MATCH(A293,Sezoane!$C$6:$C$40,1))),INDEX('Prețuri de setat'!$I$5:$I$39,MATCH(A293,Sezoane!$C$6:$C$40,1)),"")</f>
        <v/>
      </c>
    </row>
    <row r="294" customFormat="false" ht="15" hidden="false" customHeight="false" outlineLevel="0" collapsed="false">
      <c r="A294" s="41" t="n">
        <f aca="false">$B$2+289</f>
        <v>46605</v>
      </c>
      <c r="B294" s="42" t="str">
        <f aca="false">CHOOSE(WEEKDAY(A294,2),"Lu","Ma","Mi","Jo","Vi","Sâ","Du")</f>
        <v>Vi</v>
      </c>
      <c r="C294" s="42" t="str">
        <f aca="false">IF(AND(ISNUMBER(MATCH(A294,Sezoane!$C$6:$C$40,1)),A294&lt;=INDEX(Sezoane!$D$6:$D$40,MATCH(A294,Sezoane!$C$6:$C$40,1))),INDEX(Sezoane!$A$6:$A$40,MATCH(A294,Sezoane!$C$6:$C$40,1)),"⚠ fără sezon")</f>
        <v>⚠ fără sezon</v>
      </c>
      <c r="D294" s="42" t="str">
        <f aca="false">IF(AND(ISNUMBER(MATCH(A294,Sezoane!$C$6:$C$40,1)),A294&lt;=INDEX(Sezoane!$D$6:$D$40,MATCH(A294,Sezoane!$C$6:$C$40,1))),INDEX(Sezoane!$F$6:$F$40,MATCH(A294,Sezoane!$C$6:$C$40,1)),"")</f>
        <v/>
      </c>
      <c r="E294" s="44" t="str">
        <f aca="false">IF(AND(ISNUMBER(MATCH(A294,Sezoane!$C$6:$C$40,1)),A294&lt;=INDEX(Sezoane!$D$6:$D$40,MATCH(A294,Sezoane!$C$6:$C$40,1))),INDEX('Prețuri de setat'!$E$5:$E$39,MATCH(A294,Sezoane!$C$6:$C$40,1)),"")</f>
        <v/>
      </c>
      <c r="F294" s="44" t="str">
        <f aca="false">IF(AND(ISNUMBER(MATCH(A294,Sezoane!$C$6:$C$40,1)),A294&lt;=INDEX(Sezoane!$D$6:$D$40,MATCH(A294,Sezoane!$C$6:$C$40,1))),INDEX('Prețuri de setat'!$F$5:$F$39,MATCH(A294,Sezoane!$C$6:$C$40,1)),"")</f>
        <v/>
      </c>
      <c r="G294" s="44" t="str">
        <f aca="false">IF(AND(ISNUMBER(MATCH(A294,Sezoane!$C$6:$C$40,1)),A294&lt;=INDEX(Sezoane!$D$6:$D$40,MATCH(A294,Sezoane!$C$6:$C$40,1))),INDEX('Prețuri de setat'!$G$5:$G$39,MATCH(A294,Sezoane!$C$6:$C$40,1)),"")</f>
        <v/>
      </c>
      <c r="H294" s="44" t="str">
        <f aca="false">IF(AND(ISNUMBER(MATCH(A294,Sezoane!$C$6:$C$40,1)),A294&lt;=INDEX(Sezoane!$D$6:$D$40,MATCH(A294,Sezoane!$C$6:$C$40,1))),INDEX('Prețuri de setat'!$H$5:$H$39,MATCH(A294,Sezoane!$C$6:$C$40,1)),"")</f>
        <v/>
      </c>
      <c r="I294" s="44" t="str">
        <f aca="false">IF(AND(ISNUMBER(MATCH(A294,Sezoane!$C$6:$C$40,1)),A294&lt;=INDEX(Sezoane!$D$6:$D$40,MATCH(A294,Sezoane!$C$6:$C$40,1))),INDEX('Prețuri de setat'!$I$5:$I$39,MATCH(A294,Sezoane!$C$6:$C$40,1)),"")</f>
        <v/>
      </c>
    </row>
    <row r="295" customFormat="false" ht="15" hidden="false" customHeight="false" outlineLevel="0" collapsed="false">
      <c r="A295" s="41" t="n">
        <f aca="false">$B$2+290</f>
        <v>46606</v>
      </c>
      <c r="B295" s="42" t="str">
        <f aca="false">CHOOSE(WEEKDAY(A295,2),"Lu","Ma","Mi","Jo","Vi","Sâ","Du")</f>
        <v>Sâ</v>
      </c>
      <c r="C295" s="42" t="str">
        <f aca="false">IF(AND(ISNUMBER(MATCH(A295,Sezoane!$C$6:$C$40,1)),A295&lt;=INDEX(Sezoane!$D$6:$D$40,MATCH(A295,Sezoane!$C$6:$C$40,1))),INDEX(Sezoane!$A$6:$A$40,MATCH(A295,Sezoane!$C$6:$C$40,1)),"⚠ fără sezon")</f>
        <v>⚠ fără sezon</v>
      </c>
      <c r="D295" s="42" t="str">
        <f aca="false">IF(AND(ISNUMBER(MATCH(A295,Sezoane!$C$6:$C$40,1)),A295&lt;=INDEX(Sezoane!$D$6:$D$40,MATCH(A295,Sezoane!$C$6:$C$40,1))),INDEX(Sezoane!$F$6:$F$40,MATCH(A295,Sezoane!$C$6:$C$40,1)),"")</f>
        <v/>
      </c>
      <c r="E295" s="44" t="str">
        <f aca="false">IF(AND(ISNUMBER(MATCH(A295,Sezoane!$C$6:$C$40,1)),A295&lt;=INDEX(Sezoane!$D$6:$D$40,MATCH(A295,Sezoane!$C$6:$C$40,1))),INDEX('Prețuri de setat'!$E$5:$E$39,MATCH(A295,Sezoane!$C$6:$C$40,1)),"")</f>
        <v/>
      </c>
      <c r="F295" s="44" t="str">
        <f aca="false">IF(AND(ISNUMBER(MATCH(A295,Sezoane!$C$6:$C$40,1)),A295&lt;=INDEX(Sezoane!$D$6:$D$40,MATCH(A295,Sezoane!$C$6:$C$40,1))),INDEX('Prețuri de setat'!$F$5:$F$39,MATCH(A295,Sezoane!$C$6:$C$40,1)),"")</f>
        <v/>
      </c>
      <c r="G295" s="44" t="str">
        <f aca="false">IF(AND(ISNUMBER(MATCH(A295,Sezoane!$C$6:$C$40,1)),A295&lt;=INDEX(Sezoane!$D$6:$D$40,MATCH(A295,Sezoane!$C$6:$C$40,1))),INDEX('Prețuri de setat'!$G$5:$G$39,MATCH(A295,Sezoane!$C$6:$C$40,1)),"")</f>
        <v/>
      </c>
      <c r="H295" s="44" t="str">
        <f aca="false">IF(AND(ISNUMBER(MATCH(A295,Sezoane!$C$6:$C$40,1)),A295&lt;=INDEX(Sezoane!$D$6:$D$40,MATCH(A295,Sezoane!$C$6:$C$40,1))),INDEX('Prețuri de setat'!$H$5:$H$39,MATCH(A295,Sezoane!$C$6:$C$40,1)),"")</f>
        <v/>
      </c>
      <c r="I295" s="44" t="str">
        <f aca="false">IF(AND(ISNUMBER(MATCH(A295,Sezoane!$C$6:$C$40,1)),A295&lt;=INDEX(Sezoane!$D$6:$D$40,MATCH(A295,Sezoane!$C$6:$C$40,1))),INDEX('Prețuri de setat'!$I$5:$I$39,MATCH(A295,Sezoane!$C$6:$C$40,1)),"")</f>
        <v/>
      </c>
    </row>
    <row r="296" customFormat="false" ht="15" hidden="false" customHeight="false" outlineLevel="0" collapsed="false">
      <c r="A296" s="41" t="n">
        <f aca="false">$B$2+291</f>
        <v>46607</v>
      </c>
      <c r="B296" s="42" t="str">
        <f aca="false">CHOOSE(WEEKDAY(A296,2),"Lu","Ma","Mi","Jo","Vi","Sâ","Du")</f>
        <v>Du</v>
      </c>
      <c r="C296" s="42" t="str">
        <f aca="false">IF(AND(ISNUMBER(MATCH(A296,Sezoane!$C$6:$C$40,1)),A296&lt;=INDEX(Sezoane!$D$6:$D$40,MATCH(A296,Sezoane!$C$6:$C$40,1))),INDEX(Sezoane!$A$6:$A$40,MATCH(A296,Sezoane!$C$6:$C$40,1)),"⚠ fără sezon")</f>
        <v>⚠ fără sezon</v>
      </c>
      <c r="D296" s="42" t="str">
        <f aca="false">IF(AND(ISNUMBER(MATCH(A296,Sezoane!$C$6:$C$40,1)),A296&lt;=INDEX(Sezoane!$D$6:$D$40,MATCH(A296,Sezoane!$C$6:$C$40,1))),INDEX(Sezoane!$F$6:$F$40,MATCH(A296,Sezoane!$C$6:$C$40,1)),"")</f>
        <v/>
      </c>
      <c r="E296" s="44" t="str">
        <f aca="false">IF(AND(ISNUMBER(MATCH(A296,Sezoane!$C$6:$C$40,1)),A296&lt;=INDEX(Sezoane!$D$6:$D$40,MATCH(A296,Sezoane!$C$6:$C$40,1))),INDEX('Prețuri de setat'!$E$5:$E$39,MATCH(A296,Sezoane!$C$6:$C$40,1)),"")</f>
        <v/>
      </c>
      <c r="F296" s="44" t="str">
        <f aca="false">IF(AND(ISNUMBER(MATCH(A296,Sezoane!$C$6:$C$40,1)),A296&lt;=INDEX(Sezoane!$D$6:$D$40,MATCH(A296,Sezoane!$C$6:$C$40,1))),INDEX('Prețuri de setat'!$F$5:$F$39,MATCH(A296,Sezoane!$C$6:$C$40,1)),"")</f>
        <v/>
      </c>
      <c r="G296" s="44" t="str">
        <f aca="false">IF(AND(ISNUMBER(MATCH(A296,Sezoane!$C$6:$C$40,1)),A296&lt;=INDEX(Sezoane!$D$6:$D$40,MATCH(A296,Sezoane!$C$6:$C$40,1))),INDEX('Prețuri de setat'!$G$5:$G$39,MATCH(A296,Sezoane!$C$6:$C$40,1)),"")</f>
        <v/>
      </c>
      <c r="H296" s="44" t="str">
        <f aca="false">IF(AND(ISNUMBER(MATCH(A296,Sezoane!$C$6:$C$40,1)),A296&lt;=INDEX(Sezoane!$D$6:$D$40,MATCH(A296,Sezoane!$C$6:$C$40,1))),INDEX('Prețuri de setat'!$H$5:$H$39,MATCH(A296,Sezoane!$C$6:$C$40,1)),"")</f>
        <v/>
      </c>
      <c r="I296" s="44" t="str">
        <f aca="false">IF(AND(ISNUMBER(MATCH(A296,Sezoane!$C$6:$C$40,1)),A296&lt;=INDEX(Sezoane!$D$6:$D$40,MATCH(A296,Sezoane!$C$6:$C$40,1))),INDEX('Prețuri de setat'!$I$5:$I$39,MATCH(A296,Sezoane!$C$6:$C$40,1)),"")</f>
        <v/>
      </c>
    </row>
    <row r="297" customFormat="false" ht="15" hidden="false" customHeight="false" outlineLevel="0" collapsed="false">
      <c r="A297" s="41" t="n">
        <f aca="false">$B$2+292</f>
        <v>46608</v>
      </c>
      <c r="B297" s="42" t="str">
        <f aca="false">CHOOSE(WEEKDAY(A297,2),"Lu","Ma","Mi","Jo","Vi","Sâ","Du")</f>
        <v>Lu</v>
      </c>
      <c r="C297" s="42" t="str">
        <f aca="false">IF(AND(ISNUMBER(MATCH(A297,Sezoane!$C$6:$C$40,1)),A297&lt;=INDEX(Sezoane!$D$6:$D$40,MATCH(A297,Sezoane!$C$6:$C$40,1))),INDEX(Sezoane!$A$6:$A$40,MATCH(A297,Sezoane!$C$6:$C$40,1)),"⚠ fără sezon")</f>
        <v>⚠ fără sezon</v>
      </c>
      <c r="D297" s="42" t="str">
        <f aca="false">IF(AND(ISNUMBER(MATCH(A297,Sezoane!$C$6:$C$40,1)),A297&lt;=INDEX(Sezoane!$D$6:$D$40,MATCH(A297,Sezoane!$C$6:$C$40,1))),INDEX(Sezoane!$F$6:$F$40,MATCH(A297,Sezoane!$C$6:$C$40,1)),"")</f>
        <v/>
      </c>
      <c r="E297" s="44" t="str">
        <f aca="false">IF(AND(ISNUMBER(MATCH(A297,Sezoane!$C$6:$C$40,1)),A297&lt;=INDEX(Sezoane!$D$6:$D$40,MATCH(A297,Sezoane!$C$6:$C$40,1))),INDEX('Prețuri de setat'!$E$5:$E$39,MATCH(A297,Sezoane!$C$6:$C$40,1)),"")</f>
        <v/>
      </c>
      <c r="F297" s="44" t="str">
        <f aca="false">IF(AND(ISNUMBER(MATCH(A297,Sezoane!$C$6:$C$40,1)),A297&lt;=INDEX(Sezoane!$D$6:$D$40,MATCH(A297,Sezoane!$C$6:$C$40,1))),INDEX('Prețuri de setat'!$F$5:$F$39,MATCH(A297,Sezoane!$C$6:$C$40,1)),"")</f>
        <v/>
      </c>
      <c r="G297" s="44" t="str">
        <f aca="false">IF(AND(ISNUMBER(MATCH(A297,Sezoane!$C$6:$C$40,1)),A297&lt;=INDEX(Sezoane!$D$6:$D$40,MATCH(A297,Sezoane!$C$6:$C$40,1))),INDEX('Prețuri de setat'!$G$5:$G$39,MATCH(A297,Sezoane!$C$6:$C$40,1)),"")</f>
        <v/>
      </c>
      <c r="H297" s="44" t="str">
        <f aca="false">IF(AND(ISNUMBER(MATCH(A297,Sezoane!$C$6:$C$40,1)),A297&lt;=INDEX(Sezoane!$D$6:$D$40,MATCH(A297,Sezoane!$C$6:$C$40,1))),INDEX('Prețuri de setat'!$H$5:$H$39,MATCH(A297,Sezoane!$C$6:$C$40,1)),"")</f>
        <v/>
      </c>
      <c r="I297" s="44" t="str">
        <f aca="false">IF(AND(ISNUMBER(MATCH(A297,Sezoane!$C$6:$C$40,1)),A297&lt;=INDEX(Sezoane!$D$6:$D$40,MATCH(A297,Sezoane!$C$6:$C$40,1))),INDEX('Prețuri de setat'!$I$5:$I$39,MATCH(A297,Sezoane!$C$6:$C$40,1)),"")</f>
        <v/>
      </c>
    </row>
    <row r="298" customFormat="false" ht="15" hidden="false" customHeight="false" outlineLevel="0" collapsed="false">
      <c r="A298" s="41" t="n">
        <f aca="false">$B$2+293</f>
        <v>46609</v>
      </c>
      <c r="B298" s="42" t="str">
        <f aca="false">CHOOSE(WEEKDAY(A298,2),"Lu","Ma","Mi","Jo","Vi","Sâ","Du")</f>
        <v>Ma</v>
      </c>
      <c r="C298" s="42" t="str">
        <f aca="false">IF(AND(ISNUMBER(MATCH(A298,Sezoane!$C$6:$C$40,1)),A298&lt;=INDEX(Sezoane!$D$6:$D$40,MATCH(A298,Sezoane!$C$6:$C$40,1))),INDEX(Sezoane!$A$6:$A$40,MATCH(A298,Sezoane!$C$6:$C$40,1)),"⚠ fără sezon")</f>
        <v>⚠ fără sezon</v>
      </c>
      <c r="D298" s="42" t="str">
        <f aca="false">IF(AND(ISNUMBER(MATCH(A298,Sezoane!$C$6:$C$40,1)),A298&lt;=INDEX(Sezoane!$D$6:$D$40,MATCH(A298,Sezoane!$C$6:$C$40,1))),INDEX(Sezoane!$F$6:$F$40,MATCH(A298,Sezoane!$C$6:$C$40,1)),"")</f>
        <v/>
      </c>
      <c r="E298" s="44" t="str">
        <f aca="false">IF(AND(ISNUMBER(MATCH(A298,Sezoane!$C$6:$C$40,1)),A298&lt;=INDEX(Sezoane!$D$6:$D$40,MATCH(A298,Sezoane!$C$6:$C$40,1))),INDEX('Prețuri de setat'!$E$5:$E$39,MATCH(A298,Sezoane!$C$6:$C$40,1)),"")</f>
        <v/>
      </c>
      <c r="F298" s="44" t="str">
        <f aca="false">IF(AND(ISNUMBER(MATCH(A298,Sezoane!$C$6:$C$40,1)),A298&lt;=INDEX(Sezoane!$D$6:$D$40,MATCH(A298,Sezoane!$C$6:$C$40,1))),INDEX('Prețuri de setat'!$F$5:$F$39,MATCH(A298,Sezoane!$C$6:$C$40,1)),"")</f>
        <v/>
      </c>
      <c r="G298" s="44" t="str">
        <f aca="false">IF(AND(ISNUMBER(MATCH(A298,Sezoane!$C$6:$C$40,1)),A298&lt;=INDEX(Sezoane!$D$6:$D$40,MATCH(A298,Sezoane!$C$6:$C$40,1))),INDEX('Prețuri de setat'!$G$5:$G$39,MATCH(A298,Sezoane!$C$6:$C$40,1)),"")</f>
        <v/>
      </c>
      <c r="H298" s="44" t="str">
        <f aca="false">IF(AND(ISNUMBER(MATCH(A298,Sezoane!$C$6:$C$40,1)),A298&lt;=INDEX(Sezoane!$D$6:$D$40,MATCH(A298,Sezoane!$C$6:$C$40,1))),INDEX('Prețuri de setat'!$H$5:$H$39,MATCH(A298,Sezoane!$C$6:$C$40,1)),"")</f>
        <v/>
      </c>
      <c r="I298" s="44" t="str">
        <f aca="false">IF(AND(ISNUMBER(MATCH(A298,Sezoane!$C$6:$C$40,1)),A298&lt;=INDEX(Sezoane!$D$6:$D$40,MATCH(A298,Sezoane!$C$6:$C$40,1))),INDEX('Prețuri de setat'!$I$5:$I$39,MATCH(A298,Sezoane!$C$6:$C$40,1)),"")</f>
        <v/>
      </c>
    </row>
    <row r="299" customFormat="false" ht="15" hidden="false" customHeight="false" outlineLevel="0" collapsed="false">
      <c r="A299" s="41" t="n">
        <f aca="false">$B$2+294</f>
        <v>46610</v>
      </c>
      <c r="B299" s="42" t="str">
        <f aca="false">CHOOSE(WEEKDAY(A299,2),"Lu","Ma","Mi","Jo","Vi","Sâ","Du")</f>
        <v>Mi</v>
      </c>
      <c r="C299" s="42" t="str">
        <f aca="false">IF(AND(ISNUMBER(MATCH(A299,Sezoane!$C$6:$C$40,1)),A299&lt;=INDEX(Sezoane!$D$6:$D$40,MATCH(A299,Sezoane!$C$6:$C$40,1))),INDEX(Sezoane!$A$6:$A$40,MATCH(A299,Sezoane!$C$6:$C$40,1)),"⚠ fără sezon")</f>
        <v>⚠ fără sezon</v>
      </c>
      <c r="D299" s="42" t="str">
        <f aca="false">IF(AND(ISNUMBER(MATCH(A299,Sezoane!$C$6:$C$40,1)),A299&lt;=INDEX(Sezoane!$D$6:$D$40,MATCH(A299,Sezoane!$C$6:$C$40,1))),INDEX(Sezoane!$F$6:$F$40,MATCH(A299,Sezoane!$C$6:$C$40,1)),"")</f>
        <v/>
      </c>
      <c r="E299" s="44" t="str">
        <f aca="false">IF(AND(ISNUMBER(MATCH(A299,Sezoane!$C$6:$C$40,1)),A299&lt;=INDEX(Sezoane!$D$6:$D$40,MATCH(A299,Sezoane!$C$6:$C$40,1))),INDEX('Prețuri de setat'!$E$5:$E$39,MATCH(A299,Sezoane!$C$6:$C$40,1)),"")</f>
        <v/>
      </c>
      <c r="F299" s="44" t="str">
        <f aca="false">IF(AND(ISNUMBER(MATCH(A299,Sezoane!$C$6:$C$40,1)),A299&lt;=INDEX(Sezoane!$D$6:$D$40,MATCH(A299,Sezoane!$C$6:$C$40,1))),INDEX('Prețuri de setat'!$F$5:$F$39,MATCH(A299,Sezoane!$C$6:$C$40,1)),"")</f>
        <v/>
      </c>
      <c r="G299" s="44" t="str">
        <f aca="false">IF(AND(ISNUMBER(MATCH(A299,Sezoane!$C$6:$C$40,1)),A299&lt;=INDEX(Sezoane!$D$6:$D$40,MATCH(A299,Sezoane!$C$6:$C$40,1))),INDEX('Prețuri de setat'!$G$5:$G$39,MATCH(A299,Sezoane!$C$6:$C$40,1)),"")</f>
        <v/>
      </c>
      <c r="H299" s="44" t="str">
        <f aca="false">IF(AND(ISNUMBER(MATCH(A299,Sezoane!$C$6:$C$40,1)),A299&lt;=INDEX(Sezoane!$D$6:$D$40,MATCH(A299,Sezoane!$C$6:$C$40,1))),INDEX('Prețuri de setat'!$H$5:$H$39,MATCH(A299,Sezoane!$C$6:$C$40,1)),"")</f>
        <v/>
      </c>
      <c r="I299" s="44" t="str">
        <f aca="false">IF(AND(ISNUMBER(MATCH(A299,Sezoane!$C$6:$C$40,1)),A299&lt;=INDEX(Sezoane!$D$6:$D$40,MATCH(A299,Sezoane!$C$6:$C$40,1))),INDEX('Prețuri de setat'!$I$5:$I$39,MATCH(A299,Sezoane!$C$6:$C$40,1)),"")</f>
        <v/>
      </c>
    </row>
    <row r="300" customFormat="false" ht="15" hidden="false" customHeight="false" outlineLevel="0" collapsed="false">
      <c r="A300" s="41" t="n">
        <f aca="false">$B$2+295</f>
        <v>46611</v>
      </c>
      <c r="B300" s="42" t="str">
        <f aca="false">CHOOSE(WEEKDAY(A300,2),"Lu","Ma","Mi","Jo","Vi","Sâ","Du")</f>
        <v>Jo</v>
      </c>
      <c r="C300" s="42" t="str">
        <f aca="false">IF(AND(ISNUMBER(MATCH(A300,Sezoane!$C$6:$C$40,1)),A300&lt;=INDEX(Sezoane!$D$6:$D$40,MATCH(A300,Sezoane!$C$6:$C$40,1))),INDEX(Sezoane!$A$6:$A$40,MATCH(A300,Sezoane!$C$6:$C$40,1)),"⚠ fără sezon")</f>
        <v>⚠ fără sezon</v>
      </c>
      <c r="D300" s="42" t="str">
        <f aca="false">IF(AND(ISNUMBER(MATCH(A300,Sezoane!$C$6:$C$40,1)),A300&lt;=INDEX(Sezoane!$D$6:$D$40,MATCH(A300,Sezoane!$C$6:$C$40,1))),INDEX(Sezoane!$F$6:$F$40,MATCH(A300,Sezoane!$C$6:$C$40,1)),"")</f>
        <v/>
      </c>
      <c r="E300" s="44" t="str">
        <f aca="false">IF(AND(ISNUMBER(MATCH(A300,Sezoane!$C$6:$C$40,1)),A300&lt;=INDEX(Sezoane!$D$6:$D$40,MATCH(A300,Sezoane!$C$6:$C$40,1))),INDEX('Prețuri de setat'!$E$5:$E$39,MATCH(A300,Sezoane!$C$6:$C$40,1)),"")</f>
        <v/>
      </c>
      <c r="F300" s="44" t="str">
        <f aca="false">IF(AND(ISNUMBER(MATCH(A300,Sezoane!$C$6:$C$40,1)),A300&lt;=INDEX(Sezoane!$D$6:$D$40,MATCH(A300,Sezoane!$C$6:$C$40,1))),INDEX('Prețuri de setat'!$F$5:$F$39,MATCH(A300,Sezoane!$C$6:$C$40,1)),"")</f>
        <v/>
      </c>
      <c r="G300" s="44" t="str">
        <f aca="false">IF(AND(ISNUMBER(MATCH(A300,Sezoane!$C$6:$C$40,1)),A300&lt;=INDEX(Sezoane!$D$6:$D$40,MATCH(A300,Sezoane!$C$6:$C$40,1))),INDEX('Prețuri de setat'!$G$5:$G$39,MATCH(A300,Sezoane!$C$6:$C$40,1)),"")</f>
        <v/>
      </c>
      <c r="H300" s="44" t="str">
        <f aca="false">IF(AND(ISNUMBER(MATCH(A300,Sezoane!$C$6:$C$40,1)),A300&lt;=INDEX(Sezoane!$D$6:$D$40,MATCH(A300,Sezoane!$C$6:$C$40,1))),INDEX('Prețuri de setat'!$H$5:$H$39,MATCH(A300,Sezoane!$C$6:$C$40,1)),"")</f>
        <v/>
      </c>
      <c r="I300" s="44" t="str">
        <f aca="false">IF(AND(ISNUMBER(MATCH(A300,Sezoane!$C$6:$C$40,1)),A300&lt;=INDEX(Sezoane!$D$6:$D$40,MATCH(A300,Sezoane!$C$6:$C$40,1))),INDEX('Prețuri de setat'!$I$5:$I$39,MATCH(A300,Sezoane!$C$6:$C$40,1)),"")</f>
        <v/>
      </c>
    </row>
    <row r="301" customFormat="false" ht="15" hidden="false" customHeight="false" outlineLevel="0" collapsed="false">
      <c r="A301" s="41" t="n">
        <f aca="false">$B$2+296</f>
        <v>46612</v>
      </c>
      <c r="B301" s="42" t="str">
        <f aca="false">CHOOSE(WEEKDAY(A301,2),"Lu","Ma","Mi","Jo","Vi","Sâ","Du")</f>
        <v>Vi</v>
      </c>
      <c r="C301" s="42" t="str">
        <f aca="false">IF(AND(ISNUMBER(MATCH(A301,Sezoane!$C$6:$C$40,1)),A301&lt;=INDEX(Sezoane!$D$6:$D$40,MATCH(A301,Sezoane!$C$6:$C$40,1))),INDEX(Sezoane!$A$6:$A$40,MATCH(A301,Sezoane!$C$6:$C$40,1)),"⚠ fără sezon")</f>
        <v>⚠ fără sezon</v>
      </c>
      <c r="D301" s="42" t="str">
        <f aca="false">IF(AND(ISNUMBER(MATCH(A301,Sezoane!$C$6:$C$40,1)),A301&lt;=INDEX(Sezoane!$D$6:$D$40,MATCH(A301,Sezoane!$C$6:$C$40,1))),INDEX(Sezoane!$F$6:$F$40,MATCH(A301,Sezoane!$C$6:$C$40,1)),"")</f>
        <v/>
      </c>
      <c r="E301" s="44" t="str">
        <f aca="false">IF(AND(ISNUMBER(MATCH(A301,Sezoane!$C$6:$C$40,1)),A301&lt;=INDEX(Sezoane!$D$6:$D$40,MATCH(A301,Sezoane!$C$6:$C$40,1))),INDEX('Prețuri de setat'!$E$5:$E$39,MATCH(A301,Sezoane!$C$6:$C$40,1)),"")</f>
        <v/>
      </c>
      <c r="F301" s="44" t="str">
        <f aca="false">IF(AND(ISNUMBER(MATCH(A301,Sezoane!$C$6:$C$40,1)),A301&lt;=INDEX(Sezoane!$D$6:$D$40,MATCH(A301,Sezoane!$C$6:$C$40,1))),INDEX('Prețuri de setat'!$F$5:$F$39,MATCH(A301,Sezoane!$C$6:$C$40,1)),"")</f>
        <v/>
      </c>
      <c r="G301" s="44" t="str">
        <f aca="false">IF(AND(ISNUMBER(MATCH(A301,Sezoane!$C$6:$C$40,1)),A301&lt;=INDEX(Sezoane!$D$6:$D$40,MATCH(A301,Sezoane!$C$6:$C$40,1))),INDEX('Prețuri de setat'!$G$5:$G$39,MATCH(A301,Sezoane!$C$6:$C$40,1)),"")</f>
        <v/>
      </c>
      <c r="H301" s="44" t="str">
        <f aca="false">IF(AND(ISNUMBER(MATCH(A301,Sezoane!$C$6:$C$40,1)),A301&lt;=INDEX(Sezoane!$D$6:$D$40,MATCH(A301,Sezoane!$C$6:$C$40,1))),INDEX('Prețuri de setat'!$H$5:$H$39,MATCH(A301,Sezoane!$C$6:$C$40,1)),"")</f>
        <v/>
      </c>
      <c r="I301" s="44" t="str">
        <f aca="false">IF(AND(ISNUMBER(MATCH(A301,Sezoane!$C$6:$C$40,1)),A301&lt;=INDEX(Sezoane!$D$6:$D$40,MATCH(A301,Sezoane!$C$6:$C$40,1))),INDEX('Prețuri de setat'!$I$5:$I$39,MATCH(A301,Sezoane!$C$6:$C$40,1)),"")</f>
        <v/>
      </c>
    </row>
    <row r="302" customFormat="false" ht="15" hidden="false" customHeight="false" outlineLevel="0" collapsed="false">
      <c r="A302" s="41" t="n">
        <f aca="false">$B$2+297</f>
        <v>46613</v>
      </c>
      <c r="B302" s="42" t="str">
        <f aca="false">CHOOSE(WEEKDAY(A302,2),"Lu","Ma","Mi","Jo","Vi","Sâ","Du")</f>
        <v>Sâ</v>
      </c>
      <c r="C302" s="42" t="str">
        <f aca="false">IF(AND(ISNUMBER(MATCH(A302,Sezoane!$C$6:$C$40,1)),A302&lt;=INDEX(Sezoane!$D$6:$D$40,MATCH(A302,Sezoane!$C$6:$C$40,1))),INDEX(Sezoane!$A$6:$A$40,MATCH(A302,Sezoane!$C$6:$C$40,1)),"⚠ fără sezon")</f>
        <v>⚠ fără sezon</v>
      </c>
      <c r="D302" s="42" t="str">
        <f aca="false">IF(AND(ISNUMBER(MATCH(A302,Sezoane!$C$6:$C$40,1)),A302&lt;=INDEX(Sezoane!$D$6:$D$40,MATCH(A302,Sezoane!$C$6:$C$40,1))),INDEX(Sezoane!$F$6:$F$40,MATCH(A302,Sezoane!$C$6:$C$40,1)),"")</f>
        <v/>
      </c>
      <c r="E302" s="44" t="str">
        <f aca="false">IF(AND(ISNUMBER(MATCH(A302,Sezoane!$C$6:$C$40,1)),A302&lt;=INDEX(Sezoane!$D$6:$D$40,MATCH(A302,Sezoane!$C$6:$C$40,1))),INDEX('Prețuri de setat'!$E$5:$E$39,MATCH(A302,Sezoane!$C$6:$C$40,1)),"")</f>
        <v/>
      </c>
      <c r="F302" s="44" t="str">
        <f aca="false">IF(AND(ISNUMBER(MATCH(A302,Sezoane!$C$6:$C$40,1)),A302&lt;=INDEX(Sezoane!$D$6:$D$40,MATCH(A302,Sezoane!$C$6:$C$40,1))),INDEX('Prețuri de setat'!$F$5:$F$39,MATCH(A302,Sezoane!$C$6:$C$40,1)),"")</f>
        <v/>
      </c>
      <c r="G302" s="44" t="str">
        <f aca="false">IF(AND(ISNUMBER(MATCH(A302,Sezoane!$C$6:$C$40,1)),A302&lt;=INDEX(Sezoane!$D$6:$D$40,MATCH(A302,Sezoane!$C$6:$C$40,1))),INDEX('Prețuri de setat'!$G$5:$G$39,MATCH(A302,Sezoane!$C$6:$C$40,1)),"")</f>
        <v/>
      </c>
      <c r="H302" s="44" t="str">
        <f aca="false">IF(AND(ISNUMBER(MATCH(A302,Sezoane!$C$6:$C$40,1)),A302&lt;=INDEX(Sezoane!$D$6:$D$40,MATCH(A302,Sezoane!$C$6:$C$40,1))),INDEX('Prețuri de setat'!$H$5:$H$39,MATCH(A302,Sezoane!$C$6:$C$40,1)),"")</f>
        <v/>
      </c>
      <c r="I302" s="44" t="str">
        <f aca="false">IF(AND(ISNUMBER(MATCH(A302,Sezoane!$C$6:$C$40,1)),A302&lt;=INDEX(Sezoane!$D$6:$D$40,MATCH(A302,Sezoane!$C$6:$C$40,1))),INDEX('Prețuri de setat'!$I$5:$I$39,MATCH(A302,Sezoane!$C$6:$C$40,1)),"")</f>
        <v/>
      </c>
    </row>
    <row r="303" customFormat="false" ht="15" hidden="false" customHeight="false" outlineLevel="0" collapsed="false">
      <c r="A303" s="41" t="n">
        <f aca="false">$B$2+298</f>
        <v>46614</v>
      </c>
      <c r="B303" s="42" t="str">
        <f aca="false">CHOOSE(WEEKDAY(A303,2),"Lu","Ma","Mi","Jo","Vi","Sâ","Du")</f>
        <v>Du</v>
      </c>
      <c r="C303" s="42" t="str">
        <f aca="false">IF(AND(ISNUMBER(MATCH(A303,Sezoane!$C$6:$C$40,1)),A303&lt;=INDEX(Sezoane!$D$6:$D$40,MATCH(A303,Sezoane!$C$6:$C$40,1))),INDEX(Sezoane!$A$6:$A$40,MATCH(A303,Sezoane!$C$6:$C$40,1)),"⚠ fără sezon")</f>
        <v>⚠ fără sezon</v>
      </c>
      <c r="D303" s="42" t="str">
        <f aca="false">IF(AND(ISNUMBER(MATCH(A303,Sezoane!$C$6:$C$40,1)),A303&lt;=INDEX(Sezoane!$D$6:$D$40,MATCH(A303,Sezoane!$C$6:$C$40,1))),INDEX(Sezoane!$F$6:$F$40,MATCH(A303,Sezoane!$C$6:$C$40,1)),"")</f>
        <v/>
      </c>
      <c r="E303" s="44" t="str">
        <f aca="false">IF(AND(ISNUMBER(MATCH(A303,Sezoane!$C$6:$C$40,1)),A303&lt;=INDEX(Sezoane!$D$6:$D$40,MATCH(A303,Sezoane!$C$6:$C$40,1))),INDEX('Prețuri de setat'!$E$5:$E$39,MATCH(A303,Sezoane!$C$6:$C$40,1)),"")</f>
        <v/>
      </c>
      <c r="F303" s="44" t="str">
        <f aca="false">IF(AND(ISNUMBER(MATCH(A303,Sezoane!$C$6:$C$40,1)),A303&lt;=INDEX(Sezoane!$D$6:$D$40,MATCH(A303,Sezoane!$C$6:$C$40,1))),INDEX('Prețuri de setat'!$F$5:$F$39,MATCH(A303,Sezoane!$C$6:$C$40,1)),"")</f>
        <v/>
      </c>
      <c r="G303" s="44" t="str">
        <f aca="false">IF(AND(ISNUMBER(MATCH(A303,Sezoane!$C$6:$C$40,1)),A303&lt;=INDEX(Sezoane!$D$6:$D$40,MATCH(A303,Sezoane!$C$6:$C$40,1))),INDEX('Prețuri de setat'!$G$5:$G$39,MATCH(A303,Sezoane!$C$6:$C$40,1)),"")</f>
        <v/>
      </c>
      <c r="H303" s="44" t="str">
        <f aca="false">IF(AND(ISNUMBER(MATCH(A303,Sezoane!$C$6:$C$40,1)),A303&lt;=INDEX(Sezoane!$D$6:$D$40,MATCH(A303,Sezoane!$C$6:$C$40,1))),INDEX('Prețuri de setat'!$H$5:$H$39,MATCH(A303,Sezoane!$C$6:$C$40,1)),"")</f>
        <v/>
      </c>
      <c r="I303" s="44" t="str">
        <f aca="false">IF(AND(ISNUMBER(MATCH(A303,Sezoane!$C$6:$C$40,1)),A303&lt;=INDEX(Sezoane!$D$6:$D$40,MATCH(A303,Sezoane!$C$6:$C$40,1))),INDEX('Prețuri de setat'!$I$5:$I$39,MATCH(A303,Sezoane!$C$6:$C$40,1)),"")</f>
        <v/>
      </c>
    </row>
    <row r="304" customFormat="false" ht="15" hidden="false" customHeight="false" outlineLevel="0" collapsed="false">
      <c r="A304" s="41" t="n">
        <f aca="false">$B$2+299</f>
        <v>46615</v>
      </c>
      <c r="B304" s="42" t="str">
        <f aca="false">CHOOSE(WEEKDAY(A304,2),"Lu","Ma","Mi","Jo","Vi","Sâ","Du")</f>
        <v>Lu</v>
      </c>
      <c r="C304" s="42" t="str">
        <f aca="false">IF(AND(ISNUMBER(MATCH(A304,Sezoane!$C$6:$C$40,1)),A304&lt;=INDEX(Sezoane!$D$6:$D$40,MATCH(A304,Sezoane!$C$6:$C$40,1))),INDEX(Sezoane!$A$6:$A$40,MATCH(A304,Sezoane!$C$6:$C$40,1)),"⚠ fără sezon")</f>
        <v>⚠ fără sezon</v>
      </c>
      <c r="D304" s="42" t="str">
        <f aca="false">IF(AND(ISNUMBER(MATCH(A304,Sezoane!$C$6:$C$40,1)),A304&lt;=INDEX(Sezoane!$D$6:$D$40,MATCH(A304,Sezoane!$C$6:$C$40,1))),INDEX(Sezoane!$F$6:$F$40,MATCH(A304,Sezoane!$C$6:$C$40,1)),"")</f>
        <v/>
      </c>
      <c r="E304" s="44" t="str">
        <f aca="false">IF(AND(ISNUMBER(MATCH(A304,Sezoane!$C$6:$C$40,1)),A304&lt;=INDEX(Sezoane!$D$6:$D$40,MATCH(A304,Sezoane!$C$6:$C$40,1))),INDEX('Prețuri de setat'!$E$5:$E$39,MATCH(A304,Sezoane!$C$6:$C$40,1)),"")</f>
        <v/>
      </c>
      <c r="F304" s="44" t="str">
        <f aca="false">IF(AND(ISNUMBER(MATCH(A304,Sezoane!$C$6:$C$40,1)),A304&lt;=INDEX(Sezoane!$D$6:$D$40,MATCH(A304,Sezoane!$C$6:$C$40,1))),INDEX('Prețuri de setat'!$F$5:$F$39,MATCH(A304,Sezoane!$C$6:$C$40,1)),"")</f>
        <v/>
      </c>
      <c r="G304" s="44" t="str">
        <f aca="false">IF(AND(ISNUMBER(MATCH(A304,Sezoane!$C$6:$C$40,1)),A304&lt;=INDEX(Sezoane!$D$6:$D$40,MATCH(A304,Sezoane!$C$6:$C$40,1))),INDEX('Prețuri de setat'!$G$5:$G$39,MATCH(A304,Sezoane!$C$6:$C$40,1)),"")</f>
        <v/>
      </c>
      <c r="H304" s="44" t="str">
        <f aca="false">IF(AND(ISNUMBER(MATCH(A304,Sezoane!$C$6:$C$40,1)),A304&lt;=INDEX(Sezoane!$D$6:$D$40,MATCH(A304,Sezoane!$C$6:$C$40,1))),INDEX('Prețuri de setat'!$H$5:$H$39,MATCH(A304,Sezoane!$C$6:$C$40,1)),"")</f>
        <v/>
      </c>
      <c r="I304" s="44" t="str">
        <f aca="false">IF(AND(ISNUMBER(MATCH(A304,Sezoane!$C$6:$C$40,1)),A304&lt;=INDEX(Sezoane!$D$6:$D$40,MATCH(A304,Sezoane!$C$6:$C$40,1))),INDEX('Prețuri de setat'!$I$5:$I$39,MATCH(A304,Sezoane!$C$6:$C$40,1)),"")</f>
        <v/>
      </c>
    </row>
    <row r="305" customFormat="false" ht="15" hidden="false" customHeight="false" outlineLevel="0" collapsed="false">
      <c r="A305" s="41" t="n">
        <f aca="false">$B$2+300</f>
        <v>46616</v>
      </c>
      <c r="B305" s="42" t="str">
        <f aca="false">CHOOSE(WEEKDAY(A305,2),"Lu","Ma","Mi","Jo","Vi","Sâ","Du")</f>
        <v>Ma</v>
      </c>
      <c r="C305" s="42" t="str">
        <f aca="false">IF(AND(ISNUMBER(MATCH(A305,Sezoane!$C$6:$C$40,1)),A305&lt;=INDEX(Sezoane!$D$6:$D$40,MATCH(A305,Sezoane!$C$6:$C$40,1))),INDEX(Sezoane!$A$6:$A$40,MATCH(A305,Sezoane!$C$6:$C$40,1)),"⚠ fără sezon")</f>
        <v>⚠ fără sezon</v>
      </c>
      <c r="D305" s="42" t="str">
        <f aca="false">IF(AND(ISNUMBER(MATCH(A305,Sezoane!$C$6:$C$40,1)),A305&lt;=INDEX(Sezoane!$D$6:$D$40,MATCH(A305,Sezoane!$C$6:$C$40,1))),INDEX(Sezoane!$F$6:$F$40,MATCH(A305,Sezoane!$C$6:$C$40,1)),"")</f>
        <v/>
      </c>
      <c r="E305" s="44" t="str">
        <f aca="false">IF(AND(ISNUMBER(MATCH(A305,Sezoane!$C$6:$C$40,1)),A305&lt;=INDEX(Sezoane!$D$6:$D$40,MATCH(A305,Sezoane!$C$6:$C$40,1))),INDEX('Prețuri de setat'!$E$5:$E$39,MATCH(A305,Sezoane!$C$6:$C$40,1)),"")</f>
        <v/>
      </c>
      <c r="F305" s="44" t="str">
        <f aca="false">IF(AND(ISNUMBER(MATCH(A305,Sezoane!$C$6:$C$40,1)),A305&lt;=INDEX(Sezoane!$D$6:$D$40,MATCH(A305,Sezoane!$C$6:$C$40,1))),INDEX('Prețuri de setat'!$F$5:$F$39,MATCH(A305,Sezoane!$C$6:$C$40,1)),"")</f>
        <v/>
      </c>
      <c r="G305" s="44" t="str">
        <f aca="false">IF(AND(ISNUMBER(MATCH(A305,Sezoane!$C$6:$C$40,1)),A305&lt;=INDEX(Sezoane!$D$6:$D$40,MATCH(A305,Sezoane!$C$6:$C$40,1))),INDEX('Prețuri de setat'!$G$5:$G$39,MATCH(A305,Sezoane!$C$6:$C$40,1)),"")</f>
        <v/>
      </c>
      <c r="H305" s="44" t="str">
        <f aca="false">IF(AND(ISNUMBER(MATCH(A305,Sezoane!$C$6:$C$40,1)),A305&lt;=INDEX(Sezoane!$D$6:$D$40,MATCH(A305,Sezoane!$C$6:$C$40,1))),INDEX('Prețuri de setat'!$H$5:$H$39,MATCH(A305,Sezoane!$C$6:$C$40,1)),"")</f>
        <v/>
      </c>
      <c r="I305" s="44" t="str">
        <f aca="false">IF(AND(ISNUMBER(MATCH(A305,Sezoane!$C$6:$C$40,1)),A305&lt;=INDEX(Sezoane!$D$6:$D$40,MATCH(A305,Sezoane!$C$6:$C$40,1))),INDEX('Prețuri de setat'!$I$5:$I$39,MATCH(A305,Sezoane!$C$6:$C$40,1)),"")</f>
        <v/>
      </c>
    </row>
    <row r="306" customFormat="false" ht="15" hidden="false" customHeight="false" outlineLevel="0" collapsed="false">
      <c r="A306" s="41" t="n">
        <f aca="false">$B$2+301</f>
        <v>46617</v>
      </c>
      <c r="B306" s="42" t="str">
        <f aca="false">CHOOSE(WEEKDAY(A306,2),"Lu","Ma","Mi","Jo","Vi","Sâ","Du")</f>
        <v>Mi</v>
      </c>
      <c r="C306" s="42" t="str">
        <f aca="false">IF(AND(ISNUMBER(MATCH(A306,Sezoane!$C$6:$C$40,1)),A306&lt;=INDEX(Sezoane!$D$6:$D$40,MATCH(A306,Sezoane!$C$6:$C$40,1))),INDEX(Sezoane!$A$6:$A$40,MATCH(A306,Sezoane!$C$6:$C$40,1)),"⚠ fără sezon")</f>
        <v>⚠ fără sezon</v>
      </c>
      <c r="D306" s="42" t="str">
        <f aca="false">IF(AND(ISNUMBER(MATCH(A306,Sezoane!$C$6:$C$40,1)),A306&lt;=INDEX(Sezoane!$D$6:$D$40,MATCH(A306,Sezoane!$C$6:$C$40,1))),INDEX(Sezoane!$F$6:$F$40,MATCH(A306,Sezoane!$C$6:$C$40,1)),"")</f>
        <v/>
      </c>
      <c r="E306" s="44" t="str">
        <f aca="false">IF(AND(ISNUMBER(MATCH(A306,Sezoane!$C$6:$C$40,1)),A306&lt;=INDEX(Sezoane!$D$6:$D$40,MATCH(A306,Sezoane!$C$6:$C$40,1))),INDEX('Prețuri de setat'!$E$5:$E$39,MATCH(A306,Sezoane!$C$6:$C$40,1)),"")</f>
        <v/>
      </c>
      <c r="F306" s="44" t="str">
        <f aca="false">IF(AND(ISNUMBER(MATCH(A306,Sezoane!$C$6:$C$40,1)),A306&lt;=INDEX(Sezoane!$D$6:$D$40,MATCH(A306,Sezoane!$C$6:$C$40,1))),INDEX('Prețuri de setat'!$F$5:$F$39,MATCH(A306,Sezoane!$C$6:$C$40,1)),"")</f>
        <v/>
      </c>
      <c r="G306" s="44" t="str">
        <f aca="false">IF(AND(ISNUMBER(MATCH(A306,Sezoane!$C$6:$C$40,1)),A306&lt;=INDEX(Sezoane!$D$6:$D$40,MATCH(A306,Sezoane!$C$6:$C$40,1))),INDEX('Prețuri de setat'!$G$5:$G$39,MATCH(A306,Sezoane!$C$6:$C$40,1)),"")</f>
        <v/>
      </c>
      <c r="H306" s="44" t="str">
        <f aca="false">IF(AND(ISNUMBER(MATCH(A306,Sezoane!$C$6:$C$40,1)),A306&lt;=INDEX(Sezoane!$D$6:$D$40,MATCH(A306,Sezoane!$C$6:$C$40,1))),INDEX('Prețuri de setat'!$H$5:$H$39,MATCH(A306,Sezoane!$C$6:$C$40,1)),"")</f>
        <v/>
      </c>
      <c r="I306" s="44" t="str">
        <f aca="false">IF(AND(ISNUMBER(MATCH(A306,Sezoane!$C$6:$C$40,1)),A306&lt;=INDEX(Sezoane!$D$6:$D$40,MATCH(A306,Sezoane!$C$6:$C$40,1))),INDEX('Prețuri de setat'!$I$5:$I$39,MATCH(A306,Sezoane!$C$6:$C$40,1)),"")</f>
        <v/>
      </c>
    </row>
    <row r="307" customFormat="false" ht="15" hidden="false" customHeight="false" outlineLevel="0" collapsed="false">
      <c r="A307" s="41" t="n">
        <f aca="false">$B$2+302</f>
        <v>46618</v>
      </c>
      <c r="B307" s="42" t="str">
        <f aca="false">CHOOSE(WEEKDAY(A307,2),"Lu","Ma","Mi","Jo","Vi","Sâ","Du")</f>
        <v>Jo</v>
      </c>
      <c r="C307" s="42" t="str">
        <f aca="false">IF(AND(ISNUMBER(MATCH(A307,Sezoane!$C$6:$C$40,1)),A307&lt;=INDEX(Sezoane!$D$6:$D$40,MATCH(A307,Sezoane!$C$6:$C$40,1))),INDEX(Sezoane!$A$6:$A$40,MATCH(A307,Sezoane!$C$6:$C$40,1)),"⚠ fără sezon")</f>
        <v>⚠ fără sezon</v>
      </c>
      <c r="D307" s="42" t="str">
        <f aca="false">IF(AND(ISNUMBER(MATCH(A307,Sezoane!$C$6:$C$40,1)),A307&lt;=INDEX(Sezoane!$D$6:$D$40,MATCH(A307,Sezoane!$C$6:$C$40,1))),INDEX(Sezoane!$F$6:$F$40,MATCH(A307,Sezoane!$C$6:$C$40,1)),"")</f>
        <v/>
      </c>
      <c r="E307" s="44" t="str">
        <f aca="false">IF(AND(ISNUMBER(MATCH(A307,Sezoane!$C$6:$C$40,1)),A307&lt;=INDEX(Sezoane!$D$6:$D$40,MATCH(A307,Sezoane!$C$6:$C$40,1))),INDEX('Prețuri de setat'!$E$5:$E$39,MATCH(A307,Sezoane!$C$6:$C$40,1)),"")</f>
        <v/>
      </c>
      <c r="F307" s="44" t="str">
        <f aca="false">IF(AND(ISNUMBER(MATCH(A307,Sezoane!$C$6:$C$40,1)),A307&lt;=INDEX(Sezoane!$D$6:$D$40,MATCH(A307,Sezoane!$C$6:$C$40,1))),INDEX('Prețuri de setat'!$F$5:$F$39,MATCH(A307,Sezoane!$C$6:$C$40,1)),"")</f>
        <v/>
      </c>
      <c r="G307" s="44" t="str">
        <f aca="false">IF(AND(ISNUMBER(MATCH(A307,Sezoane!$C$6:$C$40,1)),A307&lt;=INDEX(Sezoane!$D$6:$D$40,MATCH(A307,Sezoane!$C$6:$C$40,1))),INDEX('Prețuri de setat'!$G$5:$G$39,MATCH(A307,Sezoane!$C$6:$C$40,1)),"")</f>
        <v/>
      </c>
      <c r="H307" s="44" t="str">
        <f aca="false">IF(AND(ISNUMBER(MATCH(A307,Sezoane!$C$6:$C$40,1)),A307&lt;=INDEX(Sezoane!$D$6:$D$40,MATCH(A307,Sezoane!$C$6:$C$40,1))),INDEX('Prețuri de setat'!$H$5:$H$39,MATCH(A307,Sezoane!$C$6:$C$40,1)),"")</f>
        <v/>
      </c>
      <c r="I307" s="44" t="str">
        <f aca="false">IF(AND(ISNUMBER(MATCH(A307,Sezoane!$C$6:$C$40,1)),A307&lt;=INDEX(Sezoane!$D$6:$D$40,MATCH(A307,Sezoane!$C$6:$C$40,1))),INDEX('Prețuri de setat'!$I$5:$I$39,MATCH(A307,Sezoane!$C$6:$C$40,1)),"")</f>
        <v/>
      </c>
    </row>
    <row r="308" customFormat="false" ht="15" hidden="false" customHeight="false" outlineLevel="0" collapsed="false">
      <c r="A308" s="41" t="n">
        <f aca="false">$B$2+303</f>
        <v>46619</v>
      </c>
      <c r="B308" s="42" t="str">
        <f aca="false">CHOOSE(WEEKDAY(A308,2),"Lu","Ma","Mi","Jo","Vi","Sâ","Du")</f>
        <v>Vi</v>
      </c>
      <c r="C308" s="42" t="str">
        <f aca="false">IF(AND(ISNUMBER(MATCH(A308,Sezoane!$C$6:$C$40,1)),A308&lt;=INDEX(Sezoane!$D$6:$D$40,MATCH(A308,Sezoane!$C$6:$C$40,1))),INDEX(Sezoane!$A$6:$A$40,MATCH(A308,Sezoane!$C$6:$C$40,1)),"⚠ fără sezon")</f>
        <v>⚠ fără sezon</v>
      </c>
      <c r="D308" s="42" t="str">
        <f aca="false">IF(AND(ISNUMBER(MATCH(A308,Sezoane!$C$6:$C$40,1)),A308&lt;=INDEX(Sezoane!$D$6:$D$40,MATCH(A308,Sezoane!$C$6:$C$40,1))),INDEX(Sezoane!$F$6:$F$40,MATCH(A308,Sezoane!$C$6:$C$40,1)),"")</f>
        <v/>
      </c>
      <c r="E308" s="44" t="str">
        <f aca="false">IF(AND(ISNUMBER(MATCH(A308,Sezoane!$C$6:$C$40,1)),A308&lt;=INDEX(Sezoane!$D$6:$D$40,MATCH(A308,Sezoane!$C$6:$C$40,1))),INDEX('Prețuri de setat'!$E$5:$E$39,MATCH(A308,Sezoane!$C$6:$C$40,1)),"")</f>
        <v/>
      </c>
      <c r="F308" s="44" t="str">
        <f aca="false">IF(AND(ISNUMBER(MATCH(A308,Sezoane!$C$6:$C$40,1)),A308&lt;=INDEX(Sezoane!$D$6:$D$40,MATCH(A308,Sezoane!$C$6:$C$40,1))),INDEX('Prețuri de setat'!$F$5:$F$39,MATCH(A308,Sezoane!$C$6:$C$40,1)),"")</f>
        <v/>
      </c>
      <c r="G308" s="44" t="str">
        <f aca="false">IF(AND(ISNUMBER(MATCH(A308,Sezoane!$C$6:$C$40,1)),A308&lt;=INDEX(Sezoane!$D$6:$D$40,MATCH(A308,Sezoane!$C$6:$C$40,1))),INDEX('Prețuri de setat'!$G$5:$G$39,MATCH(A308,Sezoane!$C$6:$C$40,1)),"")</f>
        <v/>
      </c>
      <c r="H308" s="44" t="str">
        <f aca="false">IF(AND(ISNUMBER(MATCH(A308,Sezoane!$C$6:$C$40,1)),A308&lt;=INDEX(Sezoane!$D$6:$D$40,MATCH(A308,Sezoane!$C$6:$C$40,1))),INDEX('Prețuri de setat'!$H$5:$H$39,MATCH(A308,Sezoane!$C$6:$C$40,1)),"")</f>
        <v/>
      </c>
      <c r="I308" s="44" t="str">
        <f aca="false">IF(AND(ISNUMBER(MATCH(A308,Sezoane!$C$6:$C$40,1)),A308&lt;=INDEX(Sezoane!$D$6:$D$40,MATCH(A308,Sezoane!$C$6:$C$40,1))),INDEX('Prețuri de setat'!$I$5:$I$39,MATCH(A308,Sezoane!$C$6:$C$40,1)),"")</f>
        <v/>
      </c>
    </row>
    <row r="309" customFormat="false" ht="15" hidden="false" customHeight="false" outlineLevel="0" collapsed="false">
      <c r="A309" s="41" t="n">
        <f aca="false">$B$2+304</f>
        <v>46620</v>
      </c>
      <c r="B309" s="42" t="str">
        <f aca="false">CHOOSE(WEEKDAY(A309,2),"Lu","Ma","Mi","Jo","Vi","Sâ","Du")</f>
        <v>Sâ</v>
      </c>
      <c r="C309" s="42" t="str">
        <f aca="false">IF(AND(ISNUMBER(MATCH(A309,Sezoane!$C$6:$C$40,1)),A309&lt;=INDEX(Sezoane!$D$6:$D$40,MATCH(A309,Sezoane!$C$6:$C$40,1))),INDEX(Sezoane!$A$6:$A$40,MATCH(A309,Sezoane!$C$6:$C$40,1)),"⚠ fără sezon")</f>
        <v>⚠ fără sezon</v>
      </c>
      <c r="D309" s="42" t="str">
        <f aca="false">IF(AND(ISNUMBER(MATCH(A309,Sezoane!$C$6:$C$40,1)),A309&lt;=INDEX(Sezoane!$D$6:$D$40,MATCH(A309,Sezoane!$C$6:$C$40,1))),INDEX(Sezoane!$F$6:$F$40,MATCH(A309,Sezoane!$C$6:$C$40,1)),"")</f>
        <v/>
      </c>
      <c r="E309" s="44" t="str">
        <f aca="false">IF(AND(ISNUMBER(MATCH(A309,Sezoane!$C$6:$C$40,1)),A309&lt;=INDEX(Sezoane!$D$6:$D$40,MATCH(A309,Sezoane!$C$6:$C$40,1))),INDEX('Prețuri de setat'!$E$5:$E$39,MATCH(A309,Sezoane!$C$6:$C$40,1)),"")</f>
        <v/>
      </c>
      <c r="F309" s="44" t="str">
        <f aca="false">IF(AND(ISNUMBER(MATCH(A309,Sezoane!$C$6:$C$40,1)),A309&lt;=INDEX(Sezoane!$D$6:$D$40,MATCH(A309,Sezoane!$C$6:$C$40,1))),INDEX('Prețuri de setat'!$F$5:$F$39,MATCH(A309,Sezoane!$C$6:$C$40,1)),"")</f>
        <v/>
      </c>
      <c r="G309" s="44" t="str">
        <f aca="false">IF(AND(ISNUMBER(MATCH(A309,Sezoane!$C$6:$C$40,1)),A309&lt;=INDEX(Sezoane!$D$6:$D$40,MATCH(A309,Sezoane!$C$6:$C$40,1))),INDEX('Prețuri de setat'!$G$5:$G$39,MATCH(A309,Sezoane!$C$6:$C$40,1)),"")</f>
        <v/>
      </c>
      <c r="H309" s="44" t="str">
        <f aca="false">IF(AND(ISNUMBER(MATCH(A309,Sezoane!$C$6:$C$40,1)),A309&lt;=INDEX(Sezoane!$D$6:$D$40,MATCH(A309,Sezoane!$C$6:$C$40,1))),INDEX('Prețuri de setat'!$H$5:$H$39,MATCH(A309,Sezoane!$C$6:$C$40,1)),"")</f>
        <v/>
      </c>
      <c r="I309" s="44" t="str">
        <f aca="false">IF(AND(ISNUMBER(MATCH(A309,Sezoane!$C$6:$C$40,1)),A309&lt;=INDEX(Sezoane!$D$6:$D$40,MATCH(A309,Sezoane!$C$6:$C$40,1))),INDEX('Prețuri de setat'!$I$5:$I$39,MATCH(A309,Sezoane!$C$6:$C$40,1)),"")</f>
        <v/>
      </c>
    </row>
    <row r="310" customFormat="false" ht="15" hidden="false" customHeight="false" outlineLevel="0" collapsed="false">
      <c r="A310" s="41" t="n">
        <f aca="false">$B$2+305</f>
        <v>46621</v>
      </c>
      <c r="B310" s="42" t="str">
        <f aca="false">CHOOSE(WEEKDAY(A310,2),"Lu","Ma","Mi","Jo","Vi","Sâ","Du")</f>
        <v>Du</v>
      </c>
      <c r="C310" s="42" t="str">
        <f aca="false">IF(AND(ISNUMBER(MATCH(A310,Sezoane!$C$6:$C$40,1)),A310&lt;=INDEX(Sezoane!$D$6:$D$40,MATCH(A310,Sezoane!$C$6:$C$40,1))),INDEX(Sezoane!$A$6:$A$40,MATCH(A310,Sezoane!$C$6:$C$40,1)),"⚠ fără sezon")</f>
        <v>⚠ fără sezon</v>
      </c>
      <c r="D310" s="42" t="str">
        <f aca="false">IF(AND(ISNUMBER(MATCH(A310,Sezoane!$C$6:$C$40,1)),A310&lt;=INDEX(Sezoane!$D$6:$D$40,MATCH(A310,Sezoane!$C$6:$C$40,1))),INDEX(Sezoane!$F$6:$F$40,MATCH(A310,Sezoane!$C$6:$C$40,1)),"")</f>
        <v/>
      </c>
      <c r="E310" s="44" t="str">
        <f aca="false">IF(AND(ISNUMBER(MATCH(A310,Sezoane!$C$6:$C$40,1)),A310&lt;=INDEX(Sezoane!$D$6:$D$40,MATCH(A310,Sezoane!$C$6:$C$40,1))),INDEX('Prețuri de setat'!$E$5:$E$39,MATCH(A310,Sezoane!$C$6:$C$40,1)),"")</f>
        <v/>
      </c>
      <c r="F310" s="44" t="str">
        <f aca="false">IF(AND(ISNUMBER(MATCH(A310,Sezoane!$C$6:$C$40,1)),A310&lt;=INDEX(Sezoane!$D$6:$D$40,MATCH(A310,Sezoane!$C$6:$C$40,1))),INDEX('Prețuri de setat'!$F$5:$F$39,MATCH(A310,Sezoane!$C$6:$C$40,1)),"")</f>
        <v/>
      </c>
      <c r="G310" s="44" t="str">
        <f aca="false">IF(AND(ISNUMBER(MATCH(A310,Sezoane!$C$6:$C$40,1)),A310&lt;=INDEX(Sezoane!$D$6:$D$40,MATCH(A310,Sezoane!$C$6:$C$40,1))),INDEX('Prețuri de setat'!$G$5:$G$39,MATCH(A310,Sezoane!$C$6:$C$40,1)),"")</f>
        <v/>
      </c>
      <c r="H310" s="44" t="str">
        <f aca="false">IF(AND(ISNUMBER(MATCH(A310,Sezoane!$C$6:$C$40,1)),A310&lt;=INDEX(Sezoane!$D$6:$D$40,MATCH(A310,Sezoane!$C$6:$C$40,1))),INDEX('Prețuri de setat'!$H$5:$H$39,MATCH(A310,Sezoane!$C$6:$C$40,1)),"")</f>
        <v/>
      </c>
      <c r="I310" s="44" t="str">
        <f aca="false">IF(AND(ISNUMBER(MATCH(A310,Sezoane!$C$6:$C$40,1)),A310&lt;=INDEX(Sezoane!$D$6:$D$40,MATCH(A310,Sezoane!$C$6:$C$40,1))),INDEX('Prețuri de setat'!$I$5:$I$39,MATCH(A310,Sezoane!$C$6:$C$40,1)),"")</f>
        <v/>
      </c>
    </row>
    <row r="311" customFormat="false" ht="15" hidden="false" customHeight="false" outlineLevel="0" collapsed="false">
      <c r="A311" s="41" t="n">
        <f aca="false">$B$2+306</f>
        <v>46622</v>
      </c>
      <c r="B311" s="42" t="str">
        <f aca="false">CHOOSE(WEEKDAY(A311,2),"Lu","Ma","Mi","Jo","Vi","Sâ","Du")</f>
        <v>Lu</v>
      </c>
      <c r="C311" s="42" t="str">
        <f aca="false">IF(AND(ISNUMBER(MATCH(A311,Sezoane!$C$6:$C$40,1)),A311&lt;=INDEX(Sezoane!$D$6:$D$40,MATCH(A311,Sezoane!$C$6:$C$40,1))),INDEX(Sezoane!$A$6:$A$40,MATCH(A311,Sezoane!$C$6:$C$40,1)),"⚠ fără sezon")</f>
        <v>⚠ fără sezon</v>
      </c>
      <c r="D311" s="42" t="str">
        <f aca="false">IF(AND(ISNUMBER(MATCH(A311,Sezoane!$C$6:$C$40,1)),A311&lt;=INDEX(Sezoane!$D$6:$D$40,MATCH(A311,Sezoane!$C$6:$C$40,1))),INDEX(Sezoane!$F$6:$F$40,MATCH(A311,Sezoane!$C$6:$C$40,1)),"")</f>
        <v/>
      </c>
      <c r="E311" s="44" t="str">
        <f aca="false">IF(AND(ISNUMBER(MATCH(A311,Sezoane!$C$6:$C$40,1)),A311&lt;=INDEX(Sezoane!$D$6:$D$40,MATCH(A311,Sezoane!$C$6:$C$40,1))),INDEX('Prețuri de setat'!$E$5:$E$39,MATCH(A311,Sezoane!$C$6:$C$40,1)),"")</f>
        <v/>
      </c>
      <c r="F311" s="44" t="str">
        <f aca="false">IF(AND(ISNUMBER(MATCH(A311,Sezoane!$C$6:$C$40,1)),A311&lt;=INDEX(Sezoane!$D$6:$D$40,MATCH(A311,Sezoane!$C$6:$C$40,1))),INDEX('Prețuri de setat'!$F$5:$F$39,MATCH(A311,Sezoane!$C$6:$C$40,1)),"")</f>
        <v/>
      </c>
      <c r="G311" s="44" t="str">
        <f aca="false">IF(AND(ISNUMBER(MATCH(A311,Sezoane!$C$6:$C$40,1)),A311&lt;=INDEX(Sezoane!$D$6:$D$40,MATCH(A311,Sezoane!$C$6:$C$40,1))),INDEX('Prețuri de setat'!$G$5:$G$39,MATCH(A311,Sezoane!$C$6:$C$40,1)),"")</f>
        <v/>
      </c>
      <c r="H311" s="44" t="str">
        <f aca="false">IF(AND(ISNUMBER(MATCH(A311,Sezoane!$C$6:$C$40,1)),A311&lt;=INDEX(Sezoane!$D$6:$D$40,MATCH(A311,Sezoane!$C$6:$C$40,1))),INDEX('Prețuri de setat'!$H$5:$H$39,MATCH(A311,Sezoane!$C$6:$C$40,1)),"")</f>
        <v/>
      </c>
      <c r="I311" s="44" t="str">
        <f aca="false">IF(AND(ISNUMBER(MATCH(A311,Sezoane!$C$6:$C$40,1)),A311&lt;=INDEX(Sezoane!$D$6:$D$40,MATCH(A311,Sezoane!$C$6:$C$40,1))),INDEX('Prețuri de setat'!$I$5:$I$39,MATCH(A311,Sezoane!$C$6:$C$40,1)),"")</f>
        <v/>
      </c>
    </row>
    <row r="312" customFormat="false" ht="15" hidden="false" customHeight="false" outlineLevel="0" collapsed="false">
      <c r="A312" s="41" t="n">
        <f aca="false">$B$2+307</f>
        <v>46623</v>
      </c>
      <c r="B312" s="42" t="str">
        <f aca="false">CHOOSE(WEEKDAY(A312,2),"Lu","Ma","Mi","Jo","Vi","Sâ","Du")</f>
        <v>Ma</v>
      </c>
      <c r="C312" s="42" t="str">
        <f aca="false">IF(AND(ISNUMBER(MATCH(A312,Sezoane!$C$6:$C$40,1)),A312&lt;=INDEX(Sezoane!$D$6:$D$40,MATCH(A312,Sezoane!$C$6:$C$40,1))),INDEX(Sezoane!$A$6:$A$40,MATCH(A312,Sezoane!$C$6:$C$40,1)),"⚠ fără sezon")</f>
        <v>⚠ fără sezon</v>
      </c>
      <c r="D312" s="42" t="str">
        <f aca="false">IF(AND(ISNUMBER(MATCH(A312,Sezoane!$C$6:$C$40,1)),A312&lt;=INDEX(Sezoane!$D$6:$D$40,MATCH(A312,Sezoane!$C$6:$C$40,1))),INDEX(Sezoane!$F$6:$F$40,MATCH(A312,Sezoane!$C$6:$C$40,1)),"")</f>
        <v/>
      </c>
      <c r="E312" s="44" t="str">
        <f aca="false">IF(AND(ISNUMBER(MATCH(A312,Sezoane!$C$6:$C$40,1)),A312&lt;=INDEX(Sezoane!$D$6:$D$40,MATCH(A312,Sezoane!$C$6:$C$40,1))),INDEX('Prețuri de setat'!$E$5:$E$39,MATCH(A312,Sezoane!$C$6:$C$40,1)),"")</f>
        <v/>
      </c>
      <c r="F312" s="44" t="str">
        <f aca="false">IF(AND(ISNUMBER(MATCH(A312,Sezoane!$C$6:$C$40,1)),A312&lt;=INDEX(Sezoane!$D$6:$D$40,MATCH(A312,Sezoane!$C$6:$C$40,1))),INDEX('Prețuri de setat'!$F$5:$F$39,MATCH(A312,Sezoane!$C$6:$C$40,1)),"")</f>
        <v/>
      </c>
      <c r="G312" s="44" t="str">
        <f aca="false">IF(AND(ISNUMBER(MATCH(A312,Sezoane!$C$6:$C$40,1)),A312&lt;=INDEX(Sezoane!$D$6:$D$40,MATCH(A312,Sezoane!$C$6:$C$40,1))),INDEX('Prețuri de setat'!$G$5:$G$39,MATCH(A312,Sezoane!$C$6:$C$40,1)),"")</f>
        <v/>
      </c>
      <c r="H312" s="44" t="str">
        <f aca="false">IF(AND(ISNUMBER(MATCH(A312,Sezoane!$C$6:$C$40,1)),A312&lt;=INDEX(Sezoane!$D$6:$D$40,MATCH(A312,Sezoane!$C$6:$C$40,1))),INDEX('Prețuri de setat'!$H$5:$H$39,MATCH(A312,Sezoane!$C$6:$C$40,1)),"")</f>
        <v/>
      </c>
      <c r="I312" s="44" t="str">
        <f aca="false">IF(AND(ISNUMBER(MATCH(A312,Sezoane!$C$6:$C$40,1)),A312&lt;=INDEX(Sezoane!$D$6:$D$40,MATCH(A312,Sezoane!$C$6:$C$40,1))),INDEX('Prețuri de setat'!$I$5:$I$39,MATCH(A312,Sezoane!$C$6:$C$40,1)),"")</f>
        <v/>
      </c>
    </row>
    <row r="313" customFormat="false" ht="15" hidden="false" customHeight="false" outlineLevel="0" collapsed="false">
      <c r="A313" s="41" t="n">
        <f aca="false">$B$2+308</f>
        <v>46624</v>
      </c>
      <c r="B313" s="42" t="str">
        <f aca="false">CHOOSE(WEEKDAY(A313,2),"Lu","Ma","Mi","Jo","Vi","Sâ","Du")</f>
        <v>Mi</v>
      </c>
      <c r="C313" s="42" t="str">
        <f aca="false">IF(AND(ISNUMBER(MATCH(A313,Sezoane!$C$6:$C$40,1)),A313&lt;=INDEX(Sezoane!$D$6:$D$40,MATCH(A313,Sezoane!$C$6:$C$40,1))),INDEX(Sezoane!$A$6:$A$40,MATCH(A313,Sezoane!$C$6:$C$40,1)),"⚠ fără sezon")</f>
        <v>⚠ fără sezon</v>
      </c>
      <c r="D313" s="42" t="str">
        <f aca="false">IF(AND(ISNUMBER(MATCH(A313,Sezoane!$C$6:$C$40,1)),A313&lt;=INDEX(Sezoane!$D$6:$D$40,MATCH(A313,Sezoane!$C$6:$C$40,1))),INDEX(Sezoane!$F$6:$F$40,MATCH(A313,Sezoane!$C$6:$C$40,1)),"")</f>
        <v/>
      </c>
      <c r="E313" s="44" t="str">
        <f aca="false">IF(AND(ISNUMBER(MATCH(A313,Sezoane!$C$6:$C$40,1)),A313&lt;=INDEX(Sezoane!$D$6:$D$40,MATCH(A313,Sezoane!$C$6:$C$40,1))),INDEX('Prețuri de setat'!$E$5:$E$39,MATCH(A313,Sezoane!$C$6:$C$40,1)),"")</f>
        <v/>
      </c>
      <c r="F313" s="44" t="str">
        <f aca="false">IF(AND(ISNUMBER(MATCH(A313,Sezoane!$C$6:$C$40,1)),A313&lt;=INDEX(Sezoane!$D$6:$D$40,MATCH(A313,Sezoane!$C$6:$C$40,1))),INDEX('Prețuri de setat'!$F$5:$F$39,MATCH(A313,Sezoane!$C$6:$C$40,1)),"")</f>
        <v/>
      </c>
      <c r="G313" s="44" t="str">
        <f aca="false">IF(AND(ISNUMBER(MATCH(A313,Sezoane!$C$6:$C$40,1)),A313&lt;=INDEX(Sezoane!$D$6:$D$40,MATCH(A313,Sezoane!$C$6:$C$40,1))),INDEX('Prețuri de setat'!$G$5:$G$39,MATCH(A313,Sezoane!$C$6:$C$40,1)),"")</f>
        <v/>
      </c>
      <c r="H313" s="44" t="str">
        <f aca="false">IF(AND(ISNUMBER(MATCH(A313,Sezoane!$C$6:$C$40,1)),A313&lt;=INDEX(Sezoane!$D$6:$D$40,MATCH(A313,Sezoane!$C$6:$C$40,1))),INDEX('Prețuri de setat'!$H$5:$H$39,MATCH(A313,Sezoane!$C$6:$C$40,1)),"")</f>
        <v/>
      </c>
      <c r="I313" s="44" t="str">
        <f aca="false">IF(AND(ISNUMBER(MATCH(A313,Sezoane!$C$6:$C$40,1)),A313&lt;=INDEX(Sezoane!$D$6:$D$40,MATCH(A313,Sezoane!$C$6:$C$40,1))),INDEX('Prețuri de setat'!$I$5:$I$39,MATCH(A313,Sezoane!$C$6:$C$40,1)),"")</f>
        <v/>
      </c>
    </row>
    <row r="314" customFormat="false" ht="15" hidden="false" customHeight="false" outlineLevel="0" collapsed="false">
      <c r="A314" s="41" t="n">
        <f aca="false">$B$2+309</f>
        <v>46625</v>
      </c>
      <c r="B314" s="42" t="str">
        <f aca="false">CHOOSE(WEEKDAY(A314,2),"Lu","Ma","Mi","Jo","Vi","Sâ","Du")</f>
        <v>Jo</v>
      </c>
      <c r="C314" s="42" t="str">
        <f aca="false">IF(AND(ISNUMBER(MATCH(A314,Sezoane!$C$6:$C$40,1)),A314&lt;=INDEX(Sezoane!$D$6:$D$40,MATCH(A314,Sezoane!$C$6:$C$40,1))),INDEX(Sezoane!$A$6:$A$40,MATCH(A314,Sezoane!$C$6:$C$40,1)),"⚠ fără sezon")</f>
        <v>⚠ fără sezon</v>
      </c>
      <c r="D314" s="42" t="str">
        <f aca="false">IF(AND(ISNUMBER(MATCH(A314,Sezoane!$C$6:$C$40,1)),A314&lt;=INDEX(Sezoane!$D$6:$D$40,MATCH(A314,Sezoane!$C$6:$C$40,1))),INDEX(Sezoane!$F$6:$F$40,MATCH(A314,Sezoane!$C$6:$C$40,1)),"")</f>
        <v/>
      </c>
      <c r="E314" s="44" t="str">
        <f aca="false">IF(AND(ISNUMBER(MATCH(A314,Sezoane!$C$6:$C$40,1)),A314&lt;=INDEX(Sezoane!$D$6:$D$40,MATCH(A314,Sezoane!$C$6:$C$40,1))),INDEX('Prețuri de setat'!$E$5:$E$39,MATCH(A314,Sezoane!$C$6:$C$40,1)),"")</f>
        <v/>
      </c>
      <c r="F314" s="44" t="str">
        <f aca="false">IF(AND(ISNUMBER(MATCH(A314,Sezoane!$C$6:$C$40,1)),A314&lt;=INDEX(Sezoane!$D$6:$D$40,MATCH(A314,Sezoane!$C$6:$C$40,1))),INDEX('Prețuri de setat'!$F$5:$F$39,MATCH(A314,Sezoane!$C$6:$C$40,1)),"")</f>
        <v/>
      </c>
      <c r="G314" s="44" t="str">
        <f aca="false">IF(AND(ISNUMBER(MATCH(A314,Sezoane!$C$6:$C$40,1)),A314&lt;=INDEX(Sezoane!$D$6:$D$40,MATCH(A314,Sezoane!$C$6:$C$40,1))),INDEX('Prețuri de setat'!$G$5:$G$39,MATCH(A314,Sezoane!$C$6:$C$40,1)),"")</f>
        <v/>
      </c>
      <c r="H314" s="44" t="str">
        <f aca="false">IF(AND(ISNUMBER(MATCH(A314,Sezoane!$C$6:$C$40,1)),A314&lt;=INDEX(Sezoane!$D$6:$D$40,MATCH(A314,Sezoane!$C$6:$C$40,1))),INDEX('Prețuri de setat'!$H$5:$H$39,MATCH(A314,Sezoane!$C$6:$C$40,1)),"")</f>
        <v/>
      </c>
      <c r="I314" s="44" t="str">
        <f aca="false">IF(AND(ISNUMBER(MATCH(A314,Sezoane!$C$6:$C$40,1)),A314&lt;=INDEX(Sezoane!$D$6:$D$40,MATCH(A314,Sezoane!$C$6:$C$40,1))),INDEX('Prețuri de setat'!$I$5:$I$39,MATCH(A314,Sezoane!$C$6:$C$40,1)),"")</f>
        <v/>
      </c>
    </row>
    <row r="315" customFormat="false" ht="15" hidden="false" customHeight="false" outlineLevel="0" collapsed="false">
      <c r="A315" s="41" t="n">
        <f aca="false">$B$2+310</f>
        <v>46626</v>
      </c>
      <c r="B315" s="42" t="str">
        <f aca="false">CHOOSE(WEEKDAY(A315,2),"Lu","Ma","Mi","Jo","Vi","Sâ","Du")</f>
        <v>Vi</v>
      </c>
      <c r="C315" s="42" t="str">
        <f aca="false">IF(AND(ISNUMBER(MATCH(A315,Sezoane!$C$6:$C$40,1)),A315&lt;=INDEX(Sezoane!$D$6:$D$40,MATCH(A315,Sezoane!$C$6:$C$40,1))),INDEX(Sezoane!$A$6:$A$40,MATCH(A315,Sezoane!$C$6:$C$40,1)),"⚠ fără sezon")</f>
        <v>⚠ fără sezon</v>
      </c>
      <c r="D315" s="42" t="str">
        <f aca="false">IF(AND(ISNUMBER(MATCH(A315,Sezoane!$C$6:$C$40,1)),A315&lt;=INDEX(Sezoane!$D$6:$D$40,MATCH(A315,Sezoane!$C$6:$C$40,1))),INDEX(Sezoane!$F$6:$F$40,MATCH(A315,Sezoane!$C$6:$C$40,1)),"")</f>
        <v/>
      </c>
      <c r="E315" s="44" t="str">
        <f aca="false">IF(AND(ISNUMBER(MATCH(A315,Sezoane!$C$6:$C$40,1)),A315&lt;=INDEX(Sezoane!$D$6:$D$40,MATCH(A315,Sezoane!$C$6:$C$40,1))),INDEX('Prețuri de setat'!$E$5:$E$39,MATCH(A315,Sezoane!$C$6:$C$40,1)),"")</f>
        <v/>
      </c>
      <c r="F315" s="44" t="str">
        <f aca="false">IF(AND(ISNUMBER(MATCH(A315,Sezoane!$C$6:$C$40,1)),A315&lt;=INDEX(Sezoane!$D$6:$D$40,MATCH(A315,Sezoane!$C$6:$C$40,1))),INDEX('Prețuri de setat'!$F$5:$F$39,MATCH(A315,Sezoane!$C$6:$C$40,1)),"")</f>
        <v/>
      </c>
      <c r="G315" s="44" t="str">
        <f aca="false">IF(AND(ISNUMBER(MATCH(A315,Sezoane!$C$6:$C$40,1)),A315&lt;=INDEX(Sezoane!$D$6:$D$40,MATCH(A315,Sezoane!$C$6:$C$40,1))),INDEX('Prețuri de setat'!$G$5:$G$39,MATCH(A315,Sezoane!$C$6:$C$40,1)),"")</f>
        <v/>
      </c>
      <c r="H315" s="44" t="str">
        <f aca="false">IF(AND(ISNUMBER(MATCH(A315,Sezoane!$C$6:$C$40,1)),A315&lt;=INDEX(Sezoane!$D$6:$D$40,MATCH(A315,Sezoane!$C$6:$C$40,1))),INDEX('Prețuri de setat'!$H$5:$H$39,MATCH(A315,Sezoane!$C$6:$C$40,1)),"")</f>
        <v/>
      </c>
      <c r="I315" s="44" t="str">
        <f aca="false">IF(AND(ISNUMBER(MATCH(A315,Sezoane!$C$6:$C$40,1)),A315&lt;=INDEX(Sezoane!$D$6:$D$40,MATCH(A315,Sezoane!$C$6:$C$40,1))),INDEX('Prețuri de setat'!$I$5:$I$39,MATCH(A315,Sezoane!$C$6:$C$40,1)),"")</f>
        <v/>
      </c>
    </row>
    <row r="316" customFormat="false" ht="15" hidden="false" customHeight="false" outlineLevel="0" collapsed="false">
      <c r="A316" s="41" t="n">
        <f aca="false">$B$2+311</f>
        <v>46627</v>
      </c>
      <c r="B316" s="42" t="str">
        <f aca="false">CHOOSE(WEEKDAY(A316,2),"Lu","Ma","Mi","Jo","Vi","Sâ","Du")</f>
        <v>Sâ</v>
      </c>
      <c r="C316" s="42" t="str">
        <f aca="false">IF(AND(ISNUMBER(MATCH(A316,Sezoane!$C$6:$C$40,1)),A316&lt;=INDEX(Sezoane!$D$6:$D$40,MATCH(A316,Sezoane!$C$6:$C$40,1))),INDEX(Sezoane!$A$6:$A$40,MATCH(A316,Sezoane!$C$6:$C$40,1)),"⚠ fără sezon")</f>
        <v>⚠ fără sezon</v>
      </c>
      <c r="D316" s="42" t="str">
        <f aca="false">IF(AND(ISNUMBER(MATCH(A316,Sezoane!$C$6:$C$40,1)),A316&lt;=INDEX(Sezoane!$D$6:$D$40,MATCH(A316,Sezoane!$C$6:$C$40,1))),INDEX(Sezoane!$F$6:$F$40,MATCH(A316,Sezoane!$C$6:$C$40,1)),"")</f>
        <v/>
      </c>
      <c r="E316" s="44" t="str">
        <f aca="false">IF(AND(ISNUMBER(MATCH(A316,Sezoane!$C$6:$C$40,1)),A316&lt;=INDEX(Sezoane!$D$6:$D$40,MATCH(A316,Sezoane!$C$6:$C$40,1))),INDEX('Prețuri de setat'!$E$5:$E$39,MATCH(A316,Sezoane!$C$6:$C$40,1)),"")</f>
        <v/>
      </c>
      <c r="F316" s="44" t="str">
        <f aca="false">IF(AND(ISNUMBER(MATCH(A316,Sezoane!$C$6:$C$40,1)),A316&lt;=INDEX(Sezoane!$D$6:$D$40,MATCH(A316,Sezoane!$C$6:$C$40,1))),INDEX('Prețuri de setat'!$F$5:$F$39,MATCH(A316,Sezoane!$C$6:$C$40,1)),"")</f>
        <v/>
      </c>
      <c r="G316" s="44" t="str">
        <f aca="false">IF(AND(ISNUMBER(MATCH(A316,Sezoane!$C$6:$C$40,1)),A316&lt;=INDEX(Sezoane!$D$6:$D$40,MATCH(A316,Sezoane!$C$6:$C$40,1))),INDEX('Prețuri de setat'!$G$5:$G$39,MATCH(A316,Sezoane!$C$6:$C$40,1)),"")</f>
        <v/>
      </c>
      <c r="H316" s="44" t="str">
        <f aca="false">IF(AND(ISNUMBER(MATCH(A316,Sezoane!$C$6:$C$40,1)),A316&lt;=INDEX(Sezoane!$D$6:$D$40,MATCH(A316,Sezoane!$C$6:$C$40,1))),INDEX('Prețuri de setat'!$H$5:$H$39,MATCH(A316,Sezoane!$C$6:$C$40,1)),"")</f>
        <v/>
      </c>
      <c r="I316" s="44" t="str">
        <f aca="false">IF(AND(ISNUMBER(MATCH(A316,Sezoane!$C$6:$C$40,1)),A316&lt;=INDEX(Sezoane!$D$6:$D$40,MATCH(A316,Sezoane!$C$6:$C$40,1))),INDEX('Prețuri de setat'!$I$5:$I$39,MATCH(A316,Sezoane!$C$6:$C$40,1)),"")</f>
        <v/>
      </c>
    </row>
    <row r="317" customFormat="false" ht="15" hidden="false" customHeight="false" outlineLevel="0" collapsed="false">
      <c r="A317" s="41" t="n">
        <f aca="false">$B$2+312</f>
        <v>46628</v>
      </c>
      <c r="B317" s="42" t="str">
        <f aca="false">CHOOSE(WEEKDAY(A317,2),"Lu","Ma","Mi","Jo","Vi","Sâ","Du")</f>
        <v>Du</v>
      </c>
      <c r="C317" s="42" t="str">
        <f aca="false">IF(AND(ISNUMBER(MATCH(A317,Sezoane!$C$6:$C$40,1)),A317&lt;=INDEX(Sezoane!$D$6:$D$40,MATCH(A317,Sezoane!$C$6:$C$40,1))),INDEX(Sezoane!$A$6:$A$40,MATCH(A317,Sezoane!$C$6:$C$40,1)),"⚠ fără sezon")</f>
        <v>⚠ fără sezon</v>
      </c>
      <c r="D317" s="42" t="str">
        <f aca="false">IF(AND(ISNUMBER(MATCH(A317,Sezoane!$C$6:$C$40,1)),A317&lt;=INDEX(Sezoane!$D$6:$D$40,MATCH(A317,Sezoane!$C$6:$C$40,1))),INDEX(Sezoane!$F$6:$F$40,MATCH(A317,Sezoane!$C$6:$C$40,1)),"")</f>
        <v/>
      </c>
      <c r="E317" s="44" t="str">
        <f aca="false">IF(AND(ISNUMBER(MATCH(A317,Sezoane!$C$6:$C$40,1)),A317&lt;=INDEX(Sezoane!$D$6:$D$40,MATCH(A317,Sezoane!$C$6:$C$40,1))),INDEX('Prețuri de setat'!$E$5:$E$39,MATCH(A317,Sezoane!$C$6:$C$40,1)),"")</f>
        <v/>
      </c>
      <c r="F317" s="44" t="str">
        <f aca="false">IF(AND(ISNUMBER(MATCH(A317,Sezoane!$C$6:$C$40,1)),A317&lt;=INDEX(Sezoane!$D$6:$D$40,MATCH(A317,Sezoane!$C$6:$C$40,1))),INDEX('Prețuri de setat'!$F$5:$F$39,MATCH(A317,Sezoane!$C$6:$C$40,1)),"")</f>
        <v/>
      </c>
      <c r="G317" s="44" t="str">
        <f aca="false">IF(AND(ISNUMBER(MATCH(A317,Sezoane!$C$6:$C$40,1)),A317&lt;=INDEX(Sezoane!$D$6:$D$40,MATCH(A317,Sezoane!$C$6:$C$40,1))),INDEX('Prețuri de setat'!$G$5:$G$39,MATCH(A317,Sezoane!$C$6:$C$40,1)),"")</f>
        <v/>
      </c>
      <c r="H317" s="44" t="str">
        <f aca="false">IF(AND(ISNUMBER(MATCH(A317,Sezoane!$C$6:$C$40,1)),A317&lt;=INDEX(Sezoane!$D$6:$D$40,MATCH(A317,Sezoane!$C$6:$C$40,1))),INDEX('Prețuri de setat'!$H$5:$H$39,MATCH(A317,Sezoane!$C$6:$C$40,1)),"")</f>
        <v/>
      </c>
      <c r="I317" s="44" t="str">
        <f aca="false">IF(AND(ISNUMBER(MATCH(A317,Sezoane!$C$6:$C$40,1)),A317&lt;=INDEX(Sezoane!$D$6:$D$40,MATCH(A317,Sezoane!$C$6:$C$40,1))),INDEX('Prețuri de setat'!$I$5:$I$39,MATCH(A317,Sezoane!$C$6:$C$40,1)),"")</f>
        <v/>
      </c>
    </row>
    <row r="318" customFormat="false" ht="15" hidden="false" customHeight="false" outlineLevel="0" collapsed="false">
      <c r="A318" s="41" t="n">
        <f aca="false">$B$2+313</f>
        <v>46629</v>
      </c>
      <c r="B318" s="42" t="str">
        <f aca="false">CHOOSE(WEEKDAY(A318,2),"Lu","Ma","Mi","Jo","Vi","Sâ","Du")</f>
        <v>Lu</v>
      </c>
      <c r="C318" s="42" t="str">
        <f aca="false">IF(AND(ISNUMBER(MATCH(A318,Sezoane!$C$6:$C$40,1)),A318&lt;=INDEX(Sezoane!$D$6:$D$40,MATCH(A318,Sezoane!$C$6:$C$40,1))),INDEX(Sezoane!$A$6:$A$40,MATCH(A318,Sezoane!$C$6:$C$40,1)),"⚠ fără sezon")</f>
        <v>⚠ fără sezon</v>
      </c>
      <c r="D318" s="42" t="str">
        <f aca="false">IF(AND(ISNUMBER(MATCH(A318,Sezoane!$C$6:$C$40,1)),A318&lt;=INDEX(Sezoane!$D$6:$D$40,MATCH(A318,Sezoane!$C$6:$C$40,1))),INDEX(Sezoane!$F$6:$F$40,MATCH(A318,Sezoane!$C$6:$C$40,1)),"")</f>
        <v/>
      </c>
      <c r="E318" s="44" t="str">
        <f aca="false">IF(AND(ISNUMBER(MATCH(A318,Sezoane!$C$6:$C$40,1)),A318&lt;=INDEX(Sezoane!$D$6:$D$40,MATCH(A318,Sezoane!$C$6:$C$40,1))),INDEX('Prețuri de setat'!$E$5:$E$39,MATCH(A318,Sezoane!$C$6:$C$40,1)),"")</f>
        <v/>
      </c>
      <c r="F318" s="44" t="str">
        <f aca="false">IF(AND(ISNUMBER(MATCH(A318,Sezoane!$C$6:$C$40,1)),A318&lt;=INDEX(Sezoane!$D$6:$D$40,MATCH(A318,Sezoane!$C$6:$C$40,1))),INDEX('Prețuri de setat'!$F$5:$F$39,MATCH(A318,Sezoane!$C$6:$C$40,1)),"")</f>
        <v/>
      </c>
      <c r="G318" s="44" t="str">
        <f aca="false">IF(AND(ISNUMBER(MATCH(A318,Sezoane!$C$6:$C$40,1)),A318&lt;=INDEX(Sezoane!$D$6:$D$40,MATCH(A318,Sezoane!$C$6:$C$40,1))),INDEX('Prețuri de setat'!$G$5:$G$39,MATCH(A318,Sezoane!$C$6:$C$40,1)),"")</f>
        <v/>
      </c>
      <c r="H318" s="44" t="str">
        <f aca="false">IF(AND(ISNUMBER(MATCH(A318,Sezoane!$C$6:$C$40,1)),A318&lt;=INDEX(Sezoane!$D$6:$D$40,MATCH(A318,Sezoane!$C$6:$C$40,1))),INDEX('Prețuri de setat'!$H$5:$H$39,MATCH(A318,Sezoane!$C$6:$C$40,1)),"")</f>
        <v/>
      </c>
      <c r="I318" s="44" t="str">
        <f aca="false">IF(AND(ISNUMBER(MATCH(A318,Sezoane!$C$6:$C$40,1)),A318&lt;=INDEX(Sezoane!$D$6:$D$40,MATCH(A318,Sezoane!$C$6:$C$40,1))),INDEX('Prețuri de setat'!$I$5:$I$39,MATCH(A318,Sezoane!$C$6:$C$40,1)),"")</f>
        <v/>
      </c>
    </row>
    <row r="319" customFormat="false" ht="15" hidden="false" customHeight="false" outlineLevel="0" collapsed="false">
      <c r="A319" s="41" t="n">
        <f aca="false">$B$2+314</f>
        <v>46630</v>
      </c>
      <c r="B319" s="42" t="str">
        <f aca="false">CHOOSE(WEEKDAY(A319,2),"Lu","Ma","Mi","Jo","Vi","Sâ","Du")</f>
        <v>Ma</v>
      </c>
      <c r="C319" s="42" t="str">
        <f aca="false">IF(AND(ISNUMBER(MATCH(A319,Sezoane!$C$6:$C$40,1)),A319&lt;=INDEX(Sezoane!$D$6:$D$40,MATCH(A319,Sezoane!$C$6:$C$40,1))),INDEX(Sezoane!$A$6:$A$40,MATCH(A319,Sezoane!$C$6:$C$40,1)),"⚠ fără sezon")</f>
        <v>⚠ fără sezon</v>
      </c>
      <c r="D319" s="42" t="str">
        <f aca="false">IF(AND(ISNUMBER(MATCH(A319,Sezoane!$C$6:$C$40,1)),A319&lt;=INDEX(Sezoane!$D$6:$D$40,MATCH(A319,Sezoane!$C$6:$C$40,1))),INDEX(Sezoane!$F$6:$F$40,MATCH(A319,Sezoane!$C$6:$C$40,1)),"")</f>
        <v/>
      </c>
      <c r="E319" s="44" t="str">
        <f aca="false">IF(AND(ISNUMBER(MATCH(A319,Sezoane!$C$6:$C$40,1)),A319&lt;=INDEX(Sezoane!$D$6:$D$40,MATCH(A319,Sezoane!$C$6:$C$40,1))),INDEX('Prețuri de setat'!$E$5:$E$39,MATCH(A319,Sezoane!$C$6:$C$40,1)),"")</f>
        <v/>
      </c>
      <c r="F319" s="44" t="str">
        <f aca="false">IF(AND(ISNUMBER(MATCH(A319,Sezoane!$C$6:$C$40,1)),A319&lt;=INDEX(Sezoane!$D$6:$D$40,MATCH(A319,Sezoane!$C$6:$C$40,1))),INDEX('Prețuri de setat'!$F$5:$F$39,MATCH(A319,Sezoane!$C$6:$C$40,1)),"")</f>
        <v/>
      </c>
      <c r="G319" s="44" t="str">
        <f aca="false">IF(AND(ISNUMBER(MATCH(A319,Sezoane!$C$6:$C$40,1)),A319&lt;=INDEX(Sezoane!$D$6:$D$40,MATCH(A319,Sezoane!$C$6:$C$40,1))),INDEX('Prețuri de setat'!$G$5:$G$39,MATCH(A319,Sezoane!$C$6:$C$40,1)),"")</f>
        <v/>
      </c>
      <c r="H319" s="44" t="str">
        <f aca="false">IF(AND(ISNUMBER(MATCH(A319,Sezoane!$C$6:$C$40,1)),A319&lt;=INDEX(Sezoane!$D$6:$D$40,MATCH(A319,Sezoane!$C$6:$C$40,1))),INDEX('Prețuri de setat'!$H$5:$H$39,MATCH(A319,Sezoane!$C$6:$C$40,1)),"")</f>
        <v/>
      </c>
      <c r="I319" s="44" t="str">
        <f aca="false">IF(AND(ISNUMBER(MATCH(A319,Sezoane!$C$6:$C$40,1)),A319&lt;=INDEX(Sezoane!$D$6:$D$40,MATCH(A319,Sezoane!$C$6:$C$40,1))),INDEX('Prețuri de setat'!$I$5:$I$39,MATCH(A319,Sezoane!$C$6:$C$40,1)),"")</f>
        <v/>
      </c>
    </row>
    <row r="320" customFormat="false" ht="15" hidden="false" customHeight="false" outlineLevel="0" collapsed="false">
      <c r="A320" s="41" t="n">
        <f aca="false">$B$2+315</f>
        <v>46631</v>
      </c>
      <c r="B320" s="42" t="str">
        <f aca="false">CHOOSE(WEEKDAY(A320,2),"Lu","Ma","Mi","Jo","Vi","Sâ","Du")</f>
        <v>Mi</v>
      </c>
      <c r="C320" s="42" t="str">
        <f aca="false">IF(AND(ISNUMBER(MATCH(A320,Sezoane!$C$6:$C$40,1)),A320&lt;=INDEX(Sezoane!$D$6:$D$40,MATCH(A320,Sezoane!$C$6:$C$40,1))),INDEX(Sezoane!$A$6:$A$40,MATCH(A320,Sezoane!$C$6:$C$40,1)),"⚠ fără sezon")</f>
        <v>⚠ fără sezon</v>
      </c>
      <c r="D320" s="42" t="str">
        <f aca="false">IF(AND(ISNUMBER(MATCH(A320,Sezoane!$C$6:$C$40,1)),A320&lt;=INDEX(Sezoane!$D$6:$D$40,MATCH(A320,Sezoane!$C$6:$C$40,1))),INDEX(Sezoane!$F$6:$F$40,MATCH(A320,Sezoane!$C$6:$C$40,1)),"")</f>
        <v/>
      </c>
      <c r="E320" s="44" t="str">
        <f aca="false">IF(AND(ISNUMBER(MATCH(A320,Sezoane!$C$6:$C$40,1)),A320&lt;=INDEX(Sezoane!$D$6:$D$40,MATCH(A320,Sezoane!$C$6:$C$40,1))),INDEX('Prețuri de setat'!$E$5:$E$39,MATCH(A320,Sezoane!$C$6:$C$40,1)),"")</f>
        <v/>
      </c>
      <c r="F320" s="44" t="str">
        <f aca="false">IF(AND(ISNUMBER(MATCH(A320,Sezoane!$C$6:$C$40,1)),A320&lt;=INDEX(Sezoane!$D$6:$D$40,MATCH(A320,Sezoane!$C$6:$C$40,1))),INDEX('Prețuri de setat'!$F$5:$F$39,MATCH(A320,Sezoane!$C$6:$C$40,1)),"")</f>
        <v/>
      </c>
      <c r="G320" s="44" t="str">
        <f aca="false">IF(AND(ISNUMBER(MATCH(A320,Sezoane!$C$6:$C$40,1)),A320&lt;=INDEX(Sezoane!$D$6:$D$40,MATCH(A320,Sezoane!$C$6:$C$40,1))),INDEX('Prețuri de setat'!$G$5:$G$39,MATCH(A320,Sezoane!$C$6:$C$40,1)),"")</f>
        <v/>
      </c>
      <c r="H320" s="44" t="str">
        <f aca="false">IF(AND(ISNUMBER(MATCH(A320,Sezoane!$C$6:$C$40,1)),A320&lt;=INDEX(Sezoane!$D$6:$D$40,MATCH(A320,Sezoane!$C$6:$C$40,1))),INDEX('Prețuri de setat'!$H$5:$H$39,MATCH(A320,Sezoane!$C$6:$C$40,1)),"")</f>
        <v/>
      </c>
      <c r="I320" s="44" t="str">
        <f aca="false">IF(AND(ISNUMBER(MATCH(A320,Sezoane!$C$6:$C$40,1)),A320&lt;=INDEX(Sezoane!$D$6:$D$40,MATCH(A320,Sezoane!$C$6:$C$40,1))),INDEX('Prețuri de setat'!$I$5:$I$39,MATCH(A320,Sezoane!$C$6:$C$40,1)),"")</f>
        <v/>
      </c>
    </row>
    <row r="321" customFormat="false" ht="15" hidden="false" customHeight="false" outlineLevel="0" collapsed="false">
      <c r="A321" s="41" t="n">
        <f aca="false">$B$2+316</f>
        <v>46632</v>
      </c>
      <c r="B321" s="42" t="str">
        <f aca="false">CHOOSE(WEEKDAY(A321,2),"Lu","Ma","Mi","Jo","Vi","Sâ","Du")</f>
        <v>Jo</v>
      </c>
      <c r="C321" s="42" t="str">
        <f aca="false">IF(AND(ISNUMBER(MATCH(A321,Sezoane!$C$6:$C$40,1)),A321&lt;=INDEX(Sezoane!$D$6:$D$40,MATCH(A321,Sezoane!$C$6:$C$40,1))),INDEX(Sezoane!$A$6:$A$40,MATCH(A321,Sezoane!$C$6:$C$40,1)),"⚠ fără sezon")</f>
        <v>⚠ fără sezon</v>
      </c>
      <c r="D321" s="42" t="str">
        <f aca="false">IF(AND(ISNUMBER(MATCH(A321,Sezoane!$C$6:$C$40,1)),A321&lt;=INDEX(Sezoane!$D$6:$D$40,MATCH(A321,Sezoane!$C$6:$C$40,1))),INDEX(Sezoane!$F$6:$F$40,MATCH(A321,Sezoane!$C$6:$C$40,1)),"")</f>
        <v/>
      </c>
      <c r="E321" s="44" t="str">
        <f aca="false">IF(AND(ISNUMBER(MATCH(A321,Sezoane!$C$6:$C$40,1)),A321&lt;=INDEX(Sezoane!$D$6:$D$40,MATCH(A321,Sezoane!$C$6:$C$40,1))),INDEX('Prețuri de setat'!$E$5:$E$39,MATCH(A321,Sezoane!$C$6:$C$40,1)),"")</f>
        <v/>
      </c>
      <c r="F321" s="44" t="str">
        <f aca="false">IF(AND(ISNUMBER(MATCH(A321,Sezoane!$C$6:$C$40,1)),A321&lt;=INDEX(Sezoane!$D$6:$D$40,MATCH(A321,Sezoane!$C$6:$C$40,1))),INDEX('Prețuri de setat'!$F$5:$F$39,MATCH(A321,Sezoane!$C$6:$C$40,1)),"")</f>
        <v/>
      </c>
      <c r="G321" s="44" t="str">
        <f aca="false">IF(AND(ISNUMBER(MATCH(A321,Sezoane!$C$6:$C$40,1)),A321&lt;=INDEX(Sezoane!$D$6:$D$40,MATCH(A321,Sezoane!$C$6:$C$40,1))),INDEX('Prețuri de setat'!$G$5:$G$39,MATCH(A321,Sezoane!$C$6:$C$40,1)),"")</f>
        <v/>
      </c>
      <c r="H321" s="44" t="str">
        <f aca="false">IF(AND(ISNUMBER(MATCH(A321,Sezoane!$C$6:$C$40,1)),A321&lt;=INDEX(Sezoane!$D$6:$D$40,MATCH(A321,Sezoane!$C$6:$C$40,1))),INDEX('Prețuri de setat'!$H$5:$H$39,MATCH(A321,Sezoane!$C$6:$C$40,1)),"")</f>
        <v/>
      </c>
      <c r="I321" s="44" t="str">
        <f aca="false">IF(AND(ISNUMBER(MATCH(A321,Sezoane!$C$6:$C$40,1)),A321&lt;=INDEX(Sezoane!$D$6:$D$40,MATCH(A321,Sezoane!$C$6:$C$40,1))),INDEX('Prețuri de setat'!$I$5:$I$39,MATCH(A321,Sezoane!$C$6:$C$40,1)),"")</f>
        <v/>
      </c>
    </row>
    <row r="322" customFormat="false" ht="15" hidden="false" customHeight="false" outlineLevel="0" collapsed="false">
      <c r="A322" s="41" t="n">
        <f aca="false">$B$2+317</f>
        <v>46633</v>
      </c>
      <c r="B322" s="42" t="str">
        <f aca="false">CHOOSE(WEEKDAY(A322,2),"Lu","Ma","Mi","Jo","Vi","Sâ","Du")</f>
        <v>Vi</v>
      </c>
      <c r="C322" s="42" t="str">
        <f aca="false">IF(AND(ISNUMBER(MATCH(A322,Sezoane!$C$6:$C$40,1)),A322&lt;=INDEX(Sezoane!$D$6:$D$40,MATCH(A322,Sezoane!$C$6:$C$40,1))),INDEX(Sezoane!$A$6:$A$40,MATCH(A322,Sezoane!$C$6:$C$40,1)),"⚠ fără sezon")</f>
        <v>⚠ fără sezon</v>
      </c>
      <c r="D322" s="42" t="str">
        <f aca="false">IF(AND(ISNUMBER(MATCH(A322,Sezoane!$C$6:$C$40,1)),A322&lt;=INDEX(Sezoane!$D$6:$D$40,MATCH(A322,Sezoane!$C$6:$C$40,1))),INDEX(Sezoane!$F$6:$F$40,MATCH(A322,Sezoane!$C$6:$C$40,1)),"")</f>
        <v/>
      </c>
      <c r="E322" s="44" t="str">
        <f aca="false">IF(AND(ISNUMBER(MATCH(A322,Sezoane!$C$6:$C$40,1)),A322&lt;=INDEX(Sezoane!$D$6:$D$40,MATCH(A322,Sezoane!$C$6:$C$40,1))),INDEX('Prețuri de setat'!$E$5:$E$39,MATCH(A322,Sezoane!$C$6:$C$40,1)),"")</f>
        <v/>
      </c>
      <c r="F322" s="44" t="str">
        <f aca="false">IF(AND(ISNUMBER(MATCH(A322,Sezoane!$C$6:$C$40,1)),A322&lt;=INDEX(Sezoane!$D$6:$D$40,MATCH(A322,Sezoane!$C$6:$C$40,1))),INDEX('Prețuri de setat'!$F$5:$F$39,MATCH(A322,Sezoane!$C$6:$C$40,1)),"")</f>
        <v/>
      </c>
      <c r="G322" s="44" t="str">
        <f aca="false">IF(AND(ISNUMBER(MATCH(A322,Sezoane!$C$6:$C$40,1)),A322&lt;=INDEX(Sezoane!$D$6:$D$40,MATCH(A322,Sezoane!$C$6:$C$40,1))),INDEX('Prețuri de setat'!$G$5:$G$39,MATCH(A322,Sezoane!$C$6:$C$40,1)),"")</f>
        <v/>
      </c>
      <c r="H322" s="44" t="str">
        <f aca="false">IF(AND(ISNUMBER(MATCH(A322,Sezoane!$C$6:$C$40,1)),A322&lt;=INDEX(Sezoane!$D$6:$D$40,MATCH(A322,Sezoane!$C$6:$C$40,1))),INDEX('Prețuri de setat'!$H$5:$H$39,MATCH(A322,Sezoane!$C$6:$C$40,1)),"")</f>
        <v/>
      </c>
      <c r="I322" s="44" t="str">
        <f aca="false">IF(AND(ISNUMBER(MATCH(A322,Sezoane!$C$6:$C$40,1)),A322&lt;=INDEX(Sezoane!$D$6:$D$40,MATCH(A322,Sezoane!$C$6:$C$40,1))),INDEX('Prețuri de setat'!$I$5:$I$39,MATCH(A322,Sezoane!$C$6:$C$40,1)),"")</f>
        <v/>
      </c>
    </row>
    <row r="323" customFormat="false" ht="15" hidden="false" customHeight="false" outlineLevel="0" collapsed="false">
      <c r="A323" s="41" t="n">
        <f aca="false">$B$2+318</f>
        <v>46634</v>
      </c>
      <c r="B323" s="42" t="str">
        <f aca="false">CHOOSE(WEEKDAY(A323,2),"Lu","Ma","Mi","Jo","Vi","Sâ","Du")</f>
        <v>Sâ</v>
      </c>
      <c r="C323" s="42" t="str">
        <f aca="false">IF(AND(ISNUMBER(MATCH(A323,Sezoane!$C$6:$C$40,1)),A323&lt;=INDEX(Sezoane!$D$6:$D$40,MATCH(A323,Sezoane!$C$6:$C$40,1))),INDEX(Sezoane!$A$6:$A$40,MATCH(A323,Sezoane!$C$6:$C$40,1)),"⚠ fără sezon")</f>
        <v>⚠ fără sezon</v>
      </c>
      <c r="D323" s="42" t="str">
        <f aca="false">IF(AND(ISNUMBER(MATCH(A323,Sezoane!$C$6:$C$40,1)),A323&lt;=INDEX(Sezoane!$D$6:$D$40,MATCH(A323,Sezoane!$C$6:$C$40,1))),INDEX(Sezoane!$F$6:$F$40,MATCH(A323,Sezoane!$C$6:$C$40,1)),"")</f>
        <v/>
      </c>
      <c r="E323" s="44" t="str">
        <f aca="false">IF(AND(ISNUMBER(MATCH(A323,Sezoane!$C$6:$C$40,1)),A323&lt;=INDEX(Sezoane!$D$6:$D$40,MATCH(A323,Sezoane!$C$6:$C$40,1))),INDEX('Prețuri de setat'!$E$5:$E$39,MATCH(A323,Sezoane!$C$6:$C$40,1)),"")</f>
        <v/>
      </c>
      <c r="F323" s="44" t="str">
        <f aca="false">IF(AND(ISNUMBER(MATCH(A323,Sezoane!$C$6:$C$40,1)),A323&lt;=INDEX(Sezoane!$D$6:$D$40,MATCH(A323,Sezoane!$C$6:$C$40,1))),INDEX('Prețuri de setat'!$F$5:$F$39,MATCH(A323,Sezoane!$C$6:$C$40,1)),"")</f>
        <v/>
      </c>
      <c r="G323" s="44" t="str">
        <f aca="false">IF(AND(ISNUMBER(MATCH(A323,Sezoane!$C$6:$C$40,1)),A323&lt;=INDEX(Sezoane!$D$6:$D$40,MATCH(A323,Sezoane!$C$6:$C$40,1))),INDEX('Prețuri de setat'!$G$5:$G$39,MATCH(A323,Sezoane!$C$6:$C$40,1)),"")</f>
        <v/>
      </c>
      <c r="H323" s="44" t="str">
        <f aca="false">IF(AND(ISNUMBER(MATCH(A323,Sezoane!$C$6:$C$40,1)),A323&lt;=INDEX(Sezoane!$D$6:$D$40,MATCH(A323,Sezoane!$C$6:$C$40,1))),INDEX('Prețuri de setat'!$H$5:$H$39,MATCH(A323,Sezoane!$C$6:$C$40,1)),"")</f>
        <v/>
      </c>
      <c r="I323" s="44" t="str">
        <f aca="false">IF(AND(ISNUMBER(MATCH(A323,Sezoane!$C$6:$C$40,1)),A323&lt;=INDEX(Sezoane!$D$6:$D$40,MATCH(A323,Sezoane!$C$6:$C$40,1))),INDEX('Prețuri de setat'!$I$5:$I$39,MATCH(A323,Sezoane!$C$6:$C$40,1)),"")</f>
        <v/>
      </c>
    </row>
    <row r="324" customFormat="false" ht="15" hidden="false" customHeight="false" outlineLevel="0" collapsed="false">
      <c r="A324" s="41" t="n">
        <f aca="false">$B$2+319</f>
        <v>46635</v>
      </c>
      <c r="B324" s="42" t="str">
        <f aca="false">CHOOSE(WEEKDAY(A324,2),"Lu","Ma","Mi","Jo","Vi","Sâ","Du")</f>
        <v>Du</v>
      </c>
      <c r="C324" s="42" t="str">
        <f aca="false">IF(AND(ISNUMBER(MATCH(A324,Sezoane!$C$6:$C$40,1)),A324&lt;=INDEX(Sezoane!$D$6:$D$40,MATCH(A324,Sezoane!$C$6:$C$40,1))),INDEX(Sezoane!$A$6:$A$40,MATCH(A324,Sezoane!$C$6:$C$40,1)),"⚠ fără sezon")</f>
        <v>⚠ fără sezon</v>
      </c>
      <c r="D324" s="42" t="str">
        <f aca="false">IF(AND(ISNUMBER(MATCH(A324,Sezoane!$C$6:$C$40,1)),A324&lt;=INDEX(Sezoane!$D$6:$D$40,MATCH(A324,Sezoane!$C$6:$C$40,1))),INDEX(Sezoane!$F$6:$F$40,MATCH(A324,Sezoane!$C$6:$C$40,1)),"")</f>
        <v/>
      </c>
      <c r="E324" s="44" t="str">
        <f aca="false">IF(AND(ISNUMBER(MATCH(A324,Sezoane!$C$6:$C$40,1)),A324&lt;=INDEX(Sezoane!$D$6:$D$40,MATCH(A324,Sezoane!$C$6:$C$40,1))),INDEX('Prețuri de setat'!$E$5:$E$39,MATCH(A324,Sezoane!$C$6:$C$40,1)),"")</f>
        <v/>
      </c>
      <c r="F324" s="44" t="str">
        <f aca="false">IF(AND(ISNUMBER(MATCH(A324,Sezoane!$C$6:$C$40,1)),A324&lt;=INDEX(Sezoane!$D$6:$D$40,MATCH(A324,Sezoane!$C$6:$C$40,1))),INDEX('Prețuri de setat'!$F$5:$F$39,MATCH(A324,Sezoane!$C$6:$C$40,1)),"")</f>
        <v/>
      </c>
      <c r="G324" s="44" t="str">
        <f aca="false">IF(AND(ISNUMBER(MATCH(A324,Sezoane!$C$6:$C$40,1)),A324&lt;=INDEX(Sezoane!$D$6:$D$40,MATCH(A324,Sezoane!$C$6:$C$40,1))),INDEX('Prețuri de setat'!$G$5:$G$39,MATCH(A324,Sezoane!$C$6:$C$40,1)),"")</f>
        <v/>
      </c>
      <c r="H324" s="44" t="str">
        <f aca="false">IF(AND(ISNUMBER(MATCH(A324,Sezoane!$C$6:$C$40,1)),A324&lt;=INDEX(Sezoane!$D$6:$D$40,MATCH(A324,Sezoane!$C$6:$C$40,1))),INDEX('Prețuri de setat'!$H$5:$H$39,MATCH(A324,Sezoane!$C$6:$C$40,1)),"")</f>
        <v/>
      </c>
      <c r="I324" s="44" t="str">
        <f aca="false">IF(AND(ISNUMBER(MATCH(A324,Sezoane!$C$6:$C$40,1)),A324&lt;=INDEX(Sezoane!$D$6:$D$40,MATCH(A324,Sezoane!$C$6:$C$40,1))),INDEX('Prețuri de setat'!$I$5:$I$39,MATCH(A324,Sezoane!$C$6:$C$40,1)),"")</f>
        <v/>
      </c>
    </row>
    <row r="325" customFormat="false" ht="15" hidden="false" customHeight="false" outlineLevel="0" collapsed="false">
      <c r="A325" s="41" t="n">
        <f aca="false">$B$2+320</f>
        <v>46636</v>
      </c>
      <c r="B325" s="42" t="str">
        <f aca="false">CHOOSE(WEEKDAY(A325,2),"Lu","Ma","Mi","Jo","Vi","Sâ","Du")</f>
        <v>Lu</v>
      </c>
      <c r="C325" s="42" t="str">
        <f aca="false">IF(AND(ISNUMBER(MATCH(A325,Sezoane!$C$6:$C$40,1)),A325&lt;=INDEX(Sezoane!$D$6:$D$40,MATCH(A325,Sezoane!$C$6:$C$40,1))),INDEX(Sezoane!$A$6:$A$40,MATCH(A325,Sezoane!$C$6:$C$40,1)),"⚠ fără sezon")</f>
        <v>⚠ fără sezon</v>
      </c>
      <c r="D325" s="42" t="str">
        <f aca="false">IF(AND(ISNUMBER(MATCH(A325,Sezoane!$C$6:$C$40,1)),A325&lt;=INDEX(Sezoane!$D$6:$D$40,MATCH(A325,Sezoane!$C$6:$C$40,1))),INDEX(Sezoane!$F$6:$F$40,MATCH(A325,Sezoane!$C$6:$C$40,1)),"")</f>
        <v/>
      </c>
      <c r="E325" s="44" t="str">
        <f aca="false">IF(AND(ISNUMBER(MATCH(A325,Sezoane!$C$6:$C$40,1)),A325&lt;=INDEX(Sezoane!$D$6:$D$40,MATCH(A325,Sezoane!$C$6:$C$40,1))),INDEX('Prețuri de setat'!$E$5:$E$39,MATCH(A325,Sezoane!$C$6:$C$40,1)),"")</f>
        <v/>
      </c>
      <c r="F325" s="44" t="str">
        <f aca="false">IF(AND(ISNUMBER(MATCH(A325,Sezoane!$C$6:$C$40,1)),A325&lt;=INDEX(Sezoane!$D$6:$D$40,MATCH(A325,Sezoane!$C$6:$C$40,1))),INDEX('Prețuri de setat'!$F$5:$F$39,MATCH(A325,Sezoane!$C$6:$C$40,1)),"")</f>
        <v/>
      </c>
      <c r="G325" s="44" t="str">
        <f aca="false">IF(AND(ISNUMBER(MATCH(A325,Sezoane!$C$6:$C$40,1)),A325&lt;=INDEX(Sezoane!$D$6:$D$40,MATCH(A325,Sezoane!$C$6:$C$40,1))),INDEX('Prețuri de setat'!$G$5:$G$39,MATCH(A325,Sezoane!$C$6:$C$40,1)),"")</f>
        <v/>
      </c>
      <c r="H325" s="44" t="str">
        <f aca="false">IF(AND(ISNUMBER(MATCH(A325,Sezoane!$C$6:$C$40,1)),A325&lt;=INDEX(Sezoane!$D$6:$D$40,MATCH(A325,Sezoane!$C$6:$C$40,1))),INDEX('Prețuri de setat'!$H$5:$H$39,MATCH(A325,Sezoane!$C$6:$C$40,1)),"")</f>
        <v/>
      </c>
      <c r="I325" s="44" t="str">
        <f aca="false">IF(AND(ISNUMBER(MATCH(A325,Sezoane!$C$6:$C$40,1)),A325&lt;=INDEX(Sezoane!$D$6:$D$40,MATCH(A325,Sezoane!$C$6:$C$40,1))),INDEX('Prețuri de setat'!$I$5:$I$39,MATCH(A325,Sezoane!$C$6:$C$40,1)),"")</f>
        <v/>
      </c>
    </row>
    <row r="326" customFormat="false" ht="15" hidden="false" customHeight="false" outlineLevel="0" collapsed="false">
      <c r="A326" s="41" t="n">
        <f aca="false">$B$2+321</f>
        <v>46637</v>
      </c>
      <c r="B326" s="42" t="str">
        <f aca="false">CHOOSE(WEEKDAY(A326,2),"Lu","Ma","Mi","Jo","Vi","Sâ","Du")</f>
        <v>Ma</v>
      </c>
      <c r="C326" s="42" t="str">
        <f aca="false">IF(AND(ISNUMBER(MATCH(A326,Sezoane!$C$6:$C$40,1)),A326&lt;=INDEX(Sezoane!$D$6:$D$40,MATCH(A326,Sezoane!$C$6:$C$40,1))),INDEX(Sezoane!$A$6:$A$40,MATCH(A326,Sezoane!$C$6:$C$40,1)),"⚠ fără sezon")</f>
        <v>⚠ fără sezon</v>
      </c>
      <c r="D326" s="42" t="str">
        <f aca="false">IF(AND(ISNUMBER(MATCH(A326,Sezoane!$C$6:$C$40,1)),A326&lt;=INDEX(Sezoane!$D$6:$D$40,MATCH(A326,Sezoane!$C$6:$C$40,1))),INDEX(Sezoane!$F$6:$F$40,MATCH(A326,Sezoane!$C$6:$C$40,1)),"")</f>
        <v/>
      </c>
      <c r="E326" s="44" t="str">
        <f aca="false">IF(AND(ISNUMBER(MATCH(A326,Sezoane!$C$6:$C$40,1)),A326&lt;=INDEX(Sezoane!$D$6:$D$40,MATCH(A326,Sezoane!$C$6:$C$40,1))),INDEX('Prețuri de setat'!$E$5:$E$39,MATCH(A326,Sezoane!$C$6:$C$40,1)),"")</f>
        <v/>
      </c>
      <c r="F326" s="44" t="str">
        <f aca="false">IF(AND(ISNUMBER(MATCH(A326,Sezoane!$C$6:$C$40,1)),A326&lt;=INDEX(Sezoane!$D$6:$D$40,MATCH(A326,Sezoane!$C$6:$C$40,1))),INDEX('Prețuri de setat'!$F$5:$F$39,MATCH(A326,Sezoane!$C$6:$C$40,1)),"")</f>
        <v/>
      </c>
      <c r="G326" s="44" t="str">
        <f aca="false">IF(AND(ISNUMBER(MATCH(A326,Sezoane!$C$6:$C$40,1)),A326&lt;=INDEX(Sezoane!$D$6:$D$40,MATCH(A326,Sezoane!$C$6:$C$40,1))),INDEX('Prețuri de setat'!$G$5:$G$39,MATCH(A326,Sezoane!$C$6:$C$40,1)),"")</f>
        <v/>
      </c>
      <c r="H326" s="44" t="str">
        <f aca="false">IF(AND(ISNUMBER(MATCH(A326,Sezoane!$C$6:$C$40,1)),A326&lt;=INDEX(Sezoane!$D$6:$D$40,MATCH(A326,Sezoane!$C$6:$C$40,1))),INDEX('Prețuri de setat'!$H$5:$H$39,MATCH(A326,Sezoane!$C$6:$C$40,1)),"")</f>
        <v/>
      </c>
      <c r="I326" s="44" t="str">
        <f aca="false">IF(AND(ISNUMBER(MATCH(A326,Sezoane!$C$6:$C$40,1)),A326&lt;=INDEX(Sezoane!$D$6:$D$40,MATCH(A326,Sezoane!$C$6:$C$40,1))),INDEX('Prețuri de setat'!$I$5:$I$39,MATCH(A326,Sezoane!$C$6:$C$40,1)),"")</f>
        <v/>
      </c>
    </row>
    <row r="327" customFormat="false" ht="15" hidden="false" customHeight="false" outlineLevel="0" collapsed="false">
      <c r="A327" s="41" t="n">
        <f aca="false">$B$2+322</f>
        <v>46638</v>
      </c>
      <c r="B327" s="42" t="str">
        <f aca="false">CHOOSE(WEEKDAY(A327,2),"Lu","Ma","Mi","Jo","Vi","Sâ","Du")</f>
        <v>Mi</v>
      </c>
      <c r="C327" s="42" t="str">
        <f aca="false">IF(AND(ISNUMBER(MATCH(A327,Sezoane!$C$6:$C$40,1)),A327&lt;=INDEX(Sezoane!$D$6:$D$40,MATCH(A327,Sezoane!$C$6:$C$40,1))),INDEX(Sezoane!$A$6:$A$40,MATCH(A327,Sezoane!$C$6:$C$40,1)),"⚠ fără sezon")</f>
        <v>⚠ fără sezon</v>
      </c>
      <c r="D327" s="42" t="str">
        <f aca="false">IF(AND(ISNUMBER(MATCH(A327,Sezoane!$C$6:$C$40,1)),A327&lt;=INDEX(Sezoane!$D$6:$D$40,MATCH(A327,Sezoane!$C$6:$C$40,1))),INDEX(Sezoane!$F$6:$F$40,MATCH(A327,Sezoane!$C$6:$C$40,1)),"")</f>
        <v/>
      </c>
      <c r="E327" s="44" t="str">
        <f aca="false">IF(AND(ISNUMBER(MATCH(A327,Sezoane!$C$6:$C$40,1)),A327&lt;=INDEX(Sezoane!$D$6:$D$40,MATCH(A327,Sezoane!$C$6:$C$40,1))),INDEX('Prețuri de setat'!$E$5:$E$39,MATCH(A327,Sezoane!$C$6:$C$40,1)),"")</f>
        <v/>
      </c>
      <c r="F327" s="44" t="str">
        <f aca="false">IF(AND(ISNUMBER(MATCH(A327,Sezoane!$C$6:$C$40,1)),A327&lt;=INDEX(Sezoane!$D$6:$D$40,MATCH(A327,Sezoane!$C$6:$C$40,1))),INDEX('Prețuri de setat'!$F$5:$F$39,MATCH(A327,Sezoane!$C$6:$C$40,1)),"")</f>
        <v/>
      </c>
      <c r="G327" s="44" t="str">
        <f aca="false">IF(AND(ISNUMBER(MATCH(A327,Sezoane!$C$6:$C$40,1)),A327&lt;=INDEX(Sezoane!$D$6:$D$40,MATCH(A327,Sezoane!$C$6:$C$40,1))),INDEX('Prețuri de setat'!$G$5:$G$39,MATCH(A327,Sezoane!$C$6:$C$40,1)),"")</f>
        <v/>
      </c>
      <c r="H327" s="44" t="str">
        <f aca="false">IF(AND(ISNUMBER(MATCH(A327,Sezoane!$C$6:$C$40,1)),A327&lt;=INDEX(Sezoane!$D$6:$D$40,MATCH(A327,Sezoane!$C$6:$C$40,1))),INDEX('Prețuri de setat'!$H$5:$H$39,MATCH(A327,Sezoane!$C$6:$C$40,1)),"")</f>
        <v/>
      </c>
      <c r="I327" s="44" t="str">
        <f aca="false">IF(AND(ISNUMBER(MATCH(A327,Sezoane!$C$6:$C$40,1)),A327&lt;=INDEX(Sezoane!$D$6:$D$40,MATCH(A327,Sezoane!$C$6:$C$40,1))),INDEX('Prețuri de setat'!$I$5:$I$39,MATCH(A327,Sezoane!$C$6:$C$40,1)),"")</f>
        <v/>
      </c>
    </row>
    <row r="328" customFormat="false" ht="15" hidden="false" customHeight="false" outlineLevel="0" collapsed="false">
      <c r="A328" s="41" t="n">
        <f aca="false">$B$2+323</f>
        <v>46639</v>
      </c>
      <c r="B328" s="42" t="str">
        <f aca="false">CHOOSE(WEEKDAY(A328,2),"Lu","Ma","Mi","Jo","Vi","Sâ","Du")</f>
        <v>Jo</v>
      </c>
      <c r="C328" s="42" t="str">
        <f aca="false">IF(AND(ISNUMBER(MATCH(A328,Sezoane!$C$6:$C$40,1)),A328&lt;=INDEX(Sezoane!$D$6:$D$40,MATCH(A328,Sezoane!$C$6:$C$40,1))),INDEX(Sezoane!$A$6:$A$40,MATCH(A328,Sezoane!$C$6:$C$40,1)),"⚠ fără sezon")</f>
        <v>⚠ fără sezon</v>
      </c>
      <c r="D328" s="42" t="str">
        <f aca="false">IF(AND(ISNUMBER(MATCH(A328,Sezoane!$C$6:$C$40,1)),A328&lt;=INDEX(Sezoane!$D$6:$D$40,MATCH(A328,Sezoane!$C$6:$C$40,1))),INDEX(Sezoane!$F$6:$F$40,MATCH(A328,Sezoane!$C$6:$C$40,1)),"")</f>
        <v/>
      </c>
      <c r="E328" s="44" t="str">
        <f aca="false">IF(AND(ISNUMBER(MATCH(A328,Sezoane!$C$6:$C$40,1)),A328&lt;=INDEX(Sezoane!$D$6:$D$40,MATCH(A328,Sezoane!$C$6:$C$40,1))),INDEX('Prețuri de setat'!$E$5:$E$39,MATCH(A328,Sezoane!$C$6:$C$40,1)),"")</f>
        <v/>
      </c>
      <c r="F328" s="44" t="str">
        <f aca="false">IF(AND(ISNUMBER(MATCH(A328,Sezoane!$C$6:$C$40,1)),A328&lt;=INDEX(Sezoane!$D$6:$D$40,MATCH(A328,Sezoane!$C$6:$C$40,1))),INDEX('Prețuri de setat'!$F$5:$F$39,MATCH(A328,Sezoane!$C$6:$C$40,1)),"")</f>
        <v/>
      </c>
      <c r="G328" s="44" t="str">
        <f aca="false">IF(AND(ISNUMBER(MATCH(A328,Sezoane!$C$6:$C$40,1)),A328&lt;=INDEX(Sezoane!$D$6:$D$40,MATCH(A328,Sezoane!$C$6:$C$40,1))),INDEX('Prețuri de setat'!$G$5:$G$39,MATCH(A328,Sezoane!$C$6:$C$40,1)),"")</f>
        <v/>
      </c>
      <c r="H328" s="44" t="str">
        <f aca="false">IF(AND(ISNUMBER(MATCH(A328,Sezoane!$C$6:$C$40,1)),A328&lt;=INDEX(Sezoane!$D$6:$D$40,MATCH(A328,Sezoane!$C$6:$C$40,1))),INDEX('Prețuri de setat'!$H$5:$H$39,MATCH(A328,Sezoane!$C$6:$C$40,1)),"")</f>
        <v/>
      </c>
      <c r="I328" s="44" t="str">
        <f aca="false">IF(AND(ISNUMBER(MATCH(A328,Sezoane!$C$6:$C$40,1)),A328&lt;=INDEX(Sezoane!$D$6:$D$40,MATCH(A328,Sezoane!$C$6:$C$40,1))),INDEX('Prețuri de setat'!$I$5:$I$39,MATCH(A328,Sezoane!$C$6:$C$40,1)),"")</f>
        <v/>
      </c>
    </row>
    <row r="329" customFormat="false" ht="15" hidden="false" customHeight="false" outlineLevel="0" collapsed="false">
      <c r="A329" s="41" t="n">
        <f aca="false">$B$2+324</f>
        <v>46640</v>
      </c>
      <c r="B329" s="42" t="str">
        <f aca="false">CHOOSE(WEEKDAY(A329,2),"Lu","Ma","Mi","Jo","Vi","Sâ","Du")</f>
        <v>Vi</v>
      </c>
      <c r="C329" s="42" t="str">
        <f aca="false">IF(AND(ISNUMBER(MATCH(A329,Sezoane!$C$6:$C$40,1)),A329&lt;=INDEX(Sezoane!$D$6:$D$40,MATCH(A329,Sezoane!$C$6:$C$40,1))),INDEX(Sezoane!$A$6:$A$40,MATCH(A329,Sezoane!$C$6:$C$40,1)),"⚠ fără sezon")</f>
        <v>⚠ fără sezon</v>
      </c>
      <c r="D329" s="42" t="str">
        <f aca="false">IF(AND(ISNUMBER(MATCH(A329,Sezoane!$C$6:$C$40,1)),A329&lt;=INDEX(Sezoane!$D$6:$D$40,MATCH(A329,Sezoane!$C$6:$C$40,1))),INDEX(Sezoane!$F$6:$F$40,MATCH(A329,Sezoane!$C$6:$C$40,1)),"")</f>
        <v/>
      </c>
      <c r="E329" s="44" t="str">
        <f aca="false">IF(AND(ISNUMBER(MATCH(A329,Sezoane!$C$6:$C$40,1)),A329&lt;=INDEX(Sezoane!$D$6:$D$40,MATCH(A329,Sezoane!$C$6:$C$40,1))),INDEX('Prețuri de setat'!$E$5:$E$39,MATCH(A329,Sezoane!$C$6:$C$40,1)),"")</f>
        <v/>
      </c>
      <c r="F329" s="44" t="str">
        <f aca="false">IF(AND(ISNUMBER(MATCH(A329,Sezoane!$C$6:$C$40,1)),A329&lt;=INDEX(Sezoane!$D$6:$D$40,MATCH(A329,Sezoane!$C$6:$C$40,1))),INDEX('Prețuri de setat'!$F$5:$F$39,MATCH(A329,Sezoane!$C$6:$C$40,1)),"")</f>
        <v/>
      </c>
      <c r="G329" s="44" t="str">
        <f aca="false">IF(AND(ISNUMBER(MATCH(A329,Sezoane!$C$6:$C$40,1)),A329&lt;=INDEX(Sezoane!$D$6:$D$40,MATCH(A329,Sezoane!$C$6:$C$40,1))),INDEX('Prețuri de setat'!$G$5:$G$39,MATCH(A329,Sezoane!$C$6:$C$40,1)),"")</f>
        <v/>
      </c>
      <c r="H329" s="44" t="str">
        <f aca="false">IF(AND(ISNUMBER(MATCH(A329,Sezoane!$C$6:$C$40,1)),A329&lt;=INDEX(Sezoane!$D$6:$D$40,MATCH(A329,Sezoane!$C$6:$C$40,1))),INDEX('Prețuri de setat'!$H$5:$H$39,MATCH(A329,Sezoane!$C$6:$C$40,1)),"")</f>
        <v/>
      </c>
      <c r="I329" s="44" t="str">
        <f aca="false">IF(AND(ISNUMBER(MATCH(A329,Sezoane!$C$6:$C$40,1)),A329&lt;=INDEX(Sezoane!$D$6:$D$40,MATCH(A329,Sezoane!$C$6:$C$40,1))),INDEX('Prețuri de setat'!$I$5:$I$39,MATCH(A329,Sezoane!$C$6:$C$40,1)),"")</f>
        <v/>
      </c>
    </row>
    <row r="330" customFormat="false" ht="15" hidden="false" customHeight="false" outlineLevel="0" collapsed="false">
      <c r="A330" s="41" t="n">
        <f aca="false">$B$2+325</f>
        <v>46641</v>
      </c>
      <c r="B330" s="42" t="str">
        <f aca="false">CHOOSE(WEEKDAY(A330,2),"Lu","Ma","Mi","Jo","Vi","Sâ","Du")</f>
        <v>Sâ</v>
      </c>
      <c r="C330" s="42" t="str">
        <f aca="false">IF(AND(ISNUMBER(MATCH(A330,Sezoane!$C$6:$C$40,1)),A330&lt;=INDEX(Sezoane!$D$6:$D$40,MATCH(A330,Sezoane!$C$6:$C$40,1))),INDEX(Sezoane!$A$6:$A$40,MATCH(A330,Sezoane!$C$6:$C$40,1)),"⚠ fără sezon")</f>
        <v>⚠ fără sezon</v>
      </c>
      <c r="D330" s="42" t="str">
        <f aca="false">IF(AND(ISNUMBER(MATCH(A330,Sezoane!$C$6:$C$40,1)),A330&lt;=INDEX(Sezoane!$D$6:$D$40,MATCH(A330,Sezoane!$C$6:$C$40,1))),INDEX(Sezoane!$F$6:$F$40,MATCH(A330,Sezoane!$C$6:$C$40,1)),"")</f>
        <v/>
      </c>
      <c r="E330" s="44" t="str">
        <f aca="false">IF(AND(ISNUMBER(MATCH(A330,Sezoane!$C$6:$C$40,1)),A330&lt;=INDEX(Sezoane!$D$6:$D$40,MATCH(A330,Sezoane!$C$6:$C$40,1))),INDEX('Prețuri de setat'!$E$5:$E$39,MATCH(A330,Sezoane!$C$6:$C$40,1)),"")</f>
        <v/>
      </c>
      <c r="F330" s="44" t="str">
        <f aca="false">IF(AND(ISNUMBER(MATCH(A330,Sezoane!$C$6:$C$40,1)),A330&lt;=INDEX(Sezoane!$D$6:$D$40,MATCH(A330,Sezoane!$C$6:$C$40,1))),INDEX('Prețuri de setat'!$F$5:$F$39,MATCH(A330,Sezoane!$C$6:$C$40,1)),"")</f>
        <v/>
      </c>
      <c r="G330" s="44" t="str">
        <f aca="false">IF(AND(ISNUMBER(MATCH(A330,Sezoane!$C$6:$C$40,1)),A330&lt;=INDEX(Sezoane!$D$6:$D$40,MATCH(A330,Sezoane!$C$6:$C$40,1))),INDEX('Prețuri de setat'!$G$5:$G$39,MATCH(A330,Sezoane!$C$6:$C$40,1)),"")</f>
        <v/>
      </c>
      <c r="H330" s="44" t="str">
        <f aca="false">IF(AND(ISNUMBER(MATCH(A330,Sezoane!$C$6:$C$40,1)),A330&lt;=INDEX(Sezoane!$D$6:$D$40,MATCH(A330,Sezoane!$C$6:$C$40,1))),INDEX('Prețuri de setat'!$H$5:$H$39,MATCH(A330,Sezoane!$C$6:$C$40,1)),"")</f>
        <v/>
      </c>
      <c r="I330" s="44" t="str">
        <f aca="false">IF(AND(ISNUMBER(MATCH(A330,Sezoane!$C$6:$C$40,1)),A330&lt;=INDEX(Sezoane!$D$6:$D$40,MATCH(A330,Sezoane!$C$6:$C$40,1))),INDEX('Prețuri de setat'!$I$5:$I$39,MATCH(A330,Sezoane!$C$6:$C$40,1)),"")</f>
        <v/>
      </c>
    </row>
    <row r="331" customFormat="false" ht="15" hidden="false" customHeight="false" outlineLevel="0" collapsed="false">
      <c r="A331" s="41" t="n">
        <f aca="false">$B$2+326</f>
        <v>46642</v>
      </c>
      <c r="B331" s="42" t="str">
        <f aca="false">CHOOSE(WEEKDAY(A331,2),"Lu","Ma","Mi","Jo","Vi","Sâ","Du")</f>
        <v>Du</v>
      </c>
      <c r="C331" s="42" t="str">
        <f aca="false">IF(AND(ISNUMBER(MATCH(A331,Sezoane!$C$6:$C$40,1)),A331&lt;=INDEX(Sezoane!$D$6:$D$40,MATCH(A331,Sezoane!$C$6:$C$40,1))),INDEX(Sezoane!$A$6:$A$40,MATCH(A331,Sezoane!$C$6:$C$40,1)),"⚠ fără sezon")</f>
        <v>⚠ fără sezon</v>
      </c>
      <c r="D331" s="42" t="str">
        <f aca="false">IF(AND(ISNUMBER(MATCH(A331,Sezoane!$C$6:$C$40,1)),A331&lt;=INDEX(Sezoane!$D$6:$D$40,MATCH(A331,Sezoane!$C$6:$C$40,1))),INDEX(Sezoane!$F$6:$F$40,MATCH(A331,Sezoane!$C$6:$C$40,1)),"")</f>
        <v/>
      </c>
      <c r="E331" s="44" t="str">
        <f aca="false">IF(AND(ISNUMBER(MATCH(A331,Sezoane!$C$6:$C$40,1)),A331&lt;=INDEX(Sezoane!$D$6:$D$40,MATCH(A331,Sezoane!$C$6:$C$40,1))),INDEX('Prețuri de setat'!$E$5:$E$39,MATCH(A331,Sezoane!$C$6:$C$40,1)),"")</f>
        <v/>
      </c>
      <c r="F331" s="44" t="str">
        <f aca="false">IF(AND(ISNUMBER(MATCH(A331,Sezoane!$C$6:$C$40,1)),A331&lt;=INDEX(Sezoane!$D$6:$D$40,MATCH(A331,Sezoane!$C$6:$C$40,1))),INDEX('Prețuri de setat'!$F$5:$F$39,MATCH(A331,Sezoane!$C$6:$C$40,1)),"")</f>
        <v/>
      </c>
      <c r="G331" s="44" t="str">
        <f aca="false">IF(AND(ISNUMBER(MATCH(A331,Sezoane!$C$6:$C$40,1)),A331&lt;=INDEX(Sezoane!$D$6:$D$40,MATCH(A331,Sezoane!$C$6:$C$40,1))),INDEX('Prețuri de setat'!$G$5:$G$39,MATCH(A331,Sezoane!$C$6:$C$40,1)),"")</f>
        <v/>
      </c>
      <c r="H331" s="44" t="str">
        <f aca="false">IF(AND(ISNUMBER(MATCH(A331,Sezoane!$C$6:$C$40,1)),A331&lt;=INDEX(Sezoane!$D$6:$D$40,MATCH(A331,Sezoane!$C$6:$C$40,1))),INDEX('Prețuri de setat'!$H$5:$H$39,MATCH(A331,Sezoane!$C$6:$C$40,1)),"")</f>
        <v/>
      </c>
      <c r="I331" s="44" t="str">
        <f aca="false">IF(AND(ISNUMBER(MATCH(A331,Sezoane!$C$6:$C$40,1)),A331&lt;=INDEX(Sezoane!$D$6:$D$40,MATCH(A331,Sezoane!$C$6:$C$40,1))),INDEX('Prețuri de setat'!$I$5:$I$39,MATCH(A331,Sezoane!$C$6:$C$40,1)),"")</f>
        <v/>
      </c>
    </row>
    <row r="332" customFormat="false" ht="15" hidden="false" customHeight="false" outlineLevel="0" collapsed="false">
      <c r="A332" s="41" t="n">
        <f aca="false">$B$2+327</f>
        <v>46643</v>
      </c>
      <c r="B332" s="42" t="str">
        <f aca="false">CHOOSE(WEEKDAY(A332,2),"Lu","Ma","Mi","Jo","Vi","Sâ","Du")</f>
        <v>Lu</v>
      </c>
      <c r="C332" s="42" t="str">
        <f aca="false">IF(AND(ISNUMBER(MATCH(A332,Sezoane!$C$6:$C$40,1)),A332&lt;=INDEX(Sezoane!$D$6:$D$40,MATCH(A332,Sezoane!$C$6:$C$40,1))),INDEX(Sezoane!$A$6:$A$40,MATCH(A332,Sezoane!$C$6:$C$40,1)),"⚠ fără sezon")</f>
        <v>⚠ fără sezon</v>
      </c>
      <c r="D332" s="42" t="str">
        <f aca="false">IF(AND(ISNUMBER(MATCH(A332,Sezoane!$C$6:$C$40,1)),A332&lt;=INDEX(Sezoane!$D$6:$D$40,MATCH(A332,Sezoane!$C$6:$C$40,1))),INDEX(Sezoane!$F$6:$F$40,MATCH(A332,Sezoane!$C$6:$C$40,1)),"")</f>
        <v/>
      </c>
      <c r="E332" s="44" t="str">
        <f aca="false">IF(AND(ISNUMBER(MATCH(A332,Sezoane!$C$6:$C$40,1)),A332&lt;=INDEX(Sezoane!$D$6:$D$40,MATCH(A332,Sezoane!$C$6:$C$40,1))),INDEX('Prețuri de setat'!$E$5:$E$39,MATCH(A332,Sezoane!$C$6:$C$40,1)),"")</f>
        <v/>
      </c>
      <c r="F332" s="44" t="str">
        <f aca="false">IF(AND(ISNUMBER(MATCH(A332,Sezoane!$C$6:$C$40,1)),A332&lt;=INDEX(Sezoane!$D$6:$D$40,MATCH(A332,Sezoane!$C$6:$C$40,1))),INDEX('Prețuri de setat'!$F$5:$F$39,MATCH(A332,Sezoane!$C$6:$C$40,1)),"")</f>
        <v/>
      </c>
      <c r="G332" s="44" t="str">
        <f aca="false">IF(AND(ISNUMBER(MATCH(A332,Sezoane!$C$6:$C$40,1)),A332&lt;=INDEX(Sezoane!$D$6:$D$40,MATCH(A332,Sezoane!$C$6:$C$40,1))),INDEX('Prețuri de setat'!$G$5:$G$39,MATCH(A332,Sezoane!$C$6:$C$40,1)),"")</f>
        <v/>
      </c>
      <c r="H332" s="44" t="str">
        <f aca="false">IF(AND(ISNUMBER(MATCH(A332,Sezoane!$C$6:$C$40,1)),A332&lt;=INDEX(Sezoane!$D$6:$D$40,MATCH(A332,Sezoane!$C$6:$C$40,1))),INDEX('Prețuri de setat'!$H$5:$H$39,MATCH(A332,Sezoane!$C$6:$C$40,1)),"")</f>
        <v/>
      </c>
      <c r="I332" s="44" t="str">
        <f aca="false">IF(AND(ISNUMBER(MATCH(A332,Sezoane!$C$6:$C$40,1)),A332&lt;=INDEX(Sezoane!$D$6:$D$40,MATCH(A332,Sezoane!$C$6:$C$40,1))),INDEX('Prețuri de setat'!$I$5:$I$39,MATCH(A332,Sezoane!$C$6:$C$40,1)),"")</f>
        <v/>
      </c>
    </row>
    <row r="333" customFormat="false" ht="15" hidden="false" customHeight="false" outlineLevel="0" collapsed="false">
      <c r="A333" s="41" t="n">
        <f aca="false">$B$2+328</f>
        <v>46644</v>
      </c>
      <c r="B333" s="42" t="str">
        <f aca="false">CHOOSE(WEEKDAY(A333,2),"Lu","Ma","Mi","Jo","Vi","Sâ","Du")</f>
        <v>Ma</v>
      </c>
      <c r="C333" s="42" t="str">
        <f aca="false">IF(AND(ISNUMBER(MATCH(A333,Sezoane!$C$6:$C$40,1)),A333&lt;=INDEX(Sezoane!$D$6:$D$40,MATCH(A333,Sezoane!$C$6:$C$40,1))),INDEX(Sezoane!$A$6:$A$40,MATCH(A333,Sezoane!$C$6:$C$40,1)),"⚠ fără sezon")</f>
        <v>⚠ fără sezon</v>
      </c>
      <c r="D333" s="42" t="str">
        <f aca="false">IF(AND(ISNUMBER(MATCH(A333,Sezoane!$C$6:$C$40,1)),A333&lt;=INDEX(Sezoane!$D$6:$D$40,MATCH(A333,Sezoane!$C$6:$C$40,1))),INDEX(Sezoane!$F$6:$F$40,MATCH(A333,Sezoane!$C$6:$C$40,1)),"")</f>
        <v/>
      </c>
      <c r="E333" s="44" t="str">
        <f aca="false">IF(AND(ISNUMBER(MATCH(A333,Sezoane!$C$6:$C$40,1)),A333&lt;=INDEX(Sezoane!$D$6:$D$40,MATCH(A333,Sezoane!$C$6:$C$40,1))),INDEX('Prețuri de setat'!$E$5:$E$39,MATCH(A333,Sezoane!$C$6:$C$40,1)),"")</f>
        <v/>
      </c>
      <c r="F333" s="44" t="str">
        <f aca="false">IF(AND(ISNUMBER(MATCH(A333,Sezoane!$C$6:$C$40,1)),A333&lt;=INDEX(Sezoane!$D$6:$D$40,MATCH(A333,Sezoane!$C$6:$C$40,1))),INDEX('Prețuri de setat'!$F$5:$F$39,MATCH(A333,Sezoane!$C$6:$C$40,1)),"")</f>
        <v/>
      </c>
      <c r="G333" s="44" t="str">
        <f aca="false">IF(AND(ISNUMBER(MATCH(A333,Sezoane!$C$6:$C$40,1)),A333&lt;=INDEX(Sezoane!$D$6:$D$40,MATCH(A333,Sezoane!$C$6:$C$40,1))),INDEX('Prețuri de setat'!$G$5:$G$39,MATCH(A333,Sezoane!$C$6:$C$40,1)),"")</f>
        <v/>
      </c>
      <c r="H333" s="44" t="str">
        <f aca="false">IF(AND(ISNUMBER(MATCH(A333,Sezoane!$C$6:$C$40,1)),A333&lt;=INDEX(Sezoane!$D$6:$D$40,MATCH(A333,Sezoane!$C$6:$C$40,1))),INDEX('Prețuri de setat'!$H$5:$H$39,MATCH(A333,Sezoane!$C$6:$C$40,1)),"")</f>
        <v/>
      </c>
      <c r="I333" s="44" t="str">
        <f aca="false">IF(AND(ISNUMBER(MATCH(A333,Sezoane!$C$6:$C$40,1)),A333&lt;=INDEX(Sezoane!$D$6:$D$40,MATCH(A333,Sezoane!$C$6:$C$40,1))),INDEX('Prețuri de setat'!$I$5:$I$39,MATCH(A333,Sezoane!$C$6:$C$40,1)),"")</f>
        <v/>
      </c>
    </row>
    <row r="334" customFormat="false" ht="15" hidden="false" customHeight="false" outlineLevel="0" collapsed="false">
      <c r="A334" s="41" t="n">
        <f aca="false">$B$2+329</f>
        <v>46645</v>
      </c>
      <c r="B334" s="42" t="str">
        <f aca="false">CHOOSE(WEEKDAY(A334,2),"Lu","Ma","Mi","Jo","Vi","Sâ","Du")</f>
        <v>Mi</v>
      </c>
      <c r="C334" s="42" t="str">
        <f aca="false">IF(AND(ISNUMBER(MATCH(A334,Sezoane!$C$6:$C$40,1)),A334&lt;=INDEX(Sezoane!$D$6:$D$40,MATCH(A334,Sezoane!$C$6:$C$40,1))),INDEX(Sezoane!$A$6:$A$40,MATCH(A334,Sezoane!$C$6:$C$40,1)),"⚠ fără sezon")</f>
        <v>⚠ fără sezon</v>
      </c>
      <c r="D334" s="42" t="str">
        <f aca="false">IF(AND(ISNUMBER(MATCH(A334,Sezoane!$C$6:$C$40,1)),A334&lt;=INDEX(Sezoane!$D$6:$D$40,MATCH(A334,Sezoane!$C$6:$C$40,1))),INDEX(Sezoane!$F$6:$F$40,MATCH(A334,Sezoane!$C$6:$C$40,1)),"")</f>
        <v/>
      </c>
      <c r="E334" s="44" t="str">
        <f aca="false">IF(AND(ISNUMBER(MATCH(A334,Sezoane!$C$6:$C$40,1)),A334&lt;=INDEX(Sezoane!$D$6:$D$40,MATCH(A334,Sezoane!$C$6:$C$40,1))),INDEX('Prețuri de setat'!$E$5:$E$39,MATCH(A334,Sezoane!$C$6:$C$40,1)),"")</f>
        <v/>
      </c>
      <c r="F334" s="44" t="str">
        <f aca="false">IF(AND(ISNUMBER(MATCH(A334,Sezoane!$C$6:$C$40,1)),A334&lt;=INDEX(Sezoane!$D$6:$D$40,MATCH(A334,Sezoane!$C$6:$C$40,1))),INDEX('Prețuri de setat'!$F$5:$F$39,MATCH(A334,Sezoane!$C$6:$C$40,1)),"")</f>
        <v/>
      </c>
      <c r="G334" s="44" t="str">
        <f aca="false">IF(AND(ISNUMBER(MATCH(A334,Sezoane!$C$6:$C$40,1)),A334&lt;=INDEX(Sezoane!$D$6:$D$40,MATCH(A334,Sezoane!$C$6:$C$40,1))),INDEX('Prețuri de setat'!$G$5:$G$39,MATCH(A334,Sezoane!$C$6:$C$40,1)),"")</f>
        <v/>
      </c>
      <c r="H334" s="44" t="str">
        <f aca="false">IF(AND(ISNUMBER(MATCH(A334,Sezoane!$C$6:$C$40,1)),A334&lt;=INDEX(Sezoane!$D$6:$D$40,MATCH(A334,Sezoane!$C$6:$C$40,1))),INDEX('Prețuri de setat'!$H$5:$H$39,MATCH(A334,Sezoane!$C$6:$C$40,1)),"")</f>
        <v/>
      </c>
      <c r="I334" s="44" t="str">
        <f aca="false">IF(AND(ISNUMBER(MATCH(A334,Sezoane!$C$6:$C$40,1)),A334&lt;=INDEX(Sezoane!$D$6:$D$40,MATCH(A334,Sezoane!$C$6:$C$40,1))),INDEX('Prețuri de setat'!$I$5:$I$39,MATCH(A334,Sezoane!$C$6:$C$40,1)),"")</f>
        <v/>
      </c>
    </row>
    <row r="335" customFormat="false" ht="15" hidden="false" customHeight="false" outlineLevel="0" collapsed="false">
      <c r="A335" s="41" t="n">
        <f aca="false">$B$2+330</f>
        <v>46646</v>
      </c>
      <c r="B335" s="42" t="str">
        <f aca="false">CHOOSE(WEEKDAY(A335,2),"Lu","Ma","Mi","Jo","Vi","Sâ","Du")</f>
        <v>Jo</v>
      </c>
      <c r="C335" s="42" t="str">
        <f aca="false">IF(AND(ISNUMBER(MATCH(A335,Sezoane!$C$6:$C$40,1)),A335&lt;=INDEX(Sezoane!$D$6:$D$40,MATCH(A335,Sezoane!$C$6:$C$40,1))),INDEX(Sezoane!$A$6:$A$40,MATCH(A335,Sezoane!$C$6:$C$40,1)),"⚠ fără sezon")</f>
        <v>⚠ fără sezon</v>
      </c>
      <c r="D335" s="42" t="str">
        <f aca="false">IF(AND(ISNUMBER(MATCH(A335,Sezoane!$C$6:$C$40,1)),A335&lt;=INDEX(Sezoane!$D$6:$D$40,MATCH(A335,Sezoane!$C$6:$C$40,1))),INDEX(Sezoane!$F$6:$F$40,MATCH(A335,Sezoane!$C$6:$C$40,1)),"")</f>
        <v/>
      </c>
      <c r="E335" s="44" t="str">
        <f aca="false">IF(AND(ISNUMBER(MATCH(A335,Sezoane!$C$6:$C$40,1)),A335&lt;=INDEX(Sezoane!$D$6:$D$40,MATCH(A335,Sezoane!$C$6:$C$40,1))),INDEX('Prețuri de setat'!$E$5:$E$39,MATCH(A335,Sezoane!$C$6:$C$40,1)),"")</f>
        <v/>
      </c>
      <c r="F335" s="44" t="str">
        <f aca="false">IF(AND(ISNUMBER(MATCH(A335,Sezoane!$C$6:$C$40,1)),A335&lt;=INDEX(Sezoane!$D$6:$D$40,MATCH(A335,Sezoane!$C$6:$C$40,1))),INDEX('Prețuri de setat'!$F$5:$F$39,MATCH(A335,Sezoane!$C$6:$C$40,1)),"")</f>
        <v/>
      </c>
      <c r="G335" s="44" t="str">
        <f aca="false">IF(AND(ISNUMBER(MATCH(A335,Sezoane!$C$6:$C$40,1)),A335&lt;=INDEX(Sezoane!$D$6:$D$40,MATCH(A335,Sezoane!$C$6:$C$40,1))),INDEX('Prețuri de setat'!$G$5:$G$39,MATCH(A335,Sezoane!$C$6:$C$40,1)),"")</f>
        <v/>
      </c>
      <c r="H335" s="44" t="str">
        <f aca="false">IF(AND(ISNUMBER(MATCH(A335,Sezoane!$C$6:$C$40,1)),A335&lt;=INDEX(Sezoane!$D$6:$D$40,MATCH(A335,Sezoane!$C$6:$C$40,1))),INDEX('Prețuri de setat'!$H$5:$H$39,MATCH(A335,Sezoane!$C$6:$C$40,1)),"")</f>
        <v/>
      </c>
      <c r="I335" s="44" t="str">
        <f aca="false">IF(AND(ISNUMBER(MATCH(A335,Sezoane!$C$6:$C$40,1)),A335&lt;=INDEX(Sezoane!$D$6:$D$40,MATCH(A335,Sezoane!$C$6:$C$40,1))),INDEX('Prețuri de setat'!$I$5:$I$39,MATCH(A335,Sezoane!$C$6:$C$40,1)),"")</f>
        <v/>
      </c>
    </row>
    <row r="336" customFormat="false" ht="15" hidden="false" customHeight="false" outlineLevel="0" collapsed="false">
      <c r="A336" s="41" t="n">
        <f aca="false">$B$2+331</f>
        <v>46647</v>
      </c>
      <c r="B336" s="42" t="str">
        <f aca="false">CHOOSE(WEEKDAY(A336,2),"Lu","Ma","Mi","Jo","Vi","Sâ","Du")</f>
        <v>Vi</v>
      </c>
      <c r="C336" s="42" t="str">
        <f aca="false">IF(AND(ISNUMBER(MATCH(A336,Sezoane!$C$6:$C$40,1)),A336&lt;=INDEX(Sezoane!$D$6:$D$40,MATCH(A336,Sezoane!$C$6:$C$40,1))),INDEX(Sezoane!$A$6:$A$40,MATCH(A336,Sezoane!$C$6:$C$40,1)),"⚠ fără sezon")</f>
        <v>⚠ fără sezon</v>
      </c>
      <c r="D336" s="42" t="str">
        <f aca="false">IF(AND(ISNUMBER(MATCH(A336,Sezoane!$C$6:$C$40,1)),A336&lt;=INDEX(Sezoane!$D$6:$D$40,MATCH(A336,Sezoane!$C$6:$C$40,1))),INDEX(Sezoane!$F$6:$F$40,MATCH(A336,Sezoane!$C$6:$C$40,1)),"")</f>
        <v/>
      </c>
      <c r="E336" s="44" t="str">
        <f aca="false">IF(AND(ISNUMBER(MATCH(A336,Sezoane!$C$6:$C$40,1)),A336&lt;=INDEX(Sezoane!$D$6:$D$40,MATCH(A336,Sezoane!$C$6:$C$40,1))),INDEX('Prețuri de setat'!$E$5:$E$39,MATCH(A336,Sezoane!$C$6:$C$40,1)),"")</f>
        <v/>
      </c>
      <c r="F336" s="44" t="str">
        <f aca="false">IF(AND(ISNUMBER(MATCH(A336,Sezoane!$C$6:$C$40,1)),A336&lt;=INDEX(Sezoane!$D$6:$D$40,MATCH(A336,Sezoane!$C$6:$C$40,1))),INDEX('Prețuri de setat'!$F$5:$F$39,MATCH(A336,Sezoane!$C$6:$C$40,1)),"")</f>
        <v/>
      </c>
      <c r="G336" s="44" t="str">
        <f aca="false">IF(AND(ISNUMBER(MATCH(A336,Sezoane!$C$6:$C$40,1)),A336&lt;=INDEX(Sezoane!$D$6:$D$40,MATCH(A336,Sezoane!$C$6:$C$40,1))),INDEX('Prețuri de setat'!$G$5:$G$39,MATCH(A336,Sezoane!$C$6:$C$40,1)),"")</f>
        <v/>
      </c>
      <c r="H336" s="44" t="str">
        <f aca="false">IF(AND(ISNUMBER(MATCH(A336,Sezoane!$C$6:$C$40,1)),A336&lt;=INDEX(Sezoane!$D$6:$D$40,MATCH(A336,Sezoane!$C$6:$C$40,1))),INDEX('Prețuri de setat'!$H$5:$H$39,MATCH(A336,Sezoane!$C$6:$C$40,1)),"")</f>
        <v/>
      </c>
      <c r="I336" s="44" t="str">
        <f aca="false">IF(AND(ISNUMBER(MATCH(A336,Sezoane!$C$6:$C$40,1)),A336&lt;=INDEX(Sezoane!$D$6:$D$40,MATCH(A336,Sezoane!$C$6:$C$40,1))),INDEX('Prețuri de setat'!$I$5:$I$39,MATCH(A336,Sezoane!$C$6:$C$40,1)),"")</f>
        <v/>
      </c>
    </row>
    <row r="337" customFormat="false" ht="15" hidden="false" customHeight="false" outlineLevel="0" collapsed="false">
      <c r="A337" s="41" t="n">
        <f aca="false">$B$2+332</f>
        <v>46648</v>
      </c>
      <c r="B337" s="42" t="str">
        <f aca="false">CHOOSE(WEEKDAY(A337,2),"Lu","Ma","Mi","Jo","Vi","Sâ","Du")</f>
        <v>Sâ</v>
      </c>
      <c r="C337" s="42" t="str">
        <f aca="false">IF(AND(ISNUMBER(MATCH(A337,Sezoane!$C$6:$C$40,1)),A337&lt;=INDEX(Sezoane!$D$6:$D$40,MATCH(A337,Sezoane!$C$6:$C$40,1))),INDEX(Sezoane!$A$6:$A$40,MATCH(A337,Sezoane!$C$6:$C$40,1)),"⚠ fără sezon")</f>
        <v>⚠ fără sezon</v>
      </c>
      <c r="D337" s="42" t="str">
        <f aca="false">IF(AND(ISNUMBER(MATCH(A337,Sezoane!$C$6:$C$40,1)),A337&lt;=INDEX(Sezoane!$D$6:$D$40,MATCH(A337,Sezoane!$C$6:$C$40,1))),INDEX(Sezoane!$F$6:$F$40,MATCH(A337,Sezoane!$C$6:$C$40,1)),"")</f>
        <v/>
      </c>
      <c r="E337" s="44" t="str">
        <f aca="false">IF(AND(ISNUMBER(MATCH(A337,Sezoane!$C$6:$C$40,1)),A337&lt;=INDEX(Sezoane!$D$6:$D$40,MATCH(A337,Sezoane!$C$6:$C$40,1))),INDEX('Prețuri de setat'!$E$5:$E$39,MATCH(A337,Sezoane!$C$6:$C$40,1)),"")</f>
        <v/>
      </c>
      <c r="F337" s="44" t="str">
        <f aca="false">IF(AND(ISNUMBER(MATCH(A337,Sezoane!$C$6:$C$40,1)),A337&lt;=INDEX(Sezoane!$D$6:$D$40,MATCH(A337,Sezoane!$C$6:$C$40,1))),INDEX('Prețuri de setat'!$F$5:$F$39,MATCH(A337,Sezoane!$C$6:$C$40,1)),"")</f>
        <v/>
      </c>
      <c r="G337" s="44" t="str">
        <f aca="false">IF(AND(ISNUMBER(MATCH(A337,Sezoane!$C$6:$C$40,1)),A337&lt;=INDEX(Sezoane!$D$6:$D$40,MATCH(A337,Sezoane!$C$6:$C$40,1))),INDEX('Prețuri de setat'!$G$5:$G$39,MATCH(A337,Sezoane!$C$6:$C$40,1)),"")</f>
        <v/>
      </c>
      <c r="H337" s="44" t="str">
        <f aca="false">IF(AND(ISNUMBER(MATCH(A337,Sezoane!$C$6:$C$40,1)),A337&lt;=INDEX(Sezoane!$D$6:$D$40,MATCH(A337,Sezoane!$C$6:$C$40,1))),INDEX('Prețuri de setat'!$H$5:$H$39,MATCH(A337,Sezoane!$C$6:$C$40,1)),"")</f>
        <v/>
      </c>
      <c r="I337" s="44" t="str">
        <f aca="false">IF(AND(ISNUMBER(MATCH(A337,Sezoane!$C$6:$C$40,1)),A337&lt;=INDEX(Sezoane!$D$6:$D$40,MATCH(A337,Sezoane!$C$6:$C$40,1))),INDEX('Prețuri de setat'!$I$5:$I$39,MATCH(A337,Sezoane!$C$6:$C$40,1)),"")</f>
        <v/>
      </c>
    </row>
    <row r="338" customFormat="false" ht="15" hidden="false" customHeight="false" outlineLevel="0" collapsed="false">
      <c r="A338" s="41" t="n">
        <f aca="false">$B$2+333</f>
        <v>46649</v>
      </c>
      <c r="B338" s="42" t="str">
        <f aca="false">CHOOSE(WEEKDAY(A338,2),"Lu","Ma","Mi","Jo","Vi","Sâ","Du")</f>
        <v>Du</v>
      </c>
      <c r="C338" s="42" t="str">
        <f aca="false">IF(AND(ISNUMBER(MATCH(A338,Sezoane!$C$6:$C$40,1)),A338&lt;=INDEX(Sezoane!$D$6:$D$40,MATCH(A338,Sezoane!$C$6:$C$40,1))),INDEX(Sezoane!$A$6:$A$40,MATCH(A338,Sezoane!$C$6:$C$40,1)),"⚠ fără sezon")</f>
        <v>⚠ fără sezon</v>
      </c>
      <c r="D338" s="42" t="str">
        <f aca="false">IF(AND(ISNUMBER(MATCH(A338,Sezoane!$C$6:$C$40,1)),A338&lt;=INDEX(Sezoane!$D$6:$D$40,MATCH(A338,Sezoane!$C$6:$C$40,1))),INDEX(Sezoane!$F$6:$F$40,MATCH(A338,Sezoane!$C$6:$C$40,1)),"")</f>
        <v/>
      </c>
      <c r="E338" s="44" t="str">
        <f aca="false">IF(AND(ISNUMBER(MATCH(A338,Sezoane!$C$6:$C$40,1)),A338&lt;=INDEX(Sezoane!$D$6:$D$40,MATCH(A338,Sezoane!$C$6:$C$40,1))),INDEX('Prețuri de setat'!$E$5:$E$39,MATCH(A338,Sezoane!$C$6:$C$40,1)),"")</f>
        <v/>
      </c>
      <c r="F338" s="44" t="str">
        <f aca="false">IF(AND(ISNUMBER(MATCH(A338,Sezoane!$C$6:$C$40,1)),A338&lt;=INDEX(Sezoane!$D$6:$D$40,MATCH(A338,Sezoane!$C$6:$C$40,1))),INDEX('Prețuri de setat'!$F$5:$F$39,MATCH(A338,Sezoane!$C$6:$C$40,1)),"")</f>
        <v/>
      </c>
      <c r="G338" s="44" t="str">
        <f aca="false">IF(AND(ISNUMBER(MATCH(A338,Sezoane!$C$6:$C$40,1)),A338&lt;=INDEX(Sezoane!$D$6:$D$40,MATCH(A338,Sezoane!$C$6:$C$40,1))),INDEX('Prețuri de setat'!$G$5:$G$39,MATCH(A338,Sezoane!$C$6:$C$40,1)),"")</f>
        <v/>
      </c>
      <c r="H338" s="44" t="str">
        <f aca="false">IF(AND(ISNUMBER(MATCH(A338,Sezoane!$C$6:$C$40,1)),A338&lt;=INDEX(Sezoane!$D$6:$D$40,MATCH(A338,Sezoane!$C$6:$C$40,1))),INDEX('Prețuri de setat'!$H$5:$H$39,MATCH(A338,Sezoane!$C$6:$C$40,1)),"")</f>
        <v/>
      </c>
      <c r="I338" s="44" t="str">
        <f aca="false">IF(AND(ISNUMBER(MATCH(A338,Sezoane!$C$6:$C$40,1)),A338&lt;=INDEX(Sezoane!$D$6:$D$40,MATCH(A338,Sezoane!$C$6:$C$40,1))),INDEX('Prețuri de setat'!$I$5:$I$39,MATCH(A338,Sezoane!$C$6:$C$40,1)),"")</f>
        <v/>
      </c>
    </row>
    <row r="339" customFormat="false" ht="15" hidden="false" customHeight="false" outlineLevel="0" collapsed="false">
      <c r="A339" s="41" t="n">
        <f aca="false">$B$2+334</f>
        <v>46650</v>
      </c>
      <c r="B339" s="42" t="str">
        <f aca="false">CHOOSE(WEEKDAY(A339,2),"Lu","Ma","Mi","Jo","Vi","Sâ","Du")</f>
        <v>Lu</v>
      </c>
      <c r="C339" s="42" t="str">
        <f aca="false">IF(AND(ISNUMBER(MATCH(A339,Sezoane!$C$6:$C$40,1)),A339&lt;=INDEX(Sezoane!$D$6:$D$40,MATCH(A339,Sezoane!$C$6:$C$40,1))),INDEX(Sezoane!$A$6:$A$40,MATCH(A339,Sezoane!$C$6:$C$40,1)),"⚠ fără sezon")</f>
        <v>⚠ fără sezon</v>
      </c>
      <c r="D339" s="42" t="str">
        <f aca="false">IF(AND(ISNUMBER(MATCH(A339,Sezoane!$C$6:$C$40,1)),A339&lt;=INDEX(Sezoane!$D$6:$D$40,MATCH(A339,Sezoane!$C$6:$C$40,1))),INDEX(Sezoane!$F$6:$F$40,MATCH(A339,Sezoane!$C$6:$C$40,1)),"")</f>
        <v/>
      </c>
      <c r="E339" s="44" t="str">
        <f aca="false">IF(AND(ISNUMBER(MATCH(A339,Sezoane!$C$6:$C$40,1)),A339&lt;=INDEX(Sezoane!$D$6:$D$40,MATCH(A339,Sezoane!$C$6:$C$40,1))),INDEX('Prețuri de setat'!$E$5:$E$39,MATCH(A339,Sezoane!$C$6:$C$40,1)),"")</f>
        <v/>
      </c>
      <c r="F339" s="44" t="str">
        <f aca="false">IF(AND(ISNUMBER(MATCH(A339,Sezoane!$C$6:$C$40,1)),A339&lt;=INDEX(Sezoane!$D$6:$D$40,MATCH(A339,Sezoane!$C$6:$C$40,1))),INDEX('Prețuri de setat'!$F$5:$F$39,MATCH(A339,Sezoane!$C$6:$C$40,1)),"")</f>
        <v/>
      </c>
      <c r="G339" s="44" t="str">
        <f aca="false">IF(AND(ISNUMBER(MATCH(A339,Sezoane!$C$6:$C$40,1)),A339&lt;=INDEX(Sezoane!$D$6:$D$40,MATCH(A339,Sezoane!$C$6:$C$40,1))),INDEX('Prețuri de setat'!$G$5:$G$39,MATCH(A339,Sezoane!$C$6:$C$40,1)),"")</f>
        <v/>
      </c>
      <c r="H339" s="44" t="str">
        <f aca="false">IF(AND(ISNUMBER(MATCH(A339,Sezoane!$C$6:$C$40,1)),A339&lt;=INDEX(Sezoane!$D$6:$D$40,MATCH(A339,Sezoane!$C$6:$C$40,1))),INDEX('Prețuri de setat'!$H$5:$H$39,MATCH(A339,Sezoane!$C$6:$C$40,1)),"")</f>
        <v/>
      </c>
      <c r="I339" s="44" t="str">
        <f aca="false">IF(AND(ISNUMBER(MATCH(A339,Sezoane!$C$6:$C$40,1)),A339&lt;=INDEX(Sezoane!$D$6:$D$40,MATCH(A339,Sezoane!$C$6:$C$40,1))),INDEX('Prețuri de setat'!$I$5:$I$39,MATCH(A339,Sezoane!$C$6:$C$40,1)),"")</f>
        <v/>
      </c>
    </row>
    <row r="340" customFormat="false" ht="15" hidden="false" customHeight="false" outlineLevel="0" collapsed="false">
      <c r="A340" s="41" t="n">
        <f aca="false">$B$2+335</f>
        <v>46651</v>
      </c>
      <c r="B340" s="42" t="str">
        <f aca="false">CHOOSE(WEEKDAY(A340,2),"Lu","Ma","Mi","Jo","Vi","Sâ","Du")</f>
        <v>Ma</v>
      </c>
      <c r="C340" s="42" t="str">
        <f aca="false">IF(AND(ISNUMBER(MATCH(A340,Sezoane!$C$6:$C$40,1)),A340&lt;=INDEX(Sezoane!$D$6:$D$40,MATCH(A340,Sezoane!$C$6:$C$40,1))),INDEX(Sezoane!$A$6:$A$40,MATCH(A340,Sezoane!$C$6:$C$40,1)),"⚠ fără sezon")</f>
        <v>⚠ fără sezon</v>
      </c>
      <c r="D340" s="42" t="str">
        <f aca="false">IF(AND(ISNUMBER(MATCH(A340,Sezoane!$C$6:$C$40,1)),A340&lt;=INDEX(Sezoane!$D$6:$D$40,MATCH(A340,Sezoane!$C$6:$C$40,1))),INDEX(Sezoane!$F$6:$F$40,MATCH(A340,Sezoane!$C$6:$C$40,1)),"")</f>
        <v/>
      </c>
      <c r="E340" s="44" t="str">
        <f aca="false">IF(AND(ISNUMBER(MATCH(A340,Sezoane!$C$6:$C$40,1)),A340&lt;=INDEX(Sezoane!$D$6:$D$40,MATCH(A340,Sezoane!$C$6:$C$40,1))),INDEX('Prețuri de setat'!$E$5:$E$39,MATCH(A340,Sezoane!$C$6:$C$40,1)),"")</f>
        <v/>
      </c>
      <c r="F340" s="44" t="str">
        <f aca="false">IF(AND(ISNUMBER(MATCH(A340,Sezoane!$C$6:$C$40,1)),A340&lt;=INDEX(Sezoane!$D$6:$D$40,MATCH(A340,Sezoane!$C$6:$C$40,1))),INDEX('Prețuri de setat'!$F$5:$F$39,MATCH(A340,Sezoane!$C$6:$C$40,1)),"")</f>
        <v/>
      </c>
      <c r="G340" s="44" t="str">
        <f aca="false">IF(AND(ISNUMBER(MATCH(A340,Sezoane!$C$6:$C$40,1)),A340&lt;=INDEX(Sezoane!$D$6:$D$40,MATCH(A340,Sezoane!$C$6:$C$40,1))),INDEX('Prețuri de setat'!$G$5:$G$39,MATCH(A340,Sezoane!$C$6:$C$40,1)),"")</f>
        <v/>
      </c>
      <c r="H340" s="44" t="str">
        <f aca="false">IF(AND(ISNUMBER(MATCH(A340,Sezoane!$C$6:$C$40,1)),A340&lt;=INDEX(Sezoane!$D$6:$D$40,MATCH(A340,Sezoane!$C$6:$C$40,1))),INDEX('Prețuri de setat'!$H$5:$H$39,MATCH(A340,Sezoane!$C$6:$C$40,1)),"")</f>
        <v/>
      </c>
      <c r="I340" s="44" t="str">
        <f aca="false">IF(AND(ISNUMBER(MATCH(A340,Sezoane!$C$6:$C$40,1)),A340&lt;=INDEX(Sezoane!$D$6:$D$40,MATCH(A340,Sezoane!$C$6:$C$40,1))),INDEX('Prețuri de setat'!$I$5:$I$39,MATCH(A340,Sezoane!$C$6:$C$40,1)),"")</f>
        <v/>
      </c>
    </row>
    <row r="341" customFormat="false" ht="15" hidden="false" customHeight="false" outlineLevel="0" collapsed="false">
      <c r="A341" s="41" t="n">
        <f aca="false">$B$2+336</f>
        <v>46652</v>
      </c>
      <c r="B341" s="42" t="str">
        <f aca="false">CHOOSE(WEEKDAY(A341,2),"Lu","Ma","Mi","Jo","Vi","Sâ","Du")</f>
        <v>Mi</v>
      </c>
      <c r="C341" s="42" t="str">
        <f aca="false">IF(AND(ISNUMBER(MATCH(A341,Sezoane!$C$6:$C$40,1)),A341&lt;=INDEX(Sezoane!$D$6:$D$40,MATCH(A341,Sezoane!$C$6:$C$40,1))),INDEX(Sezoane!$A$6:$A$40,MATCH(A341,Sezoane!$C$6:$C$40,1)),"⚠ fără sezon")</f>
        <v>⚠ fără sezon</v>
      </c>
      <c r="D341" s="42" t="str">
        <f aca="false">IF(AND(ISNUMBER(MATCH(A341,Sezoane!$C$6:$C$40,1)),A341&lt;=INDEX(Sezoane!$D$6:$D$40,MATCH(A341,Sezoane!$C$6:$C$40,1))),INDEX(Sezoane!$F$6:$F$40,MATCH(A341,Sezoane!$C$6:$C$40,1)),"")</f>
        <v/>
      </c>
      <c r="E341" s="44" t="str">
        <f aca="false">IF(AND(ISNUMBER(MATCH(A341,Sezoane!$C$6:$C$40,1)),A341&lt;=INDEX(Sezoane!$D$6:$D$40,MATCH(A341,Sezoane!$C$6:$C$40,1))),INDEX('Prețuri de setat'!$E$5:$E$39,MATCH(A341,Sezoane!$C$6:$C$40,1)),"")</f>
        <v/>
      </c>
      <c r="F341" s="44" t="str">
        <f aca="false">IF(AND(ISNUMBER(MATCH(A341,Sezoane!$C$6:$C$40,1)),A341&lt;=INDEX(Sezoane!$D$6:$D$40,MATCH(A341,Sezoane!$C$6:$C$40,1))),INDEX('Prețuri de setat'!$F$5:$F$39,MATCH(A341,Sezoane!$C$6:$C$40,1)),"")</f>
        <v/>
      </c>
      <c r="G341" s="44" t="str">
        <f aca="false">IF(AND(ISNUMBER(MATCH(A341,Sezoane!$C$6:$C$40,1)),A341&lt;=INDEX(Sezoane!$D$6:$D$40,MATCH(A341,Sezoane!$C$6:$C$40,1))),INDEX('Prețuri de setat'!$G$5:$G$39,MATCH(A341,Sezoane!$C$6:$C$40,1)),"")</f>
        <v/>
      </c>
      <c r="H341" s="44" t="str">
        <f aca="false">IF(AND(ISNUMBER(MATCH(A341,Sezoane!$C$6:$C$40,1)),A341&lt;=INDEX(Sezoane!$D$6:$D$40,MATCH(A341,Sezoane!$C$6:$C$40,1))),INDEX('Prețuri de setat'!$H$5:$H$39,MATCH(A341,Sezoane!$C$6:$C$40,1)),"")</f>
        <v/>
      </c>
      <c r="I341" s="44" t="str">
        <f aca="false">IF(AND(ISNUMBER(MATCH(A341,Sezoane!$C$6:$C$40,1)),A341&lt;=INDEX(Sezoane!$D$6:$D$40,MATCH(A341,Sezoane!$C$6:$C$40,1))),INDEX('Prețuri de setat'!$I$5:$I$39,MATCH(A341,Sezoane!$C$6:$C$40,1)),"")</f>
        <v/>
      </c>
    </row>
    <row r="342" customFormat="false" ht="15" hidden="false" customHeight="false" outlineLevel="0" collapsed="false">
      <c r="A342" s="41" t="n">
        <f aca="false">$B$2+337</f>
        <v>46653</v>
      </c>
      <c r="B342" s="42" t="str">
        <f aca="false">CHOOSE(WEEKDAY(A342,2),"Lu","Ma","Mi","Jo","Vi","Sâ","Du")</f>
        <v>Jo</v>
      </c>
      <c r="C342" s="42" t="str">
        <f aca="false">IF(AND(ISNUMBER(MATCH(A342,Sezoane!$C$6:$C$40,1)),A342&lt;=INDEX(Sezoane!$D$6:$D$40,MATCH(A342,Sezoane!$C$6:$C$40,1))),INDEX(Sezoane!$A$6:$A$40,MATCH(A342,Sezoane!$C$6:$C$40,1)),"⚠ fără sezon")</f>
        <v>⚠ fără sezon</v>
      </c>
      <c r="D342" s="42" t="str">
        <f aca="false">IF(AND(ISNUMBER(MATCH(A342,Sezoane!$C$6:$C$40,1)),A342&lt;=INDEX(Sezoane!$D$6:$D$40,MATCH(A342,Sezoane!$C$6:$C$40,1))),INDEX(Sezoane!$F$6:$F$40,MATCH(A342,Sezoane!$C$6:$C$40,1)),"")</f>
        <v/>
      </c>
      <c r="E342" s="44" t="str">
        <f aca="false">IF(AND(ISNUMBER(MATCH(A342,Sezoane!$C$6:$C$40,1)),A342&lt;=INDEX(Sezoane!$D$6:$D$40,MATCH(A342,Sezoane!$C$6:$C$40,1))),INDEX('Prețuri de setat'!$E$5:$E$39,MATCH(A342,Sezoane!$C$6:$C$40,1)),"")</f>
        <v/>
      </c>
      <c r="F342" s="44" t="str">
        <f aca="false">IF(AND(ISNUMBER(MATCH(A342,Sezoane!$C$6:$C$40,1)),A342&lt;=INDEX(Sezoane!$D$6:$D$40,MATCH(A342,Sezoane!$C$6:$C$40,1))),INDEX('Prețuri de setat'!$F$5:$F$39,MATCH(A342,Sezoane!$C$6:$C$40,1)),"")</f>
        <v/>
      </c>
      <c r="G342" s="44" t="str">
        <f aca="false">IF(AND(ISNUMBER(MATCH(A342,Sezoane!$C$6:$C$40,1)),A342&lt;=INDEX(Sezoane!$D$6:$D$40,MATCH(A342,Sezoane!$C$6:$C$40,1))),INDEX('Prețuri de setat'!$G$5:$G$39,MATCH(A342,Sezoane!$C$6:$C$40,1)),"")</f>
        <v/>
      </c>
      <c r="H342" s="44" t="str">
        <f aca="false">IF(AND(ISNUMBER(MATCH(A342,Sezoane!$C$6:$C$40,1)),A342&lt;=INDEX(Sezoane!$D$6:$D$40,MATCH(A342,Sezoane!$C$6:$C$40,1))),INDEX('Prețuri de setat'!$H$5:$H$39,MATCH(A342,Sezoane!$C$6:$C$40,1)),"")</f>
        <v/>
      </c>
      <c r="I342" s="44" t="str">
        <f aca="false">IF(AND(ISNUMBER(MATCH(A342,Sezoane!$C$6:$C$40,1)),A342&lt;=INDEX(Sezoane!$D$6:$D$40,MATCH(A342,Sezoane!$C$6:$C$40,1))),INDEX('Prețuri de setat'!$I$5:$I$39,MATCH(A342,Sezoane!$C$6:$C$40,1)),"")</f>
        <v/>
      </c>
    </row>
    <row r="343" customFormat="false" ht="15" hidden="false" customHeight="false" outlineLevel="0" collapsed="false">
      <c r="A343" s="41" t="n">
        <f aca="false">$B$2+338</f>
        <v>46654</v>
      </c>
      <c r="B343" s="42" t="str">
        <f aca="false">CHOOSE(WEEKDAY(A343,2),"Lu","Ma","Mi","Jo","Vi","Sâ","Du")</f>
        <v>Vi</v>
      </c>
      <c r="C343" s="42" t="str">
        <f aca="false">IF(AND(ISNUMBER(MATCH(A343,Sezoane!$C$6:$C$40,1)),A343&lt;=INDEX(Sezoane!$D$6:$D$40,MATCH(A343,Sezoane!$C$6:$C$40,1))),INDEX(Sezoane!$A$6:$A$40,MATCH(A343,Sezoane!$C$6:$C$40,1)),"⚠ fără sezon")</f>
        <v>⚠ fără sezon</v>
      </c>
      <c r="D343" s="42" t="str">
        <f aca="false">IF(AND(ISNUMBER(MATCH(A343,Sezoane!$C$6:$C$40,1)),A343&lt;=INDEX(Sezoane!$D$6:$D$40,MATCH(A343,Sezoane!$C$6:$C$40,1))),INDEX(Sezoane!$F$6:$F$40,MATCH(A343,Sezoane!$C$6:$C$40,1)),"")</f>
        <v/>
      </c>
      <c r="E343" s="44" t="str">
        <f aca="false">IF(AND(ISNUMBER(MATCH(A343,Sezoane!$C$6:$C$40,1)),A343&lt;=INDEX(Sezoane!$D$6:$D$40,MATCH(A343,Sezoane!$C$6:$C$40,1))),INDEX('Prețuri de setat'!$E$5:$E$39,MATCH(A343,Sezoane!$C$6:$C$40,1)),"")</f>
        <v/>
      </c>
      <c r="F343" s="44" t="str">
        <f aca="false">IF(AND(ISNUMBER(MATCH(A343,Sezoane!$C$6:$C$40,1)),A343&lt;=INDEX(Sezoane!$D$6:$D$40,MATCH(A343,Sezoane!$C$6:$C$40,1))),INDEX('Prețuri de setat'!$F$5:$F$39,MATCH(A343,Sezoane!$C$6:$C$40,1)),"")</f>
        <v/>
      </c>
      <c r="G343" s="44" t="str">
        <f aca="false">IF(AND(ISNUMBER(MATCH(A343,Sezoane!$C$6:$C$40,1)),A343&lt;=INDEX(Sezoane!$D$6:$D$40,MATCH(A343,Sezoane!$C$6:$C$40,1))),INDEX('Prețuri de setat'!$G$5:$G$39,MATCH(A343,Sezoane!$C$6:$C$40,1)),"")</f>
        <v/>
      </c>
      <c r="H343" s="44" t="str">
        <f aca="false">IF(AND(ISNUMBER(MATCH(A343,Sezoane!$C$6:$C$40,1)),A343&lt;=INDEX(Sezoane!$D$6:$D$40,MATCH(A343,Sezoane!$C$6:$C$40,1))),INDEX('Prețuri de setat'!$H$5:$H$39,MATCH(A343,Sezoane!$C$6:$C$40,1)),"")</f>
        <v/>
      </c>
      <c r="I343" s="44" t="str">
        <f aca="false">IF(AND(ISNUMBER(MATCH(A343,Sezoane!$C$6:$C$40,1)),A343&lt;=INDEX(Sezoane!$D$6:$D$40,MATCH(A343,Sezoane!$C$6:$C$40,1))),INDEX('Prețuri de setat'!$I$5:$I$39,MATCH(A343,Sezoane!$C$6:$C$40,1)),"")</f>
        <v/>
      </c>
    </row>
    <row r="344" customFormat="false" ht="15" hidden="false" customHeight="false" outlineLevel="0" collapsed="false">
      <c r="A344" s="41" t="n">
        <f aca="false">$B$2+339</f>
        <v>46655</v>
      </c>
      <c r="B344" s="42" t="str">
        <f aca="false">CHOOSE(WEEKDAY(A344,2),"Lu","Ma","Mi","Jo","Vi","Sâ","Du")</f>
        <v>Sâ</v>
      </c>
      <c r="C344" s="42" t="str">
        <f aca="false">IF(AND(ISNUMBER(MATCH(A344,Sezoane!$C$6:$C$40,1)),A344&lt;=INDEX(Sezoane!$D$6:$D$40,MATCH(A344,Sezoane!$C$6:$C$40,1))),INDEX(Sezoane!$A$6:$A$40,MATCH(A344,Sezoane!$C$6:$C$40,1)),"⚠ fără sezon")</f>
        <v>⚠ fără sezon</v>
      </c>
      <c r="D344" s="42" t="str">
        <f aca="false">IF(AND(ISNUMBER(MATCH(A344,Sezoane!$C$6:$C$40,1)),A344&lt;=INDEX(Sezoane!$D$6:$D$40,MATCH(A344,Sezoane!$C$6:$C$40,1))),INDEX(Sezoane!$F$6:$F$40,MATCH(A344,Sezoane!$C$6:$C$40,1)),"")</f>
        <v/>
      </c>
      <c r="E344" s="44" t="str">
        <f aca="false">IF(AND(ISNUMBER(MATCH(A344,Sezoane!$C$6:$C$40,1)),A344&lt;=INDEX(Sezoane!$D$6:$D$40,MATCH(A344,Sezoane!$C$6:$C$40,1))),INDEX('Prețuri de setat'!$E$5:$E$39,MATCH(A344,Sezoane!$C$6:$C$40,1)),"")</f>
        <v/>
      </c>
      <c r="F344" s="44" t="str">
        <f aca="false">IF(AND(ISNUMBER(MATCH(A344,Sezoane!$C$6:$C$40,1)),A344&lt;=INDEX(Sezoane!$D$6:$D$40,MATCH(A344,Sezoane!$C$6:$C$40,1))),INDEX('Prețuri de setat'!$F$5:$F$39,MATCH(A344,Sezoane!$C$6:$C$40,1)),"")</f>
        <v/>
      </c>
      <c r="G344" s="44" t="str">
        <f aca="false">IF(AND(ISNUMBER(MATCH(A344,Sezoane!$C$6:$C$40,1)),A344&lt;=INDEX(Sezoane!$D$6:$D$40,MATCH(A344,Sezoane!$C$6:$C$40,1))),INDEX('Prețuri de setat'!$G$5:$G$39,MATCH(A344,Sezoane!$C$6:$C$40,1)),"")</f>
        <v/>
      </c>
      <c r="H344" s="44" t="str">
        <f aca="false">IF(AND(ISNUMBER(MATCH(A344,Sezoane!$C$6:$C$40,1)),A344&lt;=INDEX(Sezoane!$D$6:$D$40,MATCH(A344,Sezoane!$C$6:$C$40,1))),INDEX('Prețuri de setat'!$H$5:$H$39,MATCH(A344,Sezoane!$C$6:$C$40,1)),"")</f>
        <v/>
      </c>
      <c r="I344" s="44" t="str">
        <f aca="false">IF(AND(ISNUMBER(MATCH(A344,Sezoane!$C$6:$C$40,1)),A344&lt;=INDEX(Sezoane!$D$6:$D$40,MATCH(A344,Sezoane!$C$6:$C$40,1))),INDEX('Prețuri de setat'!$I$5:$I$39,MATCH(A344,Sezoane!$C$6:$C$40,1)),"")</f>
        <v/>
      </c>
    </row>
    <row r="345" customFormat="false" ht="15" hidden="false" customHeight="false" outlineLevel="0" collapsed="false">
      <c r="A345" s="41" t="n">
        <f aca="false">$B$2+340</f>
        <v>46656</v>
      </c>
      <c r="B345" s="42" t="str">
        <f aca="false">CHOOSE(WEEKDAY(A345,2),"Lu","Ma","Mi","Jo","Vi","Sâ","Du")</f>
        <v>Du</v>
      </c>
      <c r="C345" s="42" t="str">
        <f aca="false">IF(AND(ISNUMBER(MATCH(A345,Sezoane!$C$6:$C$40,1)),A345&lt;=INDEX(Sezoane!$D$6:$D$40,MATCH(A345,Sezoane!$C$6:$C$40,1))),INDEX(Sezoane!$A$6:$A$40,MATCH(A345,Sezoane!$C$6:$C$40,1)),"⚠ fără sezon")</f>
        <v>⚠ fără sezon</v>
      </c>
      <c r="D345" s="42" t="str">
        <f aca="false">IF(AND(ISNUMBER(MATCH(A345,Sezoane!$C$6:$C$40,1)),A345&lt;=INDEX(Sezoane!$D$6:$D$40,MATCH(A345,Sezoane!$C$6:$C$40,1))),INDEX(Sezoane!$F$6:$F$40,MATCH(A345,Sezoane!$C$6:$C$40,1)),"")</f>
        <v/>
      </c>
      <c r="E345" s="44" t="str">
        <f aca="false">IF(AND(ISNUMBER(MATCH(A345,Sezoane!$C$6:$C$40,1)),A345&lt;=INDEX(Sezoane!$D$6:$D$40,MATCH(A345,Sezoane!$C$6:$C$40,1))),INDEX('Prețuri de setat'!$E$5:$E$39,MATCH(A345,Sezoane!$C$6:$C$40,1)),"")</f>
        <v/>
      </c>
      <c r="F345" s="44" t="str">
        <f aca="false">IF(AND(ISNUMBER(MATCH(A345,Sezoane!$C$6:$C$40,1)),A345&lt;=INDEX(Sezoane!$D$6:$D$40,MATCH(A345,Sezoane!$C$6:$C$40,1))),INDEX('Prețuri de setat'!$F$5:$F$39,MATCH(A345,Sezoane!$C$6:$C$40,1)),"")</f>
        <v/>
      </c>
      <c r="G345" s="44" t="str">
        <f aca="false">IF(AND(ISNUMBER(MATCH(A345,Sezoane!$C$6:$C$40,1)),A345&lt;=INDEX(Sezoane!$D$6:$D$40,MATCH(A345,Sezoane!$C$6:$C$40,1))),INDEX('Prețuri de setat'!$G$5:$G$39,MATCH(A345,Sezoane!$C$6:$C$40,1)),"")</f>
        <v/>
      </c>
      <c r="H345" s="44" t="str">
        <f aca="false">IF(AND(ISNUMBER(MATCH(A345,Sezoane!$C$6:$C$40,1)),A345&lt;=INDEX(Sezoane!$D$6:$D$40,MATCH(A345,Sezoane!$C$6:$C$40,1))),INDEX('Prețuri de setat'!$H$5:$H$39,MATCH(A345,Sezoane!$C$6:$C$40,1)),"")</f>
        <v/>
      </c>
      <c r="I345" s="44" t="str">
        <f aca="false">IF(AND(ISNUMBER(MATCH(A345,Sezoane!$C$6:$C$40,1)),A345&lt;=INDEX(Sezoane!$D$6:$D$40,MATCH(A345,Sezoane!$C$6:$C$40,1))),INDEX('Prețuri de setat'!$I$5:$I$39,MATCH(A345,Sezoane!$C$6:$C$40,1)),"")</f>
        <v/>
      </c>
    </row>
    <row r="346" customFormat="false" ht="15" hidden="false" customHeight="false" outlineLevel="0" collapsed="false">
      <c r="A346" s="41" t="n">
        <f aca="false">$B$2+341</f>
        <v>46657</v>
      </c>
      <c r="B346" s="42" t="str">
        <f aca="false">CHOOSE(WEEKDAY(A346,2),"Lu","Ma","Mi","Jo","Vi","Sâ","Du")</f>
        <v>Lu</v>
      </c>
      <c r="C346" s="42" t="str">
        <f aca="false">IF(AND(ISNUMBER(MATCH(A346,Sezoane!$C$6:$C$40,1)),A346&lt;=INDEX(Sezoane!$D$6:$D$40,MATCH(A346,Sezoane!$C$6:$C$40,1))),INDEX(Sezoane!$A$6:$A$40,MATCH(A346,Sezoane!$C$6:$C$40,1)),"⚠ fără sezon")</f>
        <v>⚠ fără sezon</v>
      </c>
      <c r="D346" s="42" t="str">
        <f aca="false">IF(AND(ISNUMBER(MATCH(A346,Sezoane!$C$6:$C$40,1)),A346&lt;=INDEX(Sezoane!$D$6:$D$40,MATCH(A346,Sezoane!$C$6:$C$40,1))),INDEX(Sezoane!$F$6:$F$40,MATCH(A346,Sezoane!$C$6:$C$40,1)),"")</f>
        <v/>
      </c>
      <c r="E346" s="44" t="str">
        <f aca="false">IF(AND(ISNUMBER(MATCH(A346,Sezoane!$C$6:$C$40,1)),A346&lt;=INDEX(Sezoane!$D$6:$D$40,MATCH(A346,Sezoane!$C$6:$C$40,1))),INDEX('Prețuri de setat'!$E$5:$E$39,MATCH(A346,Sezoane!$C$6:$C$40,1)),"")</f>
        <v/>
      </c>
      <c r="F346" s="44" t="str">
        <f aca="false">IF(AND(ISNUMBER(MATCH(A346,Sezoane!$C$6:$C$40,1)),A346&lt;=INDEX(Sezoane!$D$6:$D$40,MATCH(A346,Sezoane!$C$6:$C$40,1))),INDEX('Prețuri de setat'!$F$5:$F$39,MATCH(A346,Sezoane!$C$6:$C$40,1)),"")</f>
        <v/>
      </c>
      <c r="G346" s="44" t="str">
        <f aca="false">IF(AND(ISNUMBER(MATCH(A346,Sezoane!$C$6:$C$40,1)),A346&lt;=INDEX(Sezoane!$D$6:$D$40,MATCH(A346,Sezoane!$C$6:$C$40,1))),INDEX('Prețuri de setat'!$G$5:$G$39,MATCH(A346,Sezoane!$C$6:$C$40,1)),"")</f>
        <v/>
      </c>
      <c r="H346" s="44" t="str">
        <f aca="false">IF(AND(ISNUMBER(MATCH(A346,Sezoane!$C$6:$C$40,1)),A346&lt;=INDEX(Sezoane!$D$6:$D$40,MATCH(A346,Sezoane!$C$6:$C$40,1))),INDEX('Prețuri de setat'!$H$5:$H$39,MATCH(A346,Sezoane!$C$6:$C$40,1)),"")</f>
        <v/>
      </c>
      <c r="I346" s="44" t="str">
        <f aca="false">IF(AND(ISNUMBER(MATCH(A346,Sezoane!$C$6:$C$40,1)),A346&lt;=INDEX(Sezoane!$D$6:$D$40,MATCH(A346,Sezoane!$C$6:$C$40,1))),INDEX('Prețuri de setat'!$I$5:$I$39,MATCH(A346,Sezoane!$C$6:$C$40,1)),"")</f>
        <v/>
      </c>
    </row>
    <row r="347" customFormat="false" ht="15" hidden="false" customHeight="false" outlineLevel="0" collapsed="false">
      <c r="A347" s="41" t="n">
        <f aca="false">$B$2+342</f>
        <v>46658</v>
      </c>
      <c r="B347" s="42" t="str">
        <f aca="false">CHOOSE(WEEKDAY(A347,2),"Lu","Ma","Mi","Jo","Vi","Sâ","Du")</f>
        <v>Ma</v>
      </c>
      <c r="C347" s="42" t="str">
        <f aca="false">IF(AND(ISNUMBER(MATCH(A347,Sezoane!$C$6:$C$40,1)),A347&lt;=INDEX(Sezoane!$D$6:$D$40,MATCH(A347,Sezoane!$C$6:$C$40,1))),INDEX(Sezoane!$A$6:$A$40,MATCH(A347,Sezoane!$C$6:$C$40,1)),"⚠ fără sezon")</f>
        <v>⚠ fără sezon</v>
      </c>
      <c r="D347" s="42" t="str">
        <f aca="false">IF(AND(ISNUMBER(MATCH(A347,Sezoane!$C$6:$C$40,1)),A347&lt;=INDEX(Sezoane!$D$6:$D$40,MATCH(A347,Sezoane!$C$6:$C$40,1))),INDEX(Sezoane!$F$6:$F$40,MATCH(A347,Sezoane!$C$6:$C$40,1)),"")</f>
        <v/>
      </c>
      <c r="E347" s="44" t="str">
        <f aca="false">IF(AND(ISNUMBER(MATCH(A347,Sezoane!$C$6:$C$40,1)),A347&lt;=INDEX(Sezoane!$D$6:$D$40,MATCH(A347,Sezoane!$C$6:$C$40,1))),INDEX('Prețuri de setat'!$E$5:$E$39,MATCH(A347,Sezoane!$C$6:$C$40,1)),"")</f>
        <v/>
      </c>
      <c r="F347" s="44" t="str">
        <f aca="false">IF(AND(ISNUMBER(MATCH(A347,Sezoane!$C$6:$C$40,1)),A347&lt;=INDEX(Sezoane!$D$6:$D$40,MATCH(A347,Sezoane!$C$6:$C$40,1))),INDEX('Prețuri de setat'!$F$5:$F$39,MATCH(A347,Sezoane!$C$6:$C$40,1)),"")</f>
        <v/>
      </c>
      <c r="G347" s="44" t="str">
        <f aca="false">IF(AND(ISNUMBER(MATCH(A347,Sezoane!$C$6:$C$40,1)),A347&lt;=INDEX(Sezoane!$D$6:$D$40,MATCH(A347,Sezoane!$C$6:$C$40,1))),INDEX('Prețuri de setat'!$G$5:$G$39,MATCH(A347,Sezoane!$C$6:$C$40,1)),"")</f>
        <v/>
      </c>
      <c r="H347" s="44" t="str">
        <f aca="false">IF(AND(ISNUMBER(MATCH(A347,Sezoane!$C$6:$C$40,1)),A347&lt;=INDEX(Sezoane!$D$6:$D$40,MATCH(A347,Sezoane!$C$6:$C$40,1))),INDEX('Prețuri de setat'!$H$5:$H$39,MATCH(A347,Sezoane!$C$6:$C$40,1)),"")</f>
        <v/>
      </c>
      <c r="I347" s="44" t="str">
        <f aca="false">IF(AND(ISNUMBER(MATCH(A347,Sezoane!$C$6:$C$40,1)),A347&lt;=INDEX(Sezoane!$D$6:$D$40,MATCH(A347,Sezoane!$C$6:$C$40,1))),INDEX('Prețuri de setat'!$I$5:$I$39,MATCH(A347,Sezoane!$C$6:$C$40,1)),"")</f>
        <v/>
      </c>
    </row>
    <row r="348" customFormat="false" ht="15" hidden="false" customHeight="false" outlineLevel="0" collapsed="false">
      <c r="A348" s="41" t="n">
        <f aca="false">$B$2+343</f>
        <v>46659</v>
      </c>
      <c r="B348" s="42" t="str">
        <f aca="false">CHOOSE(WEEKDAY(A348,2),"Lu","Ma","Mi","Jo","Vi","Sâ","Du")</f>
        <v>Mi</v>
      </c>
      <c r="C348" s="42" t="str">
        <f aca="false">IF(AND(ISNUMBER(MATCH(A348,Sezoane!$C$6:$C$40,1)),A348&lt;=INDEX(Sezoane!$D$6:$D$40,MATCH(A348,Sezoane!$C$6:$C$40,1))),INDEX(Sezoane!$A$6:$A$40,MATCH(A348,Sezoane!$C$6:$C$40,1)),"⚠ fără sezon")</f>
        <v>⚠ fără sezon</v>
      </c>
      <c r="D348" s="42" t="str">
        <f aca="false">IF(AND(ISNUMBER(MATCH(A348,Sezoane!$C$6:$C$40,1)),A348&lt;=INDEX(Sezoane!$D$6:$D$40,MATCH(A348,Sezoane!$C$6:$C$40,1))),INDEX(Sezoane!$F$6:$F$40,MATCH(A348,Sezoane!$C$6:$C$40,1)),"")</f>
        <v/>
      </c>
      <c r="E348" s="44" t="str">
        <f aca="false">IF(AND(ISNUMBER(MATCH(A348,Sezoane!$C$6:$C$40,1)),A348&lt;=INDEX(Sezoane!$D$6:$D$40,MATCH(A348,Sezoane!$C$6:$C$40,1))),INDEX('Prețuri de setat'!$E$5:$E$39,MATCH(A348,Sezoane!$C$6:$C$40,1)),"")</f>
        <v/>
      </c>
      <c r="F348" s="44" t="str">
        <f aca="false">IF(AND(ISNUMBER(MATCH(A348,Sezoane!$C$6:$C$40,1)),A348&lt;=INDEX(Sezoane!$D$6:$D$40,MATCH(A348,Sezoane!$C$6:$C$40,1))),INDEX('Prețuri de setat'!$F$5:$F$39,MATCH(A348,Sezoane!$C$6:$C$40,1)),"")</f>
        <v/>
      </c>
      <c r="G348" s="44" t="str">
        <f aca="false">IF(AND(ISNUMBER(MATCH(A348,Sezoane!$C$6:$C$40,1)),A348&lt;=INDEX(Sezoane!$D$6:$D$40,MATCH(A348,Sezoane!$C$6:$C$40,1))),INDEX('Prețuri de setat'!$G$5:$G$39,MATCH(A348,Sezoane!$C$6:$C$40,1)),"")</f>
        <v/>
      </c>
      <c r="H348" s="44" t="str">
        <f aca="false">IF(AND(ISNUMBER(MATCH(A348,Sezoane!$C$6:$C$40,1)),A348&lt;=INDEX(Sezoane!$D$6:$D$40,MATCH(A348,Sezoane!$C$6:$C$40,1))),INDEX('Prețuri de setat'!$H$5:$H$39,MATCH(A348,Sezoane!$C$6:$C$40,1)),"")</f>
        <v/>
      </c>
      <c r="I348" s="44" t="str">
        <f aca="false">IF(AND(ISNUMBER(MATCH(A348,Sezoane!$C$6:$C$40,1)),A348&lt;=INDEX(Sezoane!$D$6:$D$40,MATCH(A348,Sezoane!$C$6:$C$40,1))),INDEX('Prețuri de setat'!$I$5:$I$39,MATCH(A348,Sezoane!$C$6:$C$40,1)),"")</f>
        <v/>
      </c>
    </row>
    <row r="349" customFormat="false" ht="15" hidden="false" customHeight="false" outlineLevel="0" collapsed="false">
      <c r="A349" s="41" t="n">
        <f aca="false">$B$2+344</f>
        <v>46660</v>
      </c>
      <c r="B349" s="42" t="str">
        <f aca="false">CHOOSE(WEEKDAY(A349,2),"Lu","Ma","Mi","Jo","Vi","Sâ","Du")</f>
        <v>Jo</v>
      </c>
      <c r="C349" s="42" t="str">
        <f aca="false">IF(AND(ISNUMBER(MATCH(A349,Sezoane!$C$6:$C$40,1)),A349&lt;=INDEX(Sezoane!$D$6:$D$40,MATCH(A349,Sezoane!$C$6:$C$40,1))),INDEX(Sezoane!$A$6:$A$40,MATCH(A349,Sezoane!$C$6:$C$40,1)),"⚠ fără sezon")</f>
        <v>⚠ fără sezon</v>
      </c>
      <c r="D349" s="42" t="str">
        <f aca="false">IF(AND(ISNUMBER(MATCH(A349,Sezoane!$C$6:$C$40,1)),A349&lt;=INDEX(Sezoane!$D$6:$D$40,MATCH(A349,Sezoane!$C$6:$C$40,1))),INDEX(Sezoane!$F$6:$F$40,MATCH(A349,Sezoane!$C$6:$C$40,1)),"")</f>
        <v/>
      </c>
      <c r="E349" s="44" t="str">
        <f aca="false">IF(AND(ISNUMBER(MATCH(A349,Sezoane!$C$6:$C$40,1)),A349&lt;=INDEX(Sezoane!$D$6:$D$40,MATCH(A349,Sezoane!$C$6:$C$40,1))),INDEX('Prețuri de setat'!$E$5:$E$39,MATCH(A349,Sezoane!$C$6:$C$40,1)),"")</f>
        <v/>
      </c>
      <c r="F349" s="44" t="str">
        <f aca="false">IF(AND(ISNUMBER(MATCH(A349,Sezoane!$C$6:$C$40,1)),A349&lt;=INDEX(Sezoane!$D$6:$D$40,MATCH(A349,Sezoane!$C$6:$C$40,1))),INDEX('Prețuri de setat'!$F$5:$F$39,MATCH(A349,Sezoane!$C$6:$C$40,1)),"")</f>
        <v/>
      </c>
      <c r="G349" s="44" t="str">
        <f aca="false">IF(AND(ISNUMBER(MATCH(A349,Sezoane!$C$6:$C$40,1)),A349&lt;=INDEX(Sezoane!$D$6:$D$40,MATCH(A349,Sezoane!$C$6:$C$40,1))),INDEX('Prețuri de setat'!$G$5:$G$39,MATCH(A349,Sezoane!$C$6:$C$40,1)),"")</f>
        <v/>
      </c>
      <c r="H349" s="44" t="str">
        <f aca="false">IF(AND(ISNUMBER(MATCH(A349,Sezoane!$C$6:$C$40,1)),A349&lt;=INDEX(Sezoane!$D$6:$D$40,MATCH(A349,Sezoane!$C$6:$C$40,1))),INDEX('Prețuri de setat'!$H$5:$H$39,MATCH(A349,Sezoane!$C$6:$C$40,1)),"")</f>
        <v/>
      </c>
      <c r="I349" s="44" t="str">
        <f aca="false">IF(AND(ISNUMBER(MATCH(A349,Sezoane!$C$6:$C$40,1)),A349&lt;=INDEX(Sezoane!$D$6:$D$40,MATCH(A349,Sezoane!$C$6:$C$40,1))),INDEX('Prețuri de setat'!$I$5:$I$39,MATCH(A349,Sezoane!$C$6:$C$40,1)),"")</f>
        <v/>
      </c>
    </row>
    <row r="350" customFormat="false" ht="15" hidden="false" customHeight="false" outlineLevel="0" collapsed="false">
      <c r="A350" s="41" t="n">
        <f aca="false">$B$2+345</f>
        <v>46661</v>
      </c>
      <c r="B350" s="42" t="str">
        <f aca="false">CHOOSE(WEEKDAY(A350,2),"Lu","Ma","Mi","Jo","Vi","Sâ","Du")</f>
        <v>Vi</v>
      </c>
      <c r="C350" s="42" t="str">
        <f aca="false">IF(AND(ISNUMBER(MATCH(A350,Sezoane!$C$6:$C$40,1)),A350&lt;=INDEX(Sezoane!$D$6:$D$40,MATCH(A350,Sezoane!$C$6:$C$40,1))),INDEX(Sezoane!$A$6:$A$40,MATCH(A350,Sezoane!$C$6:$C$40,1)),"⚠ fără sezon")</f>
        <v>⚠ fără sezon</v>
      </c>
      <c r="D350" s="42" t="str">
        <f aca="false">IF(AND(ISNUMBER(MATCH(A350,Sezoane!$C$6:$C$40,1)),A350&lt;=INDEX(Sezoane!$D$6:$D$40,MATCH(A350,Sezoane!$C$6:$C$40,1))),INDEX(Sezoane!$F$6:$F$40,MATCH(A350,Sezoane!$C$6:$C$40,1)),"")</f>
        <v/>
      </c>
      <c r="E350" s="44" t="str">
        <f aca="false">IF(AND(ISNUMBER(MATCH(A350,Sezoane!$C$6:$C$40,1)),A350&lt;=INDEX(Sezoane!$D$6:$D$40,MATCH(A350,Sezoane!$C$6:$C$40,1))),INDEX('Prețuri de setat'!$E$5:$E$39,MATCH(A350,Sezoane!$C$6:$C$40,1)),"")</f>
        <v/>
      </c>
      <c r="F350" s="44" t="str">
        <f aca="false">IF(AND(ISNUMBER(MATCH(A350,Sezoane!$C$6:$C$40,1)),A350&lt;=INDEX(Sezoane!$D$6:$D$40,MATCH(A350,Sezoane!$C$6:$C$40,1))),INDEX('Prețuri de setat'!$F$5:$F$39,MATCH(A350,Sezoane!$C$6:$C$40,1)),"")</f>
        <v/>
      </c>
      <c r="G350" s="44" t="str">
        <f aca="false">IF(AND(ISNUMBER(MATCH(A350,Sezoane!$C$6:$C$40,1)),A350&lt;=INDEX(Sezoane!$D$6:$D$40,MATCH(A350,Sezoane!$C$6:$C$40,1))),INDEX('Prețuri de setat'!$G$5:$G$39,MATCH(A350,Sezoane!$C$6:$C$40,1)),"")</f>
        <v/>
      </c>
      <c r="H350" s="44" t="str">
        <f aca="false">IF(AND(ISNUMBER(MATCH(A350,Sezoane!$C$6:$C$40,1)),A350&lt;=INDEX(Sezoane!$D$6:$D$40,MATCH(A350,Sezoane!$C$6:$C$40,1))),INDEX('Prețuri de setat'!$H$5:$H$39,MATCH(A350,Sezoane!$C$6:$C$40,1)),"")</f>
        <v/>
      </c>
      <c r="I350" s="44" t="str">
        <f aca="false">IF(AND(ISNUMBER(MATCH(A350,Sezoane!$C$6:$C$40,1)),A350&lt;=INDEX(Sezoane!$D$6:$D$40,MATCH(A350,Sezoane!$C$6:$C$40,1))),INDEX('Prețuri de setat'!$I$5:$I$39,MATCH(A350,Sezoane!$C$6:$C$40,1)),"")</f>
        <v/>
      </c>
    </row>
    <row r="351" customFormat="false" ht="15" hidden="false" customHeight="false" outlineLevel="0" collapsed="false">
      <c r="A351" s="41" t="n">
        <f aca="false">$B$2+346</f>
        <v>46662</v>
      </c>
      <c r="B351" s="42" t="str">
        <f aca="false">CHOOSE(WEEKDAY(A351,2),"Lu","Ma","Mi","Jo","Vi","Sâ","Du")</f>
        <v>Sâ</v>
      </c>
      <c r="C351" s="42" t="str">
        <f aca="false">IF(AND(ISNUMBER(MATCH(A351,Sezoane!$C$6:$C$40,1)),A351&lt;=INDEX(Sezoane!$D$6:$D$40,MATCH(A351,Sezoane!$C$6:$C$40,1))),INDEX(Sezoane!$A$6:$A$40,MATCH(A351,Sezoane!$C$6:$C$40,1)),"⚠ fără sezon")</f>
        <v>⚠ fără sezon</v>
      </c>
      <c r="D351" s="42" t="str">
        <f aca="false">IF(AND(ISNUMBER(MATCH(A351,Sezoane!$C$6:$C$40,1)),A351&lt;=INDEX(Sezoane!$D$6:$D$40,MATCH(A351,Sezoane!$C$6:$C$40,1))),INDEX(Sezoane!$F$6:$F$40,MATCH(A351,Sezoane!$C$6:$C$40,1)),"")</f>
        <v/>
      </c>
      <c r="E351" s="44" t="str">
        <f aca="false">IF(AND(ISNUMBER(MATCH(A351,Sezoane!$C$6:$C$40,1)),A351&lt;=INDEX(Sezoane!$D$6:$D$40,MATCH(A351,Sezoane!$C$6:$C$40,1))),INDEX('Prețuri de setat'!$E$5:$E$39,MATCH(A351,Sezoane!$C$6:$C$40,1)),"")</f>
        <v/>
      </c>
      <c r="F351" s="44" t="str">
        <f aca="false">IF(AND(ISNUMBER(MATCH(A351,Sezoane!$C$6:$C$40,1)),A351&lt;=INDEX(Sezoane!$D$6:$D$40,MATCH(A351,Sezoane!$C$6:$C$40,1))),INDEX('Prețuri de setat'!$F$5:$F$39,MATCH(A351,Sezoane!$C$6:$C$40,1)),"")</f>
        <v/>
      </c>
      <c r="G351" s="44" t="str">
        <f aca="false">IF(AND(ISNUMBER(MATCH(A351,Sezoane!$C$6:$C$40,1)),A351&lt;=INDEX(Sezoane!$D$6:$D$40,MATCH(A351,Sezoane!$C$6:$C$40,1))),INDEX('Prețuri de setat'!$G$5:$G$39,MATCH(A351,Sezoane!$C$6:$C$40,1)),"")</f>
        <v/>
      </c>
      <c r="H351" s="44" t="str">
        <f aca="false">IF(AND(ISNUMBER(MATCH(A351,Sezoane!$C$6:$C$40,1)),A351&lt;=INDEX(Sezoane!$D$6:$D$40,MATCH(A351,Sezoane!$C$6:$C$40,1))),INDEX('Prețuri de setat'!$H$5:$H$39,MATCH(A351,Sezoane!$C$6:$C$40,1)),"")</f>
        <v/>
      </c>
      <c r="I351" s="44" t="str">
        <f aca="false">IF(AND(ISNUMBER(MATCH(A351,Sezoane!$C$6:$C$40,1)),A351&lt;=INDEX(Sezoane!$D$6:$D$40,MATCH(A351,Sezoane!$C$6:$C$40,1))),INDEX('Prețuri de setat'!$I$5:$I$39,MATCH(A351,Sezoane!$C$6:$C$40,1)),"")</f>
        <v/>
      </c>
    </row>
    <row r="352" customFormat="false" ht="15" hidden="false" customHeight="false" outlineLevel="0" collapsed="false">
      <c r="A352" s="41" t="n">
        <f aca="false">$B$2+347</f>
        <v>46663</v>
      </c>
      <c r="B352" s="42" t="str">
        <f aca="false">CHOOSE(WEEKDAY(A352,2),"Lu","Ma","Mi","Jo","Vi","Sâ","Du")</f>
        <v>Du</v>
      </c>
      <c r="C352" s="42" t="str">
        <f aca="false">IF(AND(ISNUMBER(MATCH(A352,Sezoane!$C$6:$C$40,1)),A352&lt;=INDEX(Sezoane!$D$6:$D$40,MATCH(A352,Sezoane!$C$6:$C$40,1))),INDEX(Sezoane!$A$6:$A$40,MATCH(A352,Sezoane!$C$6:$C$40,1)),"⚠ fără sezon")</f>
        <v>⚠ fără sezon</v>
      </c>
      <c r="D352" s="42" t="str">
        <f aca="false">IF(AND(ISNUMBER(MATCH(A352,Sezoane!$C$6:$C$40,1)),A352&lt;=INDEX(Sezoane!$D$6:$D$40,MATCH(A352,Sezoane!$C$6:$C$40,1))),INDEX(Sezoane!$F$6:$F$40,MATCH(A352,Sezoane!$C$6:$C$40,1)),"")</f>
        <v/>
      </c>
      <c r="E352" s="44" t="str">
        <f aca="false">IF(AND(ISNUMBER(MATCH(A352,Sezoane!$C$6:$C$40,1)),A352&lt;=INDEX(Sezoane!$D$6:$D$40,MATCH(A352,Sezoane!$C$6:$C$40,1))),INDEX('Prețuri de setat'!$E$5:$E$39,MATCH(A352,Sezoane!$C$6:$C$40,1)),"")</f>
        <v/>
      </c>
      <c r="F352" s="44" t="str">
        <f aca="false">IF(AND(ISNUMBER(MATCH(A352,Sezoane!$C$6:$C$40,1)),A352&lt;=INDEX(Sezoane!$D$6:$D$40,MATCH(A352,Sezoane!$C$6:$C$40,1))),INDEX('Prețuri de setat'!$F$5:$F$39,MATCH(A352,Sezoane!$C$6:$C$40,1)),"")</f>
        <v/>
      </c>
      <c r="G352" s="44" t="str">
        <f aca="false">IF(AND(ISNUMBER(MATCH(A352,Sezoane!$C$6:$C$40,1)),A352&lt;=INDEX(Sezoane!$D$6:$D$40,MATCH(A352,Sezoane!$C$6:$C$40,1))),INDEX('Prețuri de setat'!$G$5:$G$39,MATCH(A352,Sezoane!$C$6:$C$40,1)),"")</f>
        <v/>
      </c>
      <c r="H352" s="44" t="str">
        <f aca="false">IF(AND(ISNUMBER(MATCH(A352,Sezoane!$C$6:$C$40,1)),A352&lt;=INDEX(Sezoane!$D$6:$D$40,MATCH(A352,Sezoane!$C$6:$C$40,1))),INDEX('Prețuri de setat'!$H$5:$H$39,MATCH(A352,Sezoane!$C$6:$C$40,1)),"")</f>
        <v/>
      </c>
      <c r="I352" s="44" t="str">
        <f aca="false">IF(AND(ISNUMBER(MATCH(A352,Sezoane!$C$6:$C$40,1)),A352&lt;=INDEX(Sezoane!$D$6:$D$40,MATCH(A352,Sezoane!$C$6:$C$40,1))),INDEX('Prețuri de setat'!$I$5:$I$39,MATCH(A352,Sezoane!$C$6:$C$40,1)),"")</f>
        <v/>
      </c>
    </row>
    <row r="353" customFormat="false" ht="15" hidden="false" customHeight="false" outlineLevel="0" collapsed="false">
      <c r="A353" s="41" t="n">
        <f aca="false">$B$2+348</f>
        <v>46664</v>
      </c>
      <c r="B353" s="42" t="str">
        <f aca="false">CHOOSE(WEEKDAY(A353,2),"Lu","Ma","Mi","Jo","Vi","Sâ","Du")</f>
        <v>Lu</v>
      </c>
      <c r="C353" s="42" t="str">
        <f aca="false">IF(AND(ISNUMBER(MATCH(A353,Sezoane!$C$6:$C$40,1)),A353&lt;=INDEX(Sezoane!$D$6:$D$40,MATCH(A353,Sezoane!$C$6:$C$40,1))),INDEX(Sezoane!$A$6:$A$40,MATCH(A353,Sezoane!$C$6:$C$40,1)),"⚠ fără sezon")</f>
        <v>⚠ fără sezon</v>
      </c>
      <c r="D353" s="42" t="str">
        <f aca="false">IF(AND(ISNUMBER(MATCH(A353,Sezoane!$C$6:$C$40,1)),A353&lt;=INDEX(Sezoane!$D$6:$D$40,MATCH(A353,Sezoane!$C$6:$C$40,1))),INDEX(Sezoane!$F$6:$F$40,MATCH(A353,Sezoane!$C$6:$C$40,1)),"")</f>
        <v/>
      </c>
      <c r="E353" s="44" t="str">
        <f aca="false">IF(AND(ISNUMBER(MATCH(A353,Sezoane!$C$6:$C$40,1)),A353&lt;=INDEX(Sezoane!$D$6:$D$40,MATCH(A353,Sezoane!$C$6:$C$40,1))),INDEX('Prețuri de setat'!$E$5:$E$39,MATCH(A353,Sezoane!$C$6:$C$40,1)),"")</f>
        <v/>
      </c>
      <c r="F353" s="44" t="str">
        <f aca="false">IF(AND(ISNUMBER(MATCH(A353,Sezoane!$C$6:$C$40,1)),A353&lt;=INDEX(Sezoane!$D$6:$D$40,MATCH(A353,Sezoane!$C$6:$C$40,1))),INDEX('Prețuri de setat'!$F$5:$F$39,MATCH(A353,Sezoane!$C$6:$C$40,1)),"")</f>
        <v/>
      </c>
      <c r="G353" s="44" t="str">
        <f aca="false">IF(AND(ISNUMBER(MATCH(A353,Sezoane!$C$6:$C$40,1)),A353&lt;=INDEX(Sezoane!$D$6:$D$40,MATCH(A353,Sezoane!$C$6:$C$40,1))),INDEX('Prețuri de setat'!$G$5:$G$39,MATCH(A353,Sezoane!$C$6:$C$40,1)),"")</f>
        <v/>
      </c>
      <c r="H353" s="44" t="str">
        <f aca="false">IF(AND(ISNUMBER(MATCH(A353,Sezoane!$C$6:$C$40,1)),A353&lt;=INDEX(Sezoane!$D$6:$D$40,MATCH(A353,Sezoane!$C$6:$C$40,1))),INDEX('Prețuri de setat'!$H$5:$H$39,MATCH(A353,Sezoane!$C$6:$C$40,1)),"")</f>
        <v/>
      </c>
      <c r="I353" s="44" t="str">
        <f aca="false">IF(AND(ISNUMBER(MATCH(A353,Sezoane!$C$6:$C$40,1)),A353&lt;=INDEX(Sezoane!$D$6:$D$40,MATCH(A353,Sezoane!$C$6:$C$40,1))),INDEX('Prețuri de setat'!$I$5:$I$39,MATCH(A353,Sezoane!$C$6:$C$40,1)),"")</f>
        <v/>
      </c>
    </row>
    <row r="354" customFormat="false" ht="15" hidden="false" customHeight="false" outlineLevel="0" collapsed="false">
      <c r="A354" s="41" t="n">
        <f aca="false">$B$2+349</f>
        <v>46665</v>
      </c>
      <c r="B354" s="42" t="str">
        <f aca="false">CHOOSE(WEEKDAY(A354,2),"Lu","Ma","Mi","Jo","Vi","Sâ","Du")</f>
        <v>Ma</v>
      </c>
      <c r="C354" s="42" t="str">
        <f aca="false">IF(AND(ISNUMBER(MATCH(A354,Sezoane!$C$6:$C$40,1)),A354&lt;=INDEX(Sezoane!$D$6:$D$40,MATCH(A354,Sezoane!$C$6:$C$40,1))),INDEX(Sezoane!$A$6:$A$40,MATCH(A354,Sezoane!$C$6:$C$40,1)),"⚠ fără sezon")</f>
        <v>⚠ fără sezon</v>
      </c>
      <c r="D354" s="42" t="str">
        <f aca="false">IF(AND(ISNUMBER(MATCH(A354,Sezoane!$C$6:$C$40,1)),A354&lt;=INDEX(Sezoane!$D$6:$D$40,MATCH(A354,Sezoane!$C$6:$C$40,1))),INDEX(Sezoane!$F$6:$F$40,MATCH(A354,Sezoane!$C$6:$C$40,1)),"")</f>
        <v/>
      </c>
      <c r="E354" s="44" t="str">
        <f aca="false">IF(AND(ISNUMBER(MATCH(A354,Sezoane!$C$6:$C$40,1)),A354&lt;=INDEX(Sezoane!$D$6:$D$40,MATCH(A354,Sezoane!$C$6:$C$40,1))),INDEX('Prețuri de setat'!$E$5:$E$39,MATCH(A354,Sezoane!$C$6:$C$40,1)),"")</f>
        <v/>
      </c>
      <c r="F354" s="44" t="str">
        <f aca="false">IF(AND(ISNUMBER(MATCH(A354,Sezoane!$C$6:$C$40,1)),A354&lt;=INDEX(Sezoane!$D$6:$D$40,MATCH(A354,Sezoane!$C$6:$C$40,1))),INDEX('Prețuri de setat'!$F$5:$F$39,MATCH(A354,Sezoane!$C$6:$C$40,1)),"")</f>
        <v/>
      </c>
      <c r="G354" s="44" t="str">
        <f aca="false">IF(AND(ISNUMBER(MATCH(A354,Sezoane!$C$6:$C$40,1)),A354&lt;=INDEX(Sezoane!$D$6:$D$40,MATCH(A354,Sezoane!$C$6:$C$40,1))),INDEX('Prețuri de setat'!$G$5:$G$39,MATCH(A354,Sezoane!$C$6:$C$40,1)),"")</f>
        <v/>
      </c>
      <c r="H354" s="44" t="str">
        <f aca="false">IF(AND(ISNUMBER(MATCH(A354,Sezoane!$C$6:$C$40,1)),A354&lt;=INDEX(Sezoane!$D$6:$D$40,MATCH(A354,Sezoane!$C$6:$C$40,1))),INDEX('Prețuri de setat'!$H$5:$H$39,MATCH(A354,Sezoane!$C$6:$C$40,1)),"")</f>
        <v/>
      </c>
      <c r="I354" s="44" t="str">
        <f aca="false">IF(AND(ISNUMBER(MATCH(A354,Sezoane!$C$6:$C$40,1)),A354&lt;=INDEX(Sezoane!$D$6:$D$40,MATCH(A354,Sezoane!$C$6:$C$40,1))),INDEX('Prețuri de setat'!$I$5:$I$39,MATCH(A354,Sezoane!$C$6:$C$40,1)),"")</f>
        <v/>
      </c>
    </row>
    <row r="355" customFormat="false" ht="15" hidden="false" customHeight="false" outlineLevel="0" collapsed="false">
      <c r="A355" s="41" t="n">
        <f aca="false">$B$2+350</f>
        <v>46666</v>
      </c>
      <c r="B355" s="42" t="str">
        <f aca="false">CHOOSE(WEEKDAY(A355,2),"Lu","Ma","Mi","Jo","Vi","Sâ","Du")</f>
        <v>Mi</v>
      </c>
      <c r="C355" s="42" t="str">
        <f aca="false">IF(AND(ISNUMBER(MATCH(A355,Sezoane!$C$6:$C$40,1)),A355&lt;=INDEX(Sezoane!$D$6:$D$40,MATCH(A355,Sezoane!$C$6:$C$40,1))),INDEX(Sezoane!$A$6:$A$40,MATCH(A355,Sezoane!$C$6:$C$40,1)),"⚠ fără sezon")</f>
        <v>⚠ fără sezon</v>
      </c>
      <c r="D355" s="42" t="str">
        <f aca="false">IF(AND(ISNUMBER(MATCH(A355,Sezoane!$C$6:$C$40,1)),A355&lt;=INDEX(Sezoane!$D$6:$D$40,MATCH(A355,Sezoane!$C$6:$C$40,1))),INDEX(Sezoane!$F$6:$F$40,MATCH(A355,Sezoane!$C$6:$C$40,1)),"")</f>
        <v/>
      </c>
      <c r="E355" s="44" t="str">
        <f aca="false">IF(AND(ISNUMBER(MATCH(A355,Sezoane!$C$6:$C$40,1)),A355&lt;=INDEX(Sezoane!$D$6:$D$40,MATCH(A355,Sezoane!$C$6:$C$40,1))),INDEX('Prețuri de setat'!$E$5:$E$39,MATCH(A355,Sezoane!$C$6:$C$40,1)),"")</f>
        <v/>
      </c>
      <c r="F355" s="44" t="str">
        <f aca="false">IF(AND(ISNUMBER(MATCH(A355,Sezoane!$C$6:$C$40,1)),A355&lt;=INDEX(Sezoane!$D$6:$D$40,MATCH(A355,Sezoane!$C$6:$C$40,1))),INDEX('Prețuri de setat'!$F$5:$F$39,MATCH(A355,Sezoane!$C$6:$C$40,1)),"")</f>
        <v/>
      </c>
      <c r="G355" s="44" t="str">
        <f aca="false">IF(AND(ISNUMBER(MATCH(A355,Sezoane!$C$6:$C$40,1)),A355&lt;=INDEX(Sezoane!$D$6:$D$40,MATCH(A355,Sezoane!$C$6:$C$40,1))),INDEX('Prețuri de setat'!$G$5:$G$39,MATCH(A355,Sezoane!$C$6:$C$40,1)),"")</f>
        <v/>
      </c>
      <c r="H355" s="44" t="str">
        <f aca="false">IF(AND(ISNUMBER(MATCH(A355,Sezoane!$C$6:$C$40,1)),A355&lt;=INDEX(Sezoane!$D$6:$D$40,MATCH(A355,Sezoane!$C$6:$C$40,1))),INDEX('Prețuri de setat'!$H$5:$H$39,MATCH(A355,Sezoane!$C$6:$C$40,1)),"")</f>
        <v/>
      </c>
      <c r="I355" s="44" t="str">
        <f aca="false">IF(AND(ISNUMBER(MATCH(A355,Sezoane!$C$6:$C$40,1)),A355&lt;=INDEX(Sezoane!$D$6:$D$40,MATCH(A355,Sezoane!$C$6:$C$40,1))),INDEX('Prețuri de setat'!$I$5:$I$39,MATCH(A355,Sezoane!$C$6:$C$40,1)),"")</f>
        <v/>
      </c>
    </row>
    <row r="356" customFormat="false" ht="15" hidden="false" customHeight="false" outlineLevel="0" collapsed="false">
      <c r="A356" s="41" t="n">
        <f aca="false">$B$2+351</f>
        <v>46667</v>
      </c>
      <c r="B356" s="42" t="str">
        <f aca="false">CHOOSE(WEEKDAY(A356,2),"Lu","Ma","Mi","Jo","Vi","Sâ","Du")</f>
        <v>Jo</v>
      </c>
      <c r="C356" s="42" t="str">
        <f aca="false">IF(AND(ISNUMBER(MATCH(A356,Sezoane!$C$6:$C$40,1)),A356&lt;=INDEX(Sezoane!$D$6:$D$40,MATCH(A356,Sezoane!$C$6:$C$40,1))),INDEX(Sezoane!$A$6:$A$40,MATCH(A356,Sezoane!$C$6:$C$40,1)),"⚠ fără sezon")</f>
        <v>⚠ fără sezon</v>
      </c>
      <c r="D356" s="42" t="str">
        <f aca="false">IF(AND(ISNUMBER(MATCH(A356,Sezoane!$C$6:$C$40,1)),A356&lt;=INDEX(Sezoane!$D$6:$D$40,MATCH(A356,Sezoane!$C$6:$C$40,1))),INDEX(Sezoane!$F$6:$F$40,MATCH(A356,Sezoane!$C$6:$C$40,1)),"")</f>
        <v/>
      </c>
      <c r="E356" s="44" t="str">
        <f aca="false">IF(AND(ISNUMBER(MATCH(A356,Sezoane!$C$6:$C$40,1)),A356&lt;=INDEX(Sezoane!$D$6:$D$40,MATCH(A356,Sezoane!$C$6:$C$40,1))),INDEX('Prețuri de setat'!$E$5:$E$39,MATCH(A356,Sezoane!$C$6:$C$40,1)),"")</f>
        <v/>
      </c>
      <c r="F356" s="44" t="str">
        <f aca="false">IF(AND(ISNUMBER(MATCH(A356,Sezoane!$C$6:$C$40,1)),A356&lt;=INDEX(Sezoane!$D$6:$D$40,MATCH(A356,Sezoane!$C$6:$C$40,1))),INDEX('Prețuri de setat'!$F$5:$F$39,MATCH(A356,Sezoane!$C$6:$C$40,1)),"")</f>
        <v/>
      </c>
      <c r="G356" s="44" t="str">
        <f aca="false">IF(AND(ISNUMBER(MATCH(A356,Sezoane!$C$6:$C$40,1)),A356&lt;=INDEX(Sezoane!$D$6:$D$40,MATCH(A356,Sezoane!$C$6:$C$40,1))),INDEX('Prețuri de setat'!$G$5:$G$39,MATCH(A356,Sezoane!$C$6:$C$40,1)),"")</f>
        <v/>
      </c>
      <c r="H356" s="44" t="str">
        <f aca="false">IF(AND(ISNUMBER(MATCH(A356,Sezoane!$C$6:$C$40,1)),A356&lt;=INDEX(Sezoane!$D$6:$D$40,MATCH(A356,Sezoane!$C$6:$C$40,1))),INDEX('Prețuri de setat'!$H$5:$H$39,MATCH(A356,Sezoane!$C$6:$C$40,1)),"")</f>
        <v/>
      </c>
      <c r="I356" s="44" t="str">
        <f aca="false">IF(AND(ISNUMBER(MATCH(A356,Sezoane!$C$6:$C$40,1)),A356&lt;=INDEX(Sezoane!$D$6:$D$40,MATCH(A356,Sezoane!$C$6:$C$40,1))),INDEX('Prețuri de setat'!$I$5:$I$39,MATCH(A356,Sezoane!$C$6:$C$40,1)),"")</f>
        <v/>
      </c>
    </row>
    <row r="357" customFormat="false" ht="15" hidden="false" customHeight="false" outlineLevel="0" collapsed="false">
      <c r="A357" s="41" t="n">
        <f aca="false">$B$2+352</f>
        <v>46668</v>
      </c>
      <c r="B357" s="42" t="str">
        <f aca="false">CHOOSE(WEEKDAY(A357,2),"Lu","Ma","Mi","Jo","Vi","Sâ","Du")</f>
        <v>Vi</v>
      </c>
      <c r="C357" s="42" t="str">
        <f aca="false">IF(AND(ISNUMBER(MATCH(A357,Sezoane!$C$6:$C$40,1)),A357&lt;=INDEX(Sezoane!$D$6:$D$40,MATCH(A357,Sezoane!$C$6:$C$40,1))),INDEX(Sezoane!$A$6:$A$40,MATCH(A357,Sezoane!$C$6:$C$40,1)),"⚠ fără sezon")</f>
        <v>⚠ fără sezon</v>
      </c>
      <c r="D357" s="42" t="str">
        <f aca="false">IF(AND(ISNUMBER(MATCH(A357,Sezoane!$C$6:$C$40,1)),A357&lt;=INDEX(Sezoane!$D$6:$D$40,MATCH(A357,Sezoane!$C$6:$C$40,1))),INDEX(Sezoane!$F$6:$F$40,MATCH(A357,Sezoane!$C$6:$C$40,1)),"")</f>
        <v/>
      </c>
      <c r="E357" s="44" t="str">
        <f aca="false">IF(AND(ISNUMBER(MATCH(A357,Sezoane!$C$6:$C$40,1)),A357&lt;=INDEX(Sezoane!$D$6:$D$40,MATCH(A357,Sezoane!$C$6:$C$40,1))),INDEX('Prețuri de setat'!$E$5:$E$39,MATCH(A357,Sezoane!$C$6:$C$40,1)),"")</f>
        <v/>
      </c>
      <c r="F357" s="44" t="str">
        <f aca="false">IF(AND(ISNUMBER(MATCH(A357,Sezoane!$C$6:$C$40,1)),A357&lt;=INDEX(Sezoane!$D$6:$D$40,MATCH(A357,Sezoane!$C$6:$C$40,1))),INDEX('Prețuri de setat'!$F$5:$F$39,MATCH(A357,Sezoane!$C$6:$C$40,1)),"")</f>
        <v/>
      </c>
      <c r="G357" s="44" t="str">
        <f aca="false">IF(AND(ISNUMBER(MATCH(A357,Sezoane!$C$6:$C$40,1)),A357&lt;=INDEX(Sezoane!$D$6:$D$40,MATCH(A357,Sezoane!$C$6:$C$40,1))),INDEX('Prețuri de setat'!$G$5:$G$39,MATCH(A357,Sezoane!$C$6:$C$40,1)),"")</f>
        <v/>
      </c>
      <c r="H357" s="44" t="str">
        <f aca="false">IF(AND(ISNUMBER(MATCH(A357,Sezoane!$C$6:$C$40,1)),A357&lt;=INDEX(Sezoane!$D$6:$D$40,MATCH(A357,Sezoane!$C$6:$C$40,1))),INDEX('Prețuri de setat'!$H$5:$H$39,MATCH(A357,Sezoane!$C$6:$C$40,1)),"")</f>
        <v/>
      </c>
      <c r="I357" s="44" t="str">
        <f aca="false">IF(AND(ISNUMBER(MATCH(A357,Sezoane!$C$6:$C$40,1)),A357&lt;=INDEX(Sezoane!$D$6:$D$40,MATCH(A357,Sezoane!$C$6:$C$40,1))),INDEX('Prețuri de setat'!$I$5:$I$39,MATCH(A357,Sezoane!$C$6:$C$40,1)),"")</f>
        <v/>
      </c>
    </row>
    <row r="358" customFormat="false" ht="15" hidden="false" customHeight="false" outlineLevel="0" collapsed="false">
      <c r="A358" s="41" t="n">
        <f aca="false">$B$2+353</f>
        <v>46669</v>
      </c>
      <c r="B358" s="42" t="str">
        <f aca="false">CHOOSE(WEEKDAY(A358,2),"Lu","Ma","Mi","Jo","Vi","Sâ","Du")</f>
        <v>Sâ</v>
      </c>
      <c r="C358" s="42" t="str">
        <f aca="false">IF(AND(ISNUMBER(MATCH(A358,Sezoane!$C$6:$C$40,1)),A358&lt;=INDEX(Sezoane!$D$6:$D$40,MATCH(A358,Sezoane!$C$6:$C$40,1))),INDEX(Sezoane!$A$6:$A$40,MATCH(A358,Sezoane!$C$6:$C$40,1)),"⚠ fără sezon")</f>
        <v>⚠ fără sezon</v>
      </c>
      <c r="D358" s="42" t="str">
        <f aca="false">IF(AND(ISNUMBER(MATCH(A358,Sezoane!$C$6:$C$40,1)),A358&lt;=INDEX(Sezoane!$D$6:$D$40,MATCH(A358,Sezoane!$C$6:$C$40,1))),INDEX(Sezoane!$F$6:$F$40,MATCH(A358,Sezoane!$C$6:$C$40,1)),"")</f>
        <v/>
      </c>
      <c r="E358" s="44" t="str">
        <f aca="false">IF(AND(ISNUMBER(MATCH(A358,Sezoane!$C$6:$C$40,1)),A358&lt;=INDEX(Sezoane!$D$6:$D$40,MATCH(A358,Sezoane!$C$6:$C$40,1))),INDEX('Prețuri de setat'!$E$5:$E$39,MATCH(A358,Sezoane!$C$6:$C$40,1)),"")</f>
        <v/>
      </c>
      <c r="F358" s="44" t="str">
        <f aca="false">IF(AND(ISNUMBER(MATCH(A358,Sezoane!$C$6:$C$40,1)),A358&lt;=INDEX(Sezoane!$D$6:$D$40,MATCH(A358,Sezoane!$C$6:$C$40,1))),INDEX('Prețuri de setat'!$F$5:$F$39,MATCH(A358,Sezoane!$C$6:$C$40,1)),"")</f>
        <v/>
      </c>
      <c r="G358" s="44" t="str">
        <f aca="false">IF(AND(ISNUMBER(MATCH(A358,Sezoane!$C$6:$C$40,1)),A358&lt;=INDEX(Sezoane!$D$6:$D$40,MATCH(A358,Sezoane!$C$6:$C$40,1))),INDEX('Prețuri de setat'!$G$5:$G$39,MATCH(A358,Sezoane!$C$6:$C$40,1)),"")</f>
        <v/>
      </c>
      <c r="H358" s="44" t="str">
        <f aca="false">IF(AND(ISNUMBER(MATCH(A358,Sezoane!$C$6:$C$40,1)),A358&lt;=INDEX(Sezoane!$D$6:$D$40,MATCH(A358,Sezoane!$C$6:$C$40,1))),INDEX('Prețuri de setat'!$H$5:$H$39,MATCH(A358,Sezoane!$C$6:$C$40,1)),"")</f>
        <v/>
      </c>
      <c r="I358" s="44" t="str">
        <f aca="false">IF(AND(ISNUMBER(MATCH(A358,Sezoane!$C$6:$C$40,1)),A358&lt;=INDEX(Sezoane!$D$6:$D$40,MATCH(A358,Sezoane!$C$6:$C$40,1))),INDEX('Prețuri de setat'!$I$5:$I$39,MATCH(A358,Sezoane!$C$6:$C$40,1)),"")</f>
        <v/>
      </c>
    </row>
    <row r="359" customFormat="false" ht="15" hidden="false" customHeight="false" outlineLevel="0" collapsed="false">
      <c r="A359" s="41" t="n">
        <f aca="false">$B$2+354</f>
        <v>46670</v>
      </c>
      <c r="B359" s="42" t="str">
        <f aca="false">CHOOSE(WEEKDAY(A359,2),"Lu","Ma","Mi","Jo","Vi","Sâ","Du")</f>
        <v>Du</v>
      </c>
      <c r="C359" s="42" t="str">
        <f aca="false">IF(AND(ISNUMBER(MATCH(A359,Sezoane!$C$6:$C$40,1)),A359&lt;=INDEX(Sezoane!$D$6:$D$40,MATCH(A359,Sezoane!$C$6:$C$40,1))),INDEX(Sezoane!$A$6:$A$40,MATCH(A359,Sezoane!$C$6:$C$40,1)),"⚠ fără sezon")</f>
        <v>⚠ fără sezon</v>
      </c>
      <c r="D359" s="42" t="str">
        <f aca="false">IF(AND(ISNUMBER(MATCH(A359,Sezoane!$C$6:$C$40,1)),A359&lt;=INDEX(Sezoane!$D$6:$D$40,MATCH(A359,Sezoane!$C$6:$C$40,1))),INDEX(Sezoane!$F$6:$F$40,MATCH(A359,Sezoane!$C$6:$C$40,1)),"")</f>
        <v/>
      </c>
      <c r="E359" s="44" t="str">
        <f aca="false">IF(AND(ISNUMBER(MATCH(A359,Sezoane!$C$6:$C$40,1)),A359&lt;=INDEX(Sezoane!$D$6:$D$40,MATCH(A359,Sezoane!$C$6:$C$40,1))),INDEX('Prețuri de setat'!$E$5:$E$39,MATCH(A359,Sezoane!$C$6:$C$40,1)),"")</f>
        <v/>
      </c>
      <c r="F359" s="44" t="str">
        <f aca="false">IF(AND(ISNUMBER(MATCH(A359,Sezoane!$C$6:$C$40,1)),A359&lt;=INDEX(Sezoane!$D$6:$D$40,MATCH(A359,Sezoane!$C$6:$C$40,1))),INDEX('Prețuri de setat'!$F$5:$F$39,MATCH(A359,Sezoane!$C$6:$C$40,1)),"")</f>
        <v/>
      </c>
      <c r="G359" s="44" t="str">
        <f aca="false">IF(AND(ISNUMBER(MATCH(A359,Sezoane!$C$6:$C$40,1)),A359&lt;=INDEX(Sezoane!$D$6:$D$40,MATCH(A359,Sezoane!$C$6:$C$40,1))),INDEX('Prețuri de setat'!$G$5:$G$39,MATCH(A359,Sezoane!$C$6:$C$40,1)),"")</f>
        <v/>
      </c>
      <c r="H359" s="44" t="str">
        <f aca="false">IF(AND(ISNUMBER(MATCH(A359,Sezoane!$C$6:$C$40,1)),A359&lt;=INDEX(Sezoane!$D$6:$D$40,MATCH(A359,Sezoane!$C$6:$C$40,1))),INDEX('Prețuri de setat'!$H$5:$H$39,MATCH(A359,Sezoane!$C$6:$C$40,1)),"")</f>
        <v/>
      </c>
      <c r="I359" s="44" t="str">
        <f aca="false">IF(AND(ISNUMBER(MATCH(A359,Sezoane!$C$6:$C$40,1)),A359&lt;=INDEX(Sezoane!$D$6:$D$40,MATCH(A359,Sezoane!$C$6:$C$40,1))),INDEX('Prețuri de setat'!$I$5:$I$39,MATCH(A359,Sezoane!$C$6:$C$40,1)),"")</f>
        <v/>
      </c>
    </row>
    <row r="360" customFormat="false" ht="15" hidden="false" customHeight="false" outlineLevel="0" collapsed="false">
      <c r="A360" s="41" t="n">
        <f aca="false">$B$2+355</f>
        <v>46671</v>
      </c>
      <c r="B360" s="42" t="str">
        <f aca="false">CHOOSE(WEEKDAY(A360,2),"Lu","Ma","Mi","Jo","Vi","Sâ","Du")</f>
        <v>Lu</v>
      </c>
      <c r="C360" s="42" t="str">
        <f aca="false">IF(AND(ISNUMBER(MATCH(A360,Sezoane!$C$6:$C$40,1)),A360&lt;=INDEX(Sezoane!$D$6:$D$40,MATCH(A360,Sezoane!$C$6:$C$40,1))),INDEX(Sezoane!$A$6:$A$40,MATCH(A360,Sezoane!$C$6:$C$40,1)),"⚠ fără sezon")</f>
        <v>⚠ fără sezon</v>
      </c>
      <c r="D360" s="42" t="str">
        <f aca="false">IF(AND(ISNUMBER(MATCH(A360,Sezoane!$C$6:$C$40,1)),A360&lt;=INDEX(Sezoane!$D$6:$D$40,MATCH(A360,Sezoane!$C$6:$C$40,1))),INDEX(Sezoane!$F$6:$F$40,MATCH(A360,Sezoane!$C$6:$C$40,1)),"")</f>
        <v/>
      </c>
      <c r="E360" s="44" t="str">
        <f aca="false">IF(AND(ISNUMBER(MATCH(A360,Sezoane!$C$6:$C$40,1)),A360&lt;=INDEX(Sezoane!$D$6:$D$40,MATCH(A360,Sezoane!$C$6:$C$40,1))),INDEX('Prețuri de setat'!$E$5:$E$39,MATCH(A360,Sezoane!$C$6:$C$40,1)),"")</f>
        <v/>
      </c>
      <c r="F360" s="44" t="str">
        <f aca="false">IF(AND(ISNUMBER(MATCH(A360,Sezoane!$C$6:$C$40,1)),A360&lt;=INDEX(Sezoane!$D$6:$D$40,MATCH(A360,Sezoane!$C$6:$C$40,1))),INDEX('Prețuri de setat'!$F$5:$F$39,MATCH(A360,Sezoane!$C$6:$C$40,1)),"")</f>
        <v/>
      </c>
      <c r="G360" s="44" t="str">
        <f aca="false">IF(AND(ISNUMBER(MATCH(A360,Sezoane!$C$6:$C$40,1)),A360&lt;=INDEX(Sezoane!$D$6:$D$40,MATCH(A360,Sezoane!$C$6:$C$40,1))),INDEX('Prețuri de setat'!$G$5:$G$39,MATCH(A360,Sezoane!$C$6:$C$40,1)),"")</f>
        <v/>
      </c>
      <c r="H360" s="44" t="str">
        <f aca="false">IF(AND(ISNUMBER(MATCH(A360,Sezoane!$C$6:$C$40,1)),A360&lt;=INDEX(Sezoane!$D$6:$D$40,MATCH(A360,Sezoane!$C$6:$C$40,1))),INDEX('Prețuri de setat'!$H$5:$H$39,MATCH(A360,Sezoane!$C$6:$C$40,1)),"")</f>
        <v/>
      </c>
      <c r="I360" s="44" t="str">
        <f aca="false">IF(AND(ISNUMBER(MATCH(A360,Sezoane!$C$6:$C$40,1)),A360&lt;=INDEX(Sezoane!$D$6:$D$40,MATCH(A360,Sezoane!$C$6:$C$40,1))),INDEX('Prețuri de setat'!$I$5:$I$39,MATCH(A360,Sezoane!$C$6:$C$40,1)),"")</f>
        <v/>
      </c>
    </row>
    <row r="361" customFormat="false" ht="15" hidden="false" customHeight="false" outlineLevel="0" collapsed="false">
      <c r="A361" s="41" t="n">
        <f aca="false">$B$2+356</f>
        <v>46672</v>
      </c>
      <c r="B361" s="42" t="str">
        <f aca="false">CHOOSE(WEEKDAY(A361,2),"Lu","Ma","Mi","Jo","Vi","Sâ","Du")</f>
        <v>Ma</v>
      </c>
      <c r="C361" s="42" t="str">
        <f aca="false">IF(AND(ISNUMBER(MATCH(A361,Sezoane!$C$6:$C$40,1)),A361&lt;=INDEX(Sezoane!$D$6:$D$40,MATCH(A361,Sezoane!$C$6:$C$40,1))),INDEX(Sezoane!$A$6:$A$40,MATCH(A361,Sezoane!$C$6:$C$40,1)),"⚠ fără sezon")</f>
        <v>⚠ fără sezon</v>
      </c>
      <c r="D361" s="42" t="str">
        <f aca="false">IF(AND(ISNUMBER(MATCH(A361,Sezoane!$C$6:$C$40,1)),A361&lt;=INDEX(Sezoane!$D$6:$D$40,MATCH(A361,Sezoane!$C$6:$C$40,1))),INDEX(Sezoane!$F$6:$F$40,MATCH(A361,Sezoane!$C$6:$C$40,1)),"")</f>
        <v/>
      </c>
      <c r="E361" s="44" t="str">
        <f aca="false">IF(AND(ISNUMBER(MATCH(A361,Sezoane!$C$6:$C$40,1)),A361&lt;=INDEX(Sezoane!$D$6:$D$40,MATCH(A361,Sezoane!$C$6:$C$40,1))),INDEX('Prețuri de setat'!$E$5:$E$39,MATCH(A361,Sezoane!$C$6:$C$40,1)),"")</f>
        <v/>
      </c>
      <c r="F361" s="44" t="str">
        <f aca="false">IF(AND(ISNUMBER(MATCH(A361,Sezoane!$C$6:$C$40,1)),A361&lt;=INDEX(Sezoane!$D$6:$D$40,MATCH(A361,Sezoane!$C$6:$C$40,1))),INDEX('Prețuri de setat'!$F$5:$F$39,MATCH(A361,Sezoane!$C$6:$C$40,1)),"")</f>
        <v/>
      </c>
      <c r="G361" s="44" t="str">
        <f aca="false">IF(AND(ISNUMBER(MATCH(A361,Sezoane!$C$6:$C$40,1)),A361&lt;=INDEX(Sezoane!$D$6:$D$40,MATCH(A361,Sezoane!$C$6:$C$40,1))),INDEX('Prețuri de setat'!$G$5:$G$39,MATCH(A361,Sezoane!$C$6:$C$40,1)),"")</f>
        <v/>
      </c>
      <c r="H361" s="44" t="str">
        <f aca="false">IF(AND(ISNUMBER(MATCH(A361,Sezoane!$C$6:$C$40,1)),A361&lt;=INDEX(Sezoane!$D$6:$D$40,MATCH(A361,Sezoane!$C$6:$C$40,1))),INDEX('Prețuri de setat'!$H$5:$H$39,MATCH(A361,Sezoane!$C$6:$C$40,1)),"")</f>
        <v/>
      </c>
      <c r="I361" s="44" t="str">
        <f aca="false">IF(AND(ISNUMBER(MATCH(A361,Sezoane!$C$6:$C$40,1)),A361&lt;=INDEX(Sezoane!$D$6:$D$40,MATCH(A361,Sezoane!$C$6:$C$40,1))),INDEX('Prețuri de setat'!$I$5:$I$39,MATCH(A361,Sezoane!$C$6:$C$40,1)),"")</f>
        <v/>
      </c>
    </row>
    <row r="362" customFormat="false" ht="15" hidden="false" customHeight="false" outlineLevel="0" collapsed="false">
      <c r="A362" s="41" t="n">
        <f aca="false">$B$2+357</f>
        <v>46673</v>
      </c>
      <c r="B362" s="42" t="str">
        <f aca="false">CHOOSE(WEEKDAY(A362,2),"Lu","Ma","Mi","Jo","Vi","Sâ","Du")</f>
        <v>Mi</v>
      </c>
      <c r="C362" s="42" t="str">
        <f aca="false">IF(AND(ISNUMBER(MATCH(A362,Sezoane!$C$6:$C$40,1)),A362&lt;=INDEX(Sezoane!$D$6:$D$40,MATCH(A362,Sezoane!$C$6:$C$40,1))),INDEX(Sezoane!$A$6:$A$40,MATCH(A362,Sezoane!$C$6:$C$40,1)),"⚠ fără sezon")</f>
        <v>⚠ fără sezon</v>
      </c>
      <c r="D362" s="42" t="str">
        <f aca="false">IF(AND(ISNUMBER(MATCH(A362,Sezoane!$C$6:$C$40,1)),A362&lt;=INDEX(Sezoane!$D$6:$D$40,MATCH(A362,Sezoane!$C$6:$C$40,1))),INDEX(Sezoane!$F$6:$F$40,MATCH(A362,Sezoane!$C$6:$C$40,1)),"")</f>
        <v/>
      </c>
      <c r="E362" s="44" t="str">
        <f aca="false">IF(AND(ISNUMBER(MATCH(A362,Sezoane!$C$6:$C$40,1)),A362&lt;=INDEX(Sezoane!$D$6:$D$40,MATCH(A362,Sezoane!$C$6:$C$40,1))),INDEX('Prețuri de setat'!$E$5:$E$39,MATCH(A362,Sezoane!$C$6:$C$40,1)),"")</f>
        <v/>
      </c>
      <c r="F362" s="44" t="str">
        <f aca="false">IF(AND(ISNUMBER(MATCH(A362,Sezoane!$C$6:$C$40,1)),A362&lt;=INDEX(Sezoane!$D$6:$D$40,MATCH(A362,Sezoane!$C$6:$C$40,1))),INDEX('Prețuri de setat'!$F$5:$F$39,MATCH(A362,Sezoane!$C$6:$C$40,1)),"")</f>
        <v/>
      </c>
      <c r="G362" s="44" t="str">
        <f aca="false">IF(AND(ISNUMBER(MATCH(A362,Sezoane!$C$6:$C$40,1)),A362&lt;=INDEX(Sezoane!$D$6:$D$40,MATCH(A362,Sezoane!$C$6:$C$40,1))),INDEX('Prețuri de setat'!$G$5:$G$39,MATCH(A362,Sezoane!$C$6:$C$40,1)),"")</f>
        <v/>
      </c>
      <c r="H362" s="44" t="str">
        <f aca="false">IF(AND(ISNUMBER(MATCH(A362,Sezoane!$C$6:$C$40,1)),A362&lt;=INDEX(Sezoane!$D$6:$D$40,MATCH(A362,Sezoane!$C$6:$C$40,1))),INDEX('Prețuri de setat'!$H$5:$H$39,MATCH(A362,Sezoane!$C$6:$C$40,1)),"")</f>
        <v/>
      </c>
      <c r="I362" s="44" t="str">
        <f aca="false">IF(AND(ISNUMBER(MATCH(A362,Sezoane!$C$6:$C$40,1)),A362&lt;=INDEX(Sezoane!$D$6:$D$40,MATCH(A362,Sezoane!$C$6:$C$40,1))),INDEX('Prețuri de setat'!$I$5:$I$39,MATCH(A362,Sezoane!$C$6:$C$40,1)),"")</f>
        <v/>
      </c>
    </row>
    <row r="363" customFormat="false" ht="15" hidden="false" customHeight="false" outlineLevel="0" collapsed="false">
      <c r="A363" s="41" t="n">
        <f aca="false">$B$2+358</f>
        <v>46674</v>
      </c>
      <c r="B363" s="42" t="str">
        <f aca="false">CHOOSE(WEEKDAY(A363,2),"Lu","Ma","Mi","Jo","Vi","Sâ","Du")</f>
        <v>Jo</v>
      </c>
      <c r="C363" s="42" t="str">
        <f aca="false">IF(AND(ISNUMBER(MATCH(A363,Sezoane!$C$6:$C$40,1)),A363&lt;=INDEX(Sezoane!$D$6:$D$40,MATCH(A363,Sezoane!$C$6:$C$40,1))),INDEX(Sezoane!$A$6:$A$40,MATCH(A363,Sezoane!$C$6:$C$40,1)),"⚠ fără sezon")</f>
        <v>⚠ fără sezon</v>
      </c>
      <c r="D363" s="42" t="str">
        <f aca="false">IF(AND(ISNUMBER(MATCH(A363,Sezoane!$C$6:$C$40,1)),A363&lt;=INDEX(Sezoane!$D$6:$D$40,MATCH(A363,Sezoane!$C$6:$C$40,1))),INDEX(Sezoane!$F$6:$F$40,MATCH(A363,Sezoane!$C$6:$C$40,1)),"")</f>
        <v/>
      </c>
      <c r="E363" s="44" t="str">
        <f aca="false">IF(AND(ISNUMBER(MATCH(A363,Sezoane!$C$6:$C$40,1)),A363&lt;=INDEX(Sezoane!$D$6:$D$40,MATCH(A363,Sezoane!$C$6:$C$40,1))),INDEX('Prețuri de setat'!$E$5:$E$39,MATCH(A363,Sezoane!$C$6:$C$40,1)),"")</f>
        <v/>
      </c>
      <c r="F363" s="44" t="str">
        <f aca="false">IF(AND(ISNUMBER(MATCH(A363,Sezoane!$C$6:$C$40,1)),A363&lt;=INDEX(Sezoane!$D$6:$D$40,MATCH(A363,Sezoane!$C$6:$C$40,1))),INDEX('Prețuri de setat'!$F$5:$F$39,MATCH(A363,Sezoane!$C$6:$C$40,1)),"")</f>
        <v/>
      </c>
      <c r="G363" s="44" t="str">
        <f aca="false">IF(AND(ISNUMBER(MATCH(A363,Sezoane!$C$6:$C$40,1)),A363&lt;=INDEX(Sezoane!$D$6:$D$40,MATCH(A363,Sezoane!$C$6:$C$40,1))),INDEX('Prețuri de setat'!$G$5:$G$39,MATCH(A363,Sezoane!$C$6:$C$40,1)),"")</f>
        <v/>
      </c>
      <c r="H363" s="44" t="str">
        <f aca="false">IF(AND(ISNUMBER(MATCH(A363,Sezoane!$C$6:$C$40,1)),A363&lt;=INDEX(Sezoane!$D$6:$D$40,MATCH(A363,Sezoane!$C$6:$C$40,1))),INDEX('Prețuri de setat'!$H$5:$H$39,MATCH(A363,Sezoane!$C$6:$C$40,1)),"")</f>
        <v/>
      </c>
      <c r="I363" s="44" t="str">
        <f aca="false">IF(AND(ISNUMBER(MATCH(A363,Sezoane!$C$6:$C$40,1)),A363&lt;=INDEX(Sezoane!$D$6:$D$40,MATCH(A363,Sezoane!$C$6:$C$40,1))),INDEX('Prețuri de setat'!$I$5:$I$39,MATCH(A363,Sezoane!$C$6:$C$40,1)),"")</f>
        <v/>
      </c>
    </row>
    <row r="364" customFormat="false" ht="15" hidden="false" customHeight="false" outlineLevel="0" collapsed="false">
      <c r="A364" s="41" t="n">
        <f aca="false">$B$2+359</f>
        <v>46675</v>
      </c>
      <c r="B364" s="42" t="str">
        <f aca="false">CHOOSE(WEEKDAY(A364,2),"Lu","Ma","Mi","Jo","Vi","Sâ","Du")</f>
        <v>Vi</v>
      </c>
      <c r="C364" s="42" t="str">
        <f aca="false">IF(AND(ISNUMBER(MATCH(A364,Sezoane!$C$6:$C$40,1)),A364&lt;=INDEX(Sezoane!$D$6:$D$40,MATCH(A364,Sezoane!$C$6:$C$40,1))),INDEX(Sezoane!$A$6:$A$40,MATCH(A364,Sezoane!$C$6:$C$40,1)),"⚠ fără sezon")</f>
        <v>⚠ fără sezon</v>
      </c>
      <c r="D364" s="42" t="str">
        <f aca="false">IF(AND(ISNUMBER(MATCH(A364,Sezoane!$C$6:$C$40,1)),A364&lt;=INDEX(Sezoane!$D$6:$D$40,MATCH(A364,Sezoane!$C$6:$C$40,1))),INDEX(Sezoane!$F$6:$F$40,MATCH(A364,Sezoane!$C$6:$C$40,1)),"")</f>
        <v/>
      </c>
      <c r="E364" s="44" t="str">
        <f aca="false">IF(AND(ISNUMBER(MATCH(A364,Sezoane!$C$6:$C$40,1)),A364&lt;=INDEX(Sezoane!$D$6:$D$40,MATCH(A364,Sezoane!$C$6:$C$40,1))),INDEX('Prețuri de setat'!$E$5:$E$39,MATCH(A364,Sezoane!$C$6:$C$40,1)),"")</f>
        <v/>
      </c>
      <c r="F364" s="44" t="str">
        <f aca="false">IF(AND(ISNUMBER(MATCH(A364,Sezoane!$C$6:$C$40,1)),A364&lt;=INDEX(Sezoane!$D$6:$D$40,MATCH(A364,Sezoane!$C$6:$C$40,1))),INDEX('Prețuri de setat'!$F$5:$F$39,MATCH(A364,Sezoane!$C$6:$C$40,1)),"")</f>
        <v/>
      </c>
      <c r="G364" s="44" t="str">
        <f aca="false">IF(AND(ISNUMBER(MATCH(A364,Sezoane!$C$6:$C$40,1)),A364&lt;=INDEX(Sezoane!$D$6:$D$40,MATCH(A364,Sezoane!$C$6:$C$40,1))),INDEX('Prețuri de setat'!$G$5:$G$39,MATCH(A364,Sezoane!$C$6:$C$40,1)),"")</f>
        <v/>
      </c>
      <c r="H364" s="44" t="str">
        <f aca="false">IF(AND(ISNUMBER(MATCH(A364,Sezoane!$C$6:$C$40,1)),A364&lt;=INDEX(Sezoane!$D$6:$D$40,MATCH(A364,Sezoane!$C$6:$C$40,1))),INDEX('Prețuri de setat'!$H$5:$H$39,MATCH(A364,Sezoane!$C$6:$C$40,1)),"")</f>
        <v/>
      </c>
      <c r="I364" s="44" t="str">
        <f aca="false">IF(AND(ISNUMBER(MATCH(A364,Sezoane!$C$6:$C$40,1)),A364&lt;=INDEX(Sezoane!$D$6:$D$40,MATCH(A364,Sezoane!$C$6:$C$40,1))),INDEX('Prețuri de setat'!$I$5:$I$39,MATCH(A364,Sezoane!$C$6:$C$40,1)),"")</f>
        <v/>
      </c>
    </row>
    <row r="365" customFormat="false" ht="15" hidden="false" customHeight="false" outlineLevel="0" collapsed="false">
      <c r="A365" s="41" t="n">
        <f aca="false">$B$2+360</f>
        <v>46676</v>
      </c>
      <c r="B365" s="42" t="str">
        <f aca="false">CHOOSE(WEEKDAY(A365,2),"Lu","Ma","Mi","Jo","Vi","Sâ","Du")</f>
        <v>Sâ</v>
      </c>
      <c r="C365" s="42" t="str">
        <f aca="false">IF(AND(ISNUMBER(MATCH(A365,Sezoane!$C$6:$C$40,1)),A365&lt;=INDEX(Sezoane!$D$6:$D$40,MATCH(A365,Sezoane!$C$6:$C$40,1))),INDEX(Sezoane!$A$6:$A$40,MATCH(A365,Sezoane!$C$6:$C$40,1)),"⚠ fără sezon")</f>
        <v>⚠ fără sezon</v>
      </c>
      <c r="D365" s="42" t="str">
        <f aca="false">IF(AND(ISNUMBER(MATCH(A365,Sezoane!$C$6:$C$40,1)),A365&lt;=INDEX(Sezoane!$D$6:$D$40,MATCH(A365,Sezoane!$C$6:$C$40,1))),INDEX(Sezoane!$F$6:$F$40,MATCH(A365,Sezoane!$C$6:$C$40,1)),"")</f>
        <v/>
      </c>
      <c r="E365" s="44" t="str">
        <f aca="false">IF(AND(ISNUMBER(MATCH(A365,Sezoane!$C$6:$C$40,1)),A365&lt;=INDEX(Sezoane!$D$6:$D$40,MATCH(A365,Sezoane!$C$6:$C$40,1))),INDEX('Prețuri de setat'!$E$5:$E$39,MATCH(A365,Sezoane!$C$6:$C$40,1)),"")</f>
        <v/>
      </c>
      <c r="F365" s="44" t="str">
        <f aca="false">IF(AND(ISNUMBER(MATCH(A365,Sezoane!$C$6:$C$40,1)),A365&lt;=INDEX(Sezoane!$D$6:$D$40,MATCH(A365,Sezoane!$C$6:$C$40,1))),INDEX('Prețuri de setat'!$F$5:$F$39,MATCH(A365,Sezoane!$C$6:$C$40,1)),"")</f>
        <v/>
      </c>
      <c r="G365" s="44" t="str">
        <f aca="false">IF(AND(ISNUMBER(MATCH(A365,Sezoane!$C$6:$C$40,1)),A365&lt;=INDEX(Sezoane!$D$6:$D$40,MATCH(A365,Sezoane!$C$6:$C$40,1))),INDEX('Prețuri de setat'!$G$5:$G$39,MATCH(A365,Sezoane!$C$6:$C$40,1)),"")</f>
        <v/>
      </c>
      <c r="H365" s="44" t="str">
        <f aca="false">IF(AND(ISNUMBER(MATCH(A365,Sezoane!$C$6:$C$40,1)),A365&lt;=INDEX(Sezoane!$D$6:$D$40,MATCH(A365,Sezoane!$C$6:$C$40,1))),INDEX('Prețuri de setat'!$H$5:$H$39,MATCH(A365,Sezoane!$C$6:$C$40,1)),"")</f>
        <v/>
      </c>
      <c r="I365" s="44" t="str">
        <f aca="false">IF(AND(ISNUMBER(MATCH(A365,Sezoane!$C$6:$C$40,1)),A365&lt;=INDEX(Sezoane!$D$6:$D$40,MATCH(A365,Sezoane!$C$6:$C$40,1))),INDEX('Prețuri de setat'!$I$5:$I$39,MATCH(A365,Sezoane!$C$6:$C$40,1)),"")</f>
        <v/>
      </c>
    </row>
    <row r="366" customFormat="false" ht="15" hidden="false" customHeight="false" outlineLevel="0" collapsed="false">
      <c r="A366" s="41" t="n">
        <f aca="false">$B$2+361</f>
        <v>46677</v>
      </c>
      <c r="B366" s="42" t="str">
        <f aca="false">CHOOSE(WEEKDAY(A366,2),"Lu","Ma","Mi","Jo","Vi","Sâ","Du")</f>
        <v>Du</v>
      </c>
      <c r="C366" s="42" t="str">
        <f aca="false">IF(AND(ISNUMBER(MATCH(A366,Sezoane!$C$6:$C$40,1)),A366&lt;=INDEX(Sezoane!$D$6:$D$40,MATCH(A366,Sezoane!$C$6:$C$40,1))),INDEX(Sezoane!$A$6:$A$40,MATCH(A366,Sezoane!$C$6:$C$40,1)),"⚠ fără sezon")</f>
        <v>⚠ fără sezon</v>
      </c>
      <c r="D366" s="42" t="str">
        <f aca="false">IF(AND(ISNUMBER(MATCH(A366,Sezoane!$C$6:$C$40,1)),A366&lt;=INDEX(Sezoane!$D$6:$D$40,MATCH(A366,Sezoane!$C$6:$C$40,1))),INDEX(Sezoane!$F$6:$F$40,MATCH(A366,Sezoane!$C$6:$C$40,1)),"")</f>
        <v/>
      </c>
      <c r="E366" s="44" t="str">
        <f aca="false">IF(AND(ISNUMBER(MATCH(A366,Sezoane!$C$6:$C$40,1)),A366&lt;=INDEX(Sezoane!$D$6:$D$40,MATCH(A366,Sezoane!$C$6:$C$40,1))),INDEX('Prețuri de setat'!$E$5:$E$39,MATCH(A366,Sezoane!$C$6:$C$40,1)),"")</f>
        <v/>
      </c>
      <c r="F366" s="44" t="str">
        <f aca="false">IF(AND(ISNUMBER(MATCH(A366,Sezoane!$C$6:$C$40,1)),A366&lt;=INDEX(Sezoane!$D$6:$D$40,MATCH(A366,Sezoane!$C$6:$C$40,1))),INDEX('Prețuri de setat'!$F$5:$F$39,MATCH(A366,Sezoane!$C$6:$C$40,1)),"")</f>
        <v/>
      </c>
      <c r="G366" s="44" t="str">
        <f aca="false">IF(AND(ISNUMBER(MATCH(A366,Sezoane!$C$6:$C$40,1)),A366&lt;=INDEX(Sezoane!$D$6:$D$40,MATCH(A366,Sezoane!$C$6:$C$40,1))),INDEX('Prețuri de setat'!$G$5:$G$39,MATCH(A366,Sezoane!$C$6:$C$40,1)),"")</f>
        <v/>
      </c>
      <c r="H366" s="44" t="str">
        <f aca="false">IF(AND(ISNUMBER(MATCH(A366,Sezoane!$C$6:$C$40,1)),A366&lt;=INDEX(Sezoane!$D$6:$D$40,MATCH(A366,Sezoane!$C$6:$C$40,1))),INDEX('Prețuri de setat'!$H$5:$H$39,MATCH(A366,Sezoane!$C$6:$C$40,1)),"")</f>
        <v/>
      </c>
      <c r="I366" s="44" t="str">
        <f aca="false">IF(AND(ISNUMBER(MATCH(A366,Sezoane!$C$6:$C$40,1)),A366&lt;=INDEX(Sezoane!$D$6:$D$40,MATCH(A366,Sezoane!$C$6:$C$40,1))),INDEX('Prețuri de setat'!$I$5:$I$39,MATCH(A366,Sezoane!$C$6:$C$40,1)),"")</f>
        <v/>
      </c>
    </row>
    <row r="367" customFormat="false" ht="15" hidden="false" customHeight="false" outlineLevel="0" collapsed="false">
      <c r="A367" s="41" t="n">
        <f aca="false">$B$2+362</f>
        <v>46678</v>
      </c>
      <c r="B367" s="42" t="str">
        <f aca="false">CHOOSE(WEEKDAY(A367,2),"Lu","Ma","Mi","Jo","Vi","Sâ","Du")</f>
        <v>Lu</v>
      </c>
      <c r="C367" s="42" t="str">
        <f aca="false">IF(AND(ISNUMBER(MATCH(A367,Sezoane!$C$6:$C$40,1)),A367&lt;=INDEX(Sezoane!$D$6:$D$40,MATCH(A367,Sezoane!$C$6:$C$40,1))),INDEX(Sezoane!$A$6:$A$40,MATCH(A367,Sezoane!$C$6:$C$40,1)),"⚠ fără sezon")</f>
        <v>⚠ fără sezon</v>
      </c>
      <c r="D367" s="42" t="str">
        <f aca="false">IF(AND(ISNUMBER(MATCH(A367,Sezoane!$C$6:$C$40,1)),A367&lt;=INDEX(Sezoane!$D$6:$D$40,MATCH(A367,Sezoane!$C$6:$C$40,1))),INDEX(Sezoane!$F$6:$F$40,MATCH(A367,Sezoane!$C$6:$C$40,1)),"")</f>
        <v/>
      </c>
      <c r="E367" s="44" t="str">
        <f aca="false">IF(AND(ISNUMBER(MATCH(A367,Sezoane!$C$6:$C$40,1)),A367&lt;=INDEX(Sezoane!$D$6:$D$40,MATCH(A367,Sezoane!$C$6:$C$40,1))),INDEX('Prețuri de setat'!$E$5:$E$39,MATCH(A367,Sezoane!$C$6:$C$40,1)),"")</f>
        <v/>
      </c>
      <c r="F367" s="44" t="str">
        <f aca="false">IF(AND(ISNUMBER(MATCH(A367,Sezoane!$C$6:$C$40,1)),A367&lt;=INDEX(Sezoane!$D$6:$D$40,MATCH(A367,Sezoane!$C$6:$C$40,1))),INDEX('Prețuri de setat'!$F$5:$F$39,MATCH(A367,Sezoane!$C$6:$C$40,1)),"")</f>
        <v/>
      </c>
      <c r="G367" s="44" t="str">
        <f aca="false">IF(AND(ISNUMBER(MATCH(A367,Sezoane!$C$6:$C$40,1)),A367&lt;=INDEX(Sezoane!$D$6:$D$40,MATCH(A367,Sezoane!$C$6:$C$40,1))),INDEX('Prețuri de setat'!$G$5:$G$39,MATCH(A367,Sezoane!$C$6:$C$40,1)),"")</f>
        <v/>
      </c>
      <c r="H367" s="44" t="str">
        <f aca="false">IF(AND(ISNUMBER(MATCH(A367,Sezoane!$C$6:$C$40,1)),A367&lt;=INDEX(Sezoane!$D$6:$D$40,MATCH(A367,Sezoane!$C$6:$C$40,1))),INDEX('Prețuri de setat'!$H$5:$H$39,MATCH(A367,Sezoane!$C$6:$C$40,1)),"")</f>
        <v/>
      </c>
      <c r="I367" s="44" t="str">
        <f aca="false">IF(AND(ISNUMBER(MATCH(A367,Sezoane!$C$6:$C$40,1)),A367&lt;=INDEX(Sezoane!$D$6:$D$40,MATCH(A367,Sezoane!$C$6:$C$40,1))),INDEX('Prețuri de setat'!$I$5:$I$39,MATCH(A367,Sezoane!$C$6:$C$40,1)),"")</f>
        <v/>
      </c>
    </row>
    <row r="368" customFormat="false" ht="15" hidden="false" customHeight="false" outlineLevel="0" collapsed="false">
      <c r="A368" s="41" t="n">
        <f aca="false">$B$2+363</f>
        <v>46679</v>
      </c>
      <c r="B368" s="42" t="str">
        <f aca="false">CHOOSE(WEEKDAY(A368,2),"Lu","Ma","Mi","Jo","Vi","Sâ","Du")</f>
        <v>Ma</v>
      </c>
      <c r="C368" s="42" t="str">
        <f aca="false">IF(AND(ISNUMBER(MATCH(A368,Sezoane!$C$6:$C$40,1)),A368&lt;=INDEX(Sezoane!$D$6:$D$40,MATCH(A368,Sezoane!$C$6:$C$40,1))),INDEX(Sezoane!$A$6:$A$40,MATCH(A368,Sezoane!$C$6:$C$40,1)),"⚠ fără sezon")</f>
        <v>⚠ fără sezon</v>
      </c>
      <c r="D368" s="42" t="str">
        <f aca="false">IF(AND(ISNUMBER(MATCH(A368,Sezoane!$C$6:$C$40,1)),A368&lt;=INDEX(Sezoane!$D$6:$D$40,MATCH(A368,Sezoane!$C$6:$C$40,1))),INDEX(Sezoane!$F$6:$F$40,MATCH(A368,Sezoane!$C$6:$C$40,1)),"")</f>
        <v/>
      </c>
      <c r="E368" s="44" t="str">
        <f aca="false">IF(AND(ISNUMBER(MATCH(A368,Sezoane!$C$6:$C$40,1)),A368&lt;=INDEX(Sezoane!$D$6:$D$40,MATCH(A368,Sezoane!$C$6:$C$40,1))),INDEX('Prețuri de setat'!$E$5:$E$39,MATCH(A368,Sezoane!$C$6:$C$40,1)),"")</f>
        <v/>
      </c>
      <c r="F368" s="44" t="str">
        <f aca="false">IF(AND(ISNUMBER(MATCH(A368,Sezoane!$C$6:$C$40,1)),A368&lt;=INDEX(Sezoane!$D$6:$D$40,MATCH(A368,Sezoane!$C$6:$C$40,1))),INDEX('Prețuri de setat'!$F$5:$F$39,MATCH(A368,Sezoane!$C$6:$C$40,1)),"")</f>
        <v/>
      </c>
      <c r="G368" s="44" t="str">
        <f aca="false">IF(AND(ISNUMBER(MATCH(A368,Sezoane!$C$6:$C$40,1)),A368&lt;=INDEX(Sezoane!$D$6:$D$40,MATCH(A368,Sezoane!$C$6:$C$40,1))),INDEX('Prețuri de setat'!$G$5:$G$39,MATCH(A368,Sezoane!$C$6:$C$40,1)),"")</f>
        <v/>
      </c>
      <c r="H368" s="44" t="str">
        <f aca="false">IF(AND(ISNUMBER(MATCH(A368,Sezoane!$C$6:$C$40,1)),A368&lt;=INDEX(Sezoane!$D$6:$D$40,MATCH(A368,Sezoane!$C$6:$C$40,1))),INDEX('Prețuri de setat'!$H$5:$H$39,MATCH(A368,Sezoane!$C$6:$C$40,1)),"")</f>
        <v/>
      </c>
      <c r="I368" s="44" t="str">
        <f aca="false">IF(AND(ISNUMBER(MATCH(A368,Sezoane!$C$6:$C$40,1)),A368&lt;=INDEX(Sezoane!$D$6:$D$40,MATCH(A368,Sezoane!$C$6:$C$40,1))),INDEX('Prețuri de setat'!$I$5:$I$39,MATCH(A368,Sezoane!$C$6:$C$40,1)),"")</f>
        <v/>
      </c>
    </row>
    <row r="369" customFormat="false" ht="15" hidden="false" customHeight="false" outlineLevel="0" collapsed="false">
      <c r="A369" s="41" t="n">
        <f aca="false">$B$2+364</f>
        <v>46680</v>
      </c>
      <c r="B369" s="42" t="str">
        <f aca="false">CHOOSE(WEEKDAY(A369,2),"Lu","Ma","Mi","Jo","Vi","Sâ","Du")</f>
        <v>Mi</v>
      </c>
      <c r="C369" s="42" t="str">
        <f aca="false">IF(AND(ISNUMBER(MATCH(A369,Sezoane!$C$6:$C$40,1)),A369&lt;=INDEX(Sezoane!$D$6:$D$40,MATCH(A369,Sezoane!$C$6:$C$40,1))),INDEX(Sezoane!$A$6:$A$40,MATCH(A369,Sezoane!$C$6:$C$40,1)),"⚠ fără sezon")</f>
        <v>⚠ fără sezon</v>
      </c>
      <c r="D369" s="42" t="str">
        <f aca="false">IF(AND(ISNUMBER(MATCH(A369,Sezoane!$C$6:$C$40,1)),A369&lt;=INDEX(Sezoane!$D$6:$D$40,MATCH(A369,Sezoane!$C$6:$C$40,1))),INDEX(Sezoane!$F$6:$F$40,MATCH(A369,Sezoane!$C$6:$C$40,1)),"")</f>
        <v/>
      </c>
      <c r="E369" s="44" t="str">
        <f aca="false">IF(AND(ISNUMBER(MATCH(A369,Sezoane!$C$6:$C$40,1)),A369&lt;=INDEX(Sezoane!$D$6:$D$40,MATCH(A369,Sezoane!$C$6:$C$40,1))),INDEX('Prețuri de setat'!$E$5:$E$39,MATCH(A369,Sezoane!$C$6:$C$40,1)),"")</f>
        <v/>
      </c>
      <c r="F369" s="44" t="str">
        <f aca="false">IF(AND(ISNUMBER(MATCH(A369,Sezoane!$C$6:$C$40,1)),A369&lt;=INDEX(Sezoane!$D$6:$D$40,MATCH(A369,Sezoane!$C$6:$C$40,1))),INDEX('Prețuri de setat'!$F$5:$F$39,MATCH(A369,Sezoane!$C$6:$C$40,1)),"")</f>
        <v/>
      </c>
      <c r="G369" s="44" t="str">
        <f aca="false">IF(AND(ISNUMBER(MATCH(A369,Sezoane!$C$6:$C$40,1)),A369&lt;=INDEX(Sezoane!$D$6:$D$40,MATCH(A369,Sezoane!$C$6:$C$40,1))),INDEX('Prețuri de setat'!$G$5:$G$39,MATCH(A369,Sezoane!$C$6:$C$40,1)),"")</f>
        <v/>
      </c>
      <c r="H369" s="44" t="str">
        <f aca="false">IF(AND(ISNUMBER(MATCH(A369,Sezoane!$C$6:$C$40,1)),A369&lt;=INDEX(Sezoane!$D$6:$D$40,MATCH(A369,Sezoane!$C$6:$C$40,1))),INDEX('Prețuri de setat'!$H$5:$H$39,MATCH(A369,Sezoane!$C$6:$C$40,1)),"")</f>
        <v/>
      </c>
      <c r="I369" s="44" t="str">
        <f aca="false">IF(AND(ISNUMBER(MATCH(A369,Sezoane!$C$6:$C$40,1)),A369&lt;=INDEX(Sezoane!$D$6:$D$40,MATCH(A369,Sezoane!$C$6:$C$40,1))),INDEX('Prețuri de setat'!$I$5:$I$39,MATCH(A369,Sezoane!$C$6:$C$40,1)),"")</f>
        <v/>
      </c>
    </row>
  </sheetData>
  <conditionalFormatting sqref="A5:I369">
    <cfRule type="expression" priority="2" aboveAverage="0" equalAverage="0" bottom="0" percent="0" rank="0" text="" dxfId="0">
      <formula>LEFT($C5,1)="⚠"</formula>
    </cfRule>
    <cfRule type="expression" priority="3" aboveAverage="0" equalAverage="0" bottom="0" percent="0" rank="0" text="" dxfId="2">
      <formula>OR($B5="Sâ",$B5="Du")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46"/>
    <col collapsed="false" customWidth="true" hidden="false" outlineLevel="0" max="4" min="4" style="0" width="62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166</v>
      </c>
      <c r="B1" s="2"/>
      <c r="C1" s="2"/>
      <c r="D1" s="2"/>
      <c r="E1" s="2"/>
    </row>
    <row r="2" customFormat="false" ht="15" hidden="false" customHeight="false" outlineLevel="0" collapsed="false">
      <c r="A2" s="3" t="s">
        <v>167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24" hidden="false" customHeight="true" outlineLevel="0" collapsed="false">
      <c r="A4" s="10" t="s">
        <v>168</v>
      </c>
      <c r="B4" s="10" t="s">
        <v>169</v>
      </c>
      <c r="C4" s="10" t="s">
        <v>170</v>
      </c>
      <c r="D4" s="10" t="s">
        <v>171</v>
      </c>
      <c r="E4" s="10" t="s">
        <v>172</v>
      </c>
    </row>
    <row r="5" customFormat="false" ht="15" hidden="false" customHeight="false" outlineLevel="0" collapsed="false">
      <c r="A5" s="45" t="s">
        <v>160</v>
      </c>
      <c r="B5" s="45" t="s">
        <v>173</v>
      </c>
      <c r="C5" s="45" t="s">
        <v>174</v>
      </c>
      <c r="D5" s="45" t="s">
        <v>175</v>
      </c>
      <c r="E5" s="11" t="s">
        <v>176</v>
      </c>
    </row>
    <row r="6" customFormat="false" ht="15" hidden="false" customHeight="false" outlineLevel="0" collapsed="false">
      <c r="A6" s="45" t="s">
        <v>81</v>
      </c>
      <c r="B6" s="45" t="s">
        <v>177</v>
      </c>
      <c r="C6" s="45" t="s">
        <v>178</v>
      </c>
      <c r="D6" s="45" t="s">
        <v>179</v>
      </c>
      <c r="E6" s="11" t="s">
        <v>176</v>
      </c>
    </row>
    <row r="7" customFormat="false" ht="15" hidden="false" customHeight="false" outlineLevel="0" collapsed="false">
      <c r="A7" s="45" t="s">
        <v>81</v>
      </c>
      <c r="B7" s="45" t="s">
        <v>180</v>
      </c>
      <c r="C7" s="45" t="s">
        <v>181</v>
      </c>
      <c r="D7" s="45" t="s">
        <v>182</v>
      </c>
      <c r="E7" s="11" t="s">
        <v>176</v>
      </c>
    </row>
    <row r="8" customFormat="false" ht="15" hidden="false" customHeight="false" outlineLevel="0" collapsed="false">
      <c r="A8" s="45" t="s">
        <v>81</v>
      </c>
      <c r="B8" s="45" t="s">
        <v>183</v>
      </c>
      <c r="C8" s="45" t="s">
        <v>184</v>
      </c>
      <c r="D8" s="45" t="s">
        <v>185</v>
      </c>
      <c r="E8" s="11" t="s">
        <v>176</v>
      </c>
    </row>
    <row r="9" customFormat="false" ht="23.85" hidden="false" customHeight="false" outlineLevel="0" collapsed="false">
      <c r="A9" s="45" t="s">
        <v>81</v>
      </c>
      <c r="B9" s="45" t="s">
        <v>186</v>
      </c>
      <c r="C9" s="45" t="s">
        <v>187</v>
      </c>
      <c r="D9" s="45" t="s">
        <v>188</v>
      </c>
      <c r="E9" s="11" t="s">
        <v>176</v>
      </c>
    </row>
    <row r="10" customFormat="false" ht="15" hidden="false" customHeight="false" outlineLevel="0" collapsed="false">
      <c r="A10" s="45" t="s">
        <v>81</v>
      </c>
      <c r="B10" s="45" t="s">
        <v>189</v>
      </c>
      <c r="C10" s="45" t="s">
        <v>24</v>
      </c>
      <c r="D10" s="45" t="s">
        <v>190</v>
      </c>
      <c r="E10" s="11" t="s">
        <v>176</v>
      </c>
    </row>
    <row r="11" customFormat="false" ht="15" hidden="false" customHeight="false" outlineLevel="0" collapsed="false">
      <c r="A11" s="45" t="s">
        <v>82</v>
      </c>
      <c r="B11" s="45" t="s">
        <v>191</v>
      </c>
      <c r="C11" s="45" t="s">
        <v>192</v>
      </c>
      <c r="D11" s="45" t="s">
        <v>193</v>
      </c>
      <c r="E11" s="11" t="s">
        <v>176</v>
      </c>
    </row>
    <row r="12" customFormat="false" ht="15" hidden="false" customHeight="false" outlineLevel="0" collapsed="false">
      <c r="A12" s="45" t="s">
        <v>82</v>
      </c>
      <c r="B12" s="45" t="s">
        <v>194</v>
      </c>
      <c r="C12" s="45" t="s">
        <v>195</v>
      </c>
      <c r="D12" s="45" t="s">
        <v>196</v>
      </c>
      <c r="E12" s="11" t="s">
        <v>176</v>
      </c>
    </row>
    <row r="13" customFormat="false" ht="15" hidden="false" customHeight="false" outlineLevel="0" collapsed="false">
      <c r="A13" s="45" t="s">
        <v>82</v>
      </c>
      <c r="B13" s="45" t="s">
        <v>197</v>
      </c>
      <c r="C13" s="45" t="s">
        <v>198</v>
      </c>
      <c r="D13" s="45" t="s">
        <v>199</v>
      </c>
      <c r="E13" s="11" t="s">
        <v>176</v>
      </c>
    </row>
    <row r="14" customFormat="false" ht="15" hidden="false" customHeight="false" outlineLevel="0" collapsed="false">
      <c r="A14" s="45" t="s">
        <v>82</v>
      </c>
      <c r="B14" s="45" t="s">
        <v>200</v>
      </c>
      <c r="C14" s="45" t="s">
        <v>201</v>
      </c>
      <c r="D14" s="45" t="s">
        <v>202</v>
      </c>
      <c r="E14" s="11" t="s">
        <v>176</v>
      </c>
    </row>
    <row r="15" customFormat="false" ht="15" hidden="false" customHeight="false" outlineLevel="0" collapsed="false">
      <c r="A15" s="45" t="s">
        <v>83</v>
      </c>
      <c r="B15" s="45" t="s">
        <v>203</v>
      </c>
      <c r="C15" s="45" t="s">
        <v>204</v>
      </c>
      <c r="D15" s="45" t="s">
        <v>205</v>
      </c>
      <c r="E15" s="11" t="s">
        <v>176</v>
      </c>
    </row>
    <row r="16" customFormat="false" ht="15" hidden="false" customHeight="false" outlineLevel="0" collapsed="false">
      <c r="A16" s="45" t="s">
        <v>83</v>
      </c>
      <c r="B16" s="45" t="s">
        <v>200</v>
      </c>
      <c r="C16" s="45" t="s">
        <v>206</v>
      </c>
      <c r="D16" s="45" t="s">
        <v>207</v>
      </c>
      <c r="E16" s="11" t="s">
        <v>176</v>
      </c>
    </row>
    <row r="17" customFormat="false" ht="15" hidden="false" customHeight="false" outlineLevel="0" collapsed="false">
      <c r="A17" s="45" t="s">
        <v>83</v>
      </c>
      <c r="B17" s="45" t="s">
        <v>208</v>
      </c>
      <c r="C17" s="45" t="s">
        <v>209</v>
      </c>
      <c r="D17" s="45" t="s">
        <v>210</v>
      </c>
      <c r="E17" s="11" t="s">
        <v>176</v>
      </c>
    </row>
    <row r="18" customFormat="false" ht="23.85" hidden="false" customHeight="false" outlineLevel="0" collapsed="false">
      <c r="A18" s="45" t="s">
        <v>211</v>
      </c>
      <c r="B18" s="45" t="s">
        <v>212</v>
      </c>
      <c r="C18" s="45" t="s">
        <v>213</v>
      </c>
      <c r="D18" s="45" t="s">
        <v>214</v>
      </c>
      <c r="E18" s="11" t="s">
        <v>176</v>
      </c>
    </row>
  </sheetData>
  <conditionalFormatting sqref="E5:E18">
    <cfRule type="cellIs" priority="2" operator="equal" aboveAverage="0" equalAverage="0" bottom="0" percent="0" rank="0" text="" dxfId="1">
      <formula>"Făcut"</formula>
    </cfRule>
  </conditionalFormatting>
  <dataValidations count="1">
    <dataValidation allowBlank="true" errorStyle="stop" operator="between" showDropDown="false" showErrorMessage="false" showInputMessage="false" sqref="E5:E18" type="list">
      <formula1>"De făcut,Făcut,Nu se aplică"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1" t="s">
        <v>215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</row>
    <row r="3" customFormat="false" ht="33.75" hidden="false" customHeight="true" outlineLevel="0" collapsed="false">
      <c r="A3" s="10" t="s">
        <v>45</v>
      </c>
      <c r="B3" s="10" t="s">
        <v>216</v>
      </c>
      <c r="C3" s="10" t="s">
        <v>217</v>
      </c>
      <c r="D3" s="10" t="s">
        <v>218</v>
      </c>
      <c r="E3" s="10" t="s">
        <v>219</v>
      </c>
      <c r="F3" s="10" t="s">
        <v>220</v>
      </c>
      <c r="G3" s="10" t="s">
        <v>172</v>
      </c>
      <c r="H3" s="2"/>
      <c r="I3" s="19" t="s">
        <v>221</v>
      </c>
    </row>
    <row r="4" customFormat="false" ht="15" hidden="false" customHeight="false" outlineLevel="0" collapsed="false">
      <c r="A4" s="46" t="str">
        <f aca="false">IF(Sezoane!$A$6="","",Sezoane!A6)</f>
        <v>vara-toamna-2026</v>
      </c>
      <c r="B4" s="39" t="n">
        <f aca="false">IF(Sezoane!$A$6="","",Sezoane!C6)</f>
        <v>46204</v>
      </c>
      <c r="C4" s="39" t="n">
        <f aca="false">IF(Sezoane!$A$6="","",Sezoane!D6)</f>
        <v>46356</v>
      </c>
      <c r="D4" s="46" t="str">
        <f aca="false">IF(Sezoane!$A$6="","",IF(Sezoane!D6&lt;Sezoane!C6,"⚠ sfârșit înainte de început",IF(OR(Sezoane!A7="",7&gt;40),"OK",IF(Sezoane!C7&lt;=Sezoane!D6,"⚠ se suprapune / neordonat","OK"))))</f>
        <v>OK</v>
      </c>
      <c r="E4" s="46" t="n">
        <f aca="false">IF(Sezoane!$A$6="","",IF(Sezoane!A7="","ultimul sezon",Sezoane!C7-Sezoane!D6-1))</f>
        <v>0</v>
      </c>
      <c r="F4" s="46" t="str">
        <f aca="false">IF(Sezoane!$A$6="","",IF(ISNUMBER(INDEX(Sezoane!G6:L6,1,MAX(1,Sezoane!F6-1))),"OK",IF(COUNT(Sezoane!G6:L6)=0,"OK (fără reduceri)","⚠ pune 0% la durata minimă")))</f>
        <v>OK</v>
      </c>
      <c r="G4" s="46" t="str">
        <f aca="false">IF(Sezoane!$A$6="","",IF(AND(D4="OK",OR(E4="ultimul sezon",E4=0)),"OK","⚠ verifică"))</f>
        <v>OK</v>
      </c>
      <c r="H4" s="2"/>
      <c r="I4" s="47" t="n">
        <f aca="false">MAX(Sezoane!D6:D40)</f>
        <v>46453</v>
      </c>
    </row>
    <row r="5" customFormat="false" ht="15" hidden="false" customHeight="false" outlineLevel="0" collapsed="false">
      <c r="A5" s="46" t="str">
        <f aca="false">IF(Sezoane!$A$7="","",Sezoane!A7)</f>
        <v>iarna-2026</v>
      </c>
      <c r="B5" s="39" t="n">
        <f aca="false">IF(Sezoane!$A$7="","",Sezoane!C7)</f>
        <v>46357</v>
      </c>
      <c r="C5" s="39" t="n">
        <f aca="false">IF(Sezoane!$A$7="","",Sezoane!D7)</f>
        <v>46376</v>
      </c>
      <c r="D5" s="46" t="str">
        <f aca="false">IF(Sezoane!$A$7="","",IF(Sezoane!D7&lt;Sezoane!C7,"⚠ sfârșit înainte de început",IF(OR(Sezoane!A8="",8&gt;40),"OK",IF(Sezoane!C8&lt;=Sezoane!D7,"⚠ se suprapune / neordonat","OK"))))</f>
        <v>OK</v>
      </c>
      <c r="E5" s="46" t="n">
        <f aca="false">IF(Sezoane!$A$7="","",IF(Sezoane!A8="","ultimul sezon",Sezoane!C8-Sezoane!D7-1))</f>
        <v>0</v>
      </c>
      <c r="F5" s="46" t="str">
        <f aca="false">IF(Sezoane!$A$7="","",IF(ISNUMBER(INDEX(Sezoane!G7:L7,1,MAX(1,Sezoane!F7-1))),"OK",IF(COUNT(Sezoane!G7:L7)=0,"OK (fără reduceri)","⚠ pune 0% la durata minimă")))</f>
        <v>OK</v>
      </c>
      <c r="G5" s="46" t="str">
        <f aca="false">IF(Sezoane!$A$7="","",IF(AND(D5="OK",OR(E5="ultimul sezon",E5=0)),"OK","⚠ verifică"))</f>
        <v>OK</v>
      </c>
      <c r="H5" s="2"/>
      <c r="I5" s="2" t="str">
        <f aca="true">IF(I4-TODAY()&lt;120,"⚠ Mai puțin de 4 luni de prețuri pe site – adaugă sezoanele următoare","OK")</f>
        <v>OK</v>
      </c>
    </row>
    <row r="6" customFormat="false" ht="15" hidden="false" customHeight="false" outlineLevel="0" collapsed="false">
      <c r="A6" s="46" t="str">
        <f aca="false">IF(Sezoane!$A$8="","",Sezoane!A8)</f>
        <v>Craciun-2026</v>
      </c>
      <c r="B6" s="39" t="n">
        <f aca="false">IF(Sezoane!$A$8="","",Sezoane!C8)</f>
        <v>46377</v>
      </c>
      <c r="C6" s="39" t="n">
        <f aca="false">IF(Sezoane!$A$8="","",Sezoane!D8)</f>
        <v>46383</v>
      </c>
      <c r="D6" s="46" t="str">
        <f aca="false">IF(Sezoane!$A$8="","",IF(Sezoane!D8&lt;Sezoane!C8,"⚠ sfârșit înainte de început",IF(OR(Sezoane!A9="",9&gt;40),"OK",IF(Sezoane!C9&lt;=Sezoane!D8,"⚠ se suprapune / neordonat","OK"))))</f>
        <v>OK</v>
      </c>
      <c r="E6" s="46" t="n">
        <f aca="false">IF(Sezoane!$A$8="","",IF(Sezoane!A9="","ultimul sezon",Sezoane!C9-Sezoane!D8-1))</f>
        <v>0</v>
      </c>
      <c r="F6" s="46" t="str">
        <f aca="false">IF(Sezoane!$A$8="","",IF(ISNUMBER(INDEX(Sezoane!G8:L8,1,MAX(1,Sezoane!F8-1))),"OK",IF(COUNT(Sezoane!G8:L8)=0,"OK (fără reduceri)","⚠ pune 0% la durata minimă")))</f>
        <v>OK</v>
      </c>
      <c r="G6" s="46" t="str">
        <f aca="false">IF(Sezoane!$A$8="","",IF(AND(D6="OK",OR(E6="ultimul sezon",E6=0)),"OK","⚠ verifică"))</f>
        <v>OK</v>
      </c>
      <c r="H6" s="2"/>
      <c r="I6" s="2"/>
    </row>
    <row r="7" customFormat="false" ht="15" hidden="false" customHeight="false" outlineLevel="0" collapsed="false">
      <c r="A7" s="46" t="str">
        <f aca="false">IF(Sezoane!$A$9="","",Sezoane!A9)</f>
        <v>Revelion-2026-2027</v>
      </c>
      <c r="B7" s="39" t="n">
        <f aca="false">IF(Sezoane!$A$9="","",Sezoane!C9)</f>
        <v>46384</v>
      </c>
      <c r="C7" s="39" t="n">
        <f aca="false">IF(Sezoane!$A$9="","",Sezoane!D9)</f>
        <v>46391</v>
      </c>
      <c r="D7" s="46" t="str">
        <f aca="false">IF(Sezoane!$A$9="","",IF(Sezoane!D9&lt;Sezoane!C9,"⚠ sfârșit înainte de început",IF(OR(Sezoane!A10="",10&gt;40),"OK",IF(Sezoane!C10&lt;=Sezoane!D9,"⚠ se suprapune / neordonat","OK"))))</f>
        <v>OK</v>
      </c>
      <c r="E7" s="46" t="n">
        <f aca="false">IF(Sezoane!$A$9="","",IF(Sezoane!A10="","ultimul sezon",Sezoane!C10-Sezoane!D9-1))</f>
        <v>0</v>
      </c>
      <c r="F7" s="46" t="str">
        <f aca="false">IF(Sezoane!$A$9="","",IF(ISNUMBER(INDEX(Sezoane!G9:L9,1,MAX(1,Sezoane!F9-1))),"OK",IF(COUNT(Sezoane!G9:L9)=0,"OK (fără reduceri)","⚠ pune 0% la durata minimă")))</f>
        <v>OK</v>
      </c>
      <c r="G7" s="46" t="str">
        <f aca="false">IF(Sezoane!$A$9="","",IF(AND(D7="OK",OR(E7="ultimul sezon",E7=0)),"OK","⚠ verifică"))</f>
        <v>OK</v>
      </c>
      <c r="H7" s="2"/>
      <c r="I7" s="2"/>
    </row>
    <row r="8" customFormat="false" ht="15" hidden="false" customHeight="false" outlineLevel="0" collapsed="false">
      <c r="A8" s="46" t="str">
        <f aca="false">IF(Sezoane!$A$10="","",Sezoane!A10)</f>
        <v>iarna-2027</v>
      </c>
      <c r="B8" s="39" t="n">
        <f aca="false">IF(Sezoane!$A$10="","",Sezoane!C10)</f>
        <v>46392</v>
      </c>
      <c r="C8" s="39" t="n">
        <f aca="false">IF(Sezoane!$A$10="","",Sezoane!D10)</f>
        <v>46432</v>
      </c>
      <c r="D8" s="46" t="str">
        <f aca="false">IF(Sezoane!$A$10="","",IF(Sezoane!D10&lt;Sezoane!C10,"⚠ sfârșit înainte de început",IF(OR(Sezoane!A11="",11&gt;40),"OK",IF(Sezoane!C11&lt;=Sezoane!D10,"⚠ se suprapune / neordonat","OK"))))</f>
        <v>OK</v>
      </c>
      <c r="E8" s="46" t="n">
        <f aca="false">IF(Sezoane!$A$10="","",IF(Sezoane!A11="","ultimul sezon",Sezoane!C11-Sezoane!D10-1))</f>
        <v>0</v>
      </c>
      <c r="F8" s="46" t="str">
        <f aca="false">IF(Sezoane!$A$10="","",IF(ISNUMBER(INDEX(Sezoane!G10:L10,1,MAX(1,Sezoane!F10-1))),"OK",IF(COUNT(Sezoane!G10:L10)=0,"OK (fără reduceri)","⚠ pune 0% la durata minimă")))</f>
        <v>OK</v>
      </c>
      <c r="G8" s="46" t="str">
        <f aca="false">IF(Sezoane!$A$10="","",IF(AND(D8="OK",OR(E8="ultimul sezon",E8=0)),"OK","⚠ verifică"))</f>
        <v>OK</v>
      </c>
      <c r="H8" s="2"/>
      <c r="I8" s="2"/>
    </row>
    <row r="9" customFormat="false" ht="15" hidden="false" customHeight="false" outlineLevel="0" collapsed="false">
      <c r="A9" s="46" t="str">
        <f aca="false">IF(Sezoane!$A$11="","",Sezoane!A11)</f>
        <v>Vacanta-schi-2027</v>
      </c>
      <c r="B9" s="39" t="n">
        <f aca="false">IF(Sezoane!$A$11="","",Sezoane!C11)</f>
        <v>46433</v>
      </c>
      <c r="C9" s="39" t="n">
        <f aca="false">IF(Sezoane!$A$11="","",Sezoane!D11)</f>
        <v>46453</v>
      </c>
      <c r="D9" s="46" t="str">
        <f aca="false">IF(Sezoane!$A$11="","",IF(Sezoane!D11&lt;Sezoane!C11,"⚠ sfârșit înainte de început",IF(OR(Sezoane!A12="",12&gt;40),"OK",IF(Sezoane!C12&lt;=Sezoane!D11,"⚠ se suprapune / neordonat","OK"))))</f>
        <v>OK</v>
      </c>
      <c r="E9" s="46" t="str">
        <f aca="false">IF(Sezoane!$A$11="","",IF(Sezoane!A12="","ultimul sezon",Sezoane!C12-Sezoane!D11-1))</f>
        <v>ultimul sezon</v>
      </c>
      <c r="F9" s="46" t="str">
        <f aca="false">IF(Sezoane!$A$11="","",IF(ISNUMBER(INDEX(Sezoane!G11:L11,1,MAX(1,Sezoane!F11-1))),"OK",IF(COUNT(Sezoane!G11:L11)=0,"OK (fără reduceri)","⚠ pune 0% la durata minimă")))</f>
        <v>OK</v>
      </c>
      <c r="G9" s="46" t="str">
        <f aca="false">IF(Sezoane!$A$11="","",IF(AND(D9="OK",OR(E9="ultimul sezon",E9=0)),"OK","⚠ verifică"))</f>
        <v>OK</v>
      </c>
      <c r="H9" s="2"/>
      <c r="I9" s="2"/>
    </row>
    <row r="10" customFormat="false" ht="15" hidden="false" customHeight="false" outlineLevel="0" collapsed="false">
      <c r="A10" s="46" t="str">
        <f aca="false">IF(Sezoane!$A$12="","",Sezoane!A12)</f>
        <v/>
      </c>
      <c r="B10" s="39" t="str">
        <f aca="false">IF(Sezoane!$A$12="","",Sezoane!C12)</f>
        <v/>
      </c>
      <c r="C10" s="39" t="str">
        <f aca="false">IF(Sezoane!$A$12="","",Sezoane!D12)</f>
        <v/>
      </c>
      <c r="D10" s="46" t="str">
        <f aca="false">IF(Sezoane!$A$12="","",IF(Sezoane!D12&lt;Sezoane!C12,"⚠ sfârșit înainte de început",IF(OR(Sezoane!A13="",13&gt;40),"OK",IF(Sezoane!C13&lt;=Sezoane!D12,"⚠ se suprapune / neordonat","OK"))))</f>
        <v/>
      </c>
      <c r="E10" s="46" t="str">
        <f aca="false">IF(Sezoane!$A$12="","",IF(Sezoane!A13="","ultimul sezon",Sezoane!C13-Sezoane!D12-1))</f>
        <v/>
      </c>
      <c r="F10" s="46" t="str">
        <f aca="false">IF(Sezoane!$A$12="","",IF(ISNUMBER(INDEX(Sezoane!G12:L12,1,MAX(1,Sezoane!F12-1))),"OK",IF(COUNT(Sezoane!G12:L12)=0,"OK (fără reduceri)","⚠ pune 0% la durata minimă")))</f>
        <v/>
      </c>
      <c r="G10" s="46" t="str">
        <f aca="false">IF(Sezoane!$A$12="","",IF(AND(D10="OK",OR(E10="ultimul sezon",E10=0)),"OK","⚠ verifică"))</f>
        <v/>
      </c>
      <c r="H10" s="2"/>
      <c r="I10" s="2"/>
    </row>
    <row r="11" customFormat="false" ht="15" hidden="false" customHeight="false" outlineLevel="0" collapsed="false">
      <c r="A11" s="46" t="str">
        <f aca="false">IF(Sezoane!$A$13="","",Sezoane!A13)</f>
        <v/>
      </c>
      <c r="B11" s="39" t="str">
        <f aca="false">IF(Sezoane!$A$13="","",Sezoane!C13)</f>
        <v/>
      </c>
      <c r="C11" s="39" t="str">
        <f aca="false">IF(Sezoane!$A$13="","",Sezoane!D13)</f>
        <v/>
      </c>
      <c r="D11" s="46" t="str">
        <f aca="false">IF(Sezoane!$A$13="","",IF(Sezoane!D13&lt;Sezoane!C13,"⚠ sfârșit înainte de început",IF(OR(Sezoane!A14="",14&gt;40),"OK",IF(Sezoane!C14&lt;=Sezoane!D13,"⚠ se suprapune / neordonat","OK"))))</f>
        <v/>
      </c>
      <c r="E11" s="46" t="str">
        <f aca="false">IF(Sezoane!$A$13="","",IF(Sezoane!A14="","ultimul sezon",Sezoane!C14-Sezoane!D13-1))</f>
        <v/>
      </c>
      <c r="F11" s="46" t="str">
        <f aca="false">IF(Sezoane!$A$13="","",IF(ISNUMBER(INDEX(Sezoane!G13:L13,1,MAX(1,Sezoane!F13-1))),"OK",IF(COUNT(Sezoane!G13:L13)=0,"OK (fără reduceri)","⚠ pune 0% la durata minimă")))</f>
        <v/>
      </c>
      <c r="G11" s="46" t="str">
        <f aca="false">IF(Sezoane!$A$13="","",IF(AND(D11="OK",OR(E11="ultimul sezon",E11=0)),"OK","⚠ verifică"))</f>
        <v/>
      </c>
      <c r="H11" s="2"/>
      <c r="I11" s="2"/>
    </row>
    <row r="12" customFormat="false" ht="15" hidden="false" customHeight="false" outlineLevel="0" collapsed="false">
      <c r="A12" s="46" t="str">
        <f aca="false">IF(Sezoane!$A$14="","",Sezoane!A14)</f>
        <v/>
      </c>
      <c r="B12" s="39" t="str">
        <f aca="false">IF(Sezoane!$A$14="","",Sezoane!C14)</f>
        <v/>
      </c>
      <c r="C12" s="39" t="str">
        <f aca="false">IF(Sezoane!$A$14="","",Sezoane!D14)</f>
        <v/>
      </c>
      <c r="D12" s="46" t="str">
        <f aca="false">IF(Sezoane!$A$14="","",IF(Sezoane!D14&lt;Sezoane!C14,"⚠ sfârșit înainte de început",IF(OR(Sezoane!A15="",15&gt;40),"OK",IF(Sezoane!C15&lt;=Sezoane!D14,"⚠ se suprapune / neordonat","OK"))))</f>
        <v/>
      </c>
      <c r="E12" s="46" t="str">
        <f aca="false">IF(Sezoane!$A$14="","",IF(Sezoane!A15="","ultimul sezon",Sezoane!C15-Sezoane!D14-1))</f>
        <v/>
      </c>
      <c r="F12" s="46" t="str">
        <f aca="false">IF(Sezoane!$A$14="","",IF(ISNUMBER(INDEX(Sezoane!G14:L14,1,MAX(1,Sezoane!F14-1))),"OK",IF(COUNT(Sezoane!G14:L14)=0,"OK (fără reduceri)","⚠ pune 0% la durata minimă")))</f>
        <v/>
      </c>
      <c r="G12" s="46" t="str">
        <f aca="false">IF(Sezoane!$A$14="","",IF(AND(D12="OK",OR(E12="ultimul sezon",E12=0)),"OK","⚠ verifică"))</f>
        <v/>
      </c>
      <c r="H12" s="2"/>
      <c r="I12" s="2"/>
    </row>
    <row r="13" customFormat="false" ht="15" hidden="false" customHeight="false" outlineLevel="0" collapsed="false">
      <c r="A13" s="46" t="str">
        <f aca="false">IF(Sezoane!$A$15="","",Sezoane!A15)</f>
        <v/>
      </c>
      <c r="B13" s="39" t="str">
        <f aca="false">IF(Sezoane!$A$15="","",Sezoane!C15)</f>
        <v/>
      </c>
      <c r="C13" s="39" t="str">
        <f aca="false">IF(Sezoane!$A$15="","",Sezoane!D15)</f>
        <v/>
      </c>
      <c r="D13" s="46" t="str">
        <f aca="false">IF(Sezoane!$A$15="","",IF(Sezoane!D15&lt;Sezoane!C15,"⚠ sfârșit înainte de început",IF(OR(Sezoane!A16="",16&gt;40),"OK",IF(Sezoane!C16&lt;=Sezoane!D15,"⚠ se suprapune / neordonat","OK"))))</f>
        <v/>
      </c>
      <c r="E13" s="46" t="str">
        <f aca="false">IF(Sezoane!$A$15="","",IF(Sezoane!A16="","ultimul sezon",Sezoane!C16-Sezoane!D15-1))</f>
        <v/>
      </c>
      <c r="F13" s="46" t="str">
        <f aca="false">IF(Sezoane!$A$15="","",IF(ISNUMBER(INDEX(Sezoane!G15:L15,1,MAX(1,Sezoane!F15-1))),"OK",IF(COUNT(Sezoane!G15:L15)=0,"OK (fără reduceri)","⚠ pune 0% la durata minimă")))</f>
        <v/>
      </c>
      <c r="G13" s="46" t="str">
        <f aca="false">IF(Sezoane!$A$15="","",IF(AND(D13="OK",OR(E13="ultimul sezon",E13=0)),"OK","⚠ verifică"))</f>
        <v/>
      </c>
      <c r="H13" s="2"/>
      <c r="I13" s="2"/>
    </row>
    <row r="14" customFormat="false" ht="15" hidden="false" customHeight="false" outlineLevel="0" collapsed="false">
      <c r="A14" s="46" t="str">
        <f aca="false">IF(Sezoane!$A$16="","",Sezoane!A16)</f>
        <v/>
      </c>
      <c r="B14" s="39" t="str">
        <f aca="false">IF(Sezoane!$A$16="","",Sezoane!C16)</f>
        <v/>
      </c>
      <c r="C14" s="39" t="str">
        <f aca="false">IF(Sezoane!$A$16="","",Sezoane!D16)</f>
        <v/>
      </c>
      <c r="D14" s="46" t="str">
        <f aca="false">IF(Sezoane!$A$16="","",IF(Sezoane!D16&lt;Sezoane!C16,"⚠ sfârșit înainte de început",IF(OR(Sezoane!A17="",17&gt;40),"OK",IF(Sezoane!C17&lt;=Sezoane!D16,"⚠ se suprapune / neordonat","OK"))))</f>
        <v/>
      </c>
      <c r="E14" s="46" t="str">
        <f aca="false">IF(Sezoane!$A$16="","",IF(Sezoane!A17="","ultimul sezon",Sezoane!C17-Sezoane!D16-1))</f>
        <v/>
      </c>
      <c r="F14" s="46" t="str">
        <f aca="false">IF(Sezoane!$A$16="","",IF(ISNUMBER(INDEX(Sezoane!G16:L16,1,MAX(1,Sezoane!F16-1))),"OK",IF(COUNT(Sezoane!G16:L16)=0,"OK (fără reduceri)","⚠ pune 0% la durata minimă")))</f>
        <v/>
      </c>
      <c r="G14" s="46" t="str">
        <f aca="false">IF(Sezoane!$A$16="","",IF(AND(D14="OK",OR(E14="ultimul sezon",E14=0)),"OK","⚠ verifică"))</f>
        <v/>
      </c>
      <c r="H14" s="2"/>
      <c r="I14" s="2"/>
    </row>
    <row r="15" customFormat="false" ht="15" hidden="false" customHeight="false" outlineLevel="0" collapsed="false">
      <c r="A15" s="46" t="str">
        <f aca="false">IF(Sezoane!$A$17="","",Sezoane!A17)</f>
        <v/>
      </c>
      <c r="B15" s="39" t="str">
        <f aca="false">IF(Sezoane!$A$17="","",Sezoane!C17)</f>
        <v/>
      </c>
      <c r="C15" s="39" t="str">
        <f aca="false">IF(Sezoane!$A$17="","",Sezoane!D17)</f>
        <v/>
      </c>
      <c r="D15" s="46" t="str">
        <f aca="false">IF(Sezoane!$A$17="","",IF(Sezoane!D17&lt;Sezoane!C17,"⚠ sfârșit înainte de început",IF(OR(Sezoane!A18="",18&gt;40),"OK",IF(Sezoane!C18&lt;=Sezoane!D17,"⚠ se suprapune / neordonat","OK"))))</f>
        <v/>
      </c>
      <c r="E15" s="46" t="str">
        <f aca="false">IF(Sezoane!$A$17="","",IF(Sezoane!A18="","ultimul sezon",Sezoane!C18-Sezoane!D17-1))</f>
        <v/>
      </c>
      <c r="F15" s="46" t="str">
        <f aca="false">IF(Sezoane!$A$17="","",IF(ISNUMBER(INDEX(Sezoane!G17:L17,1,MAX(1,Sezoane!F17-1))),"OK",IF(COUNT(Sezoane!G17:L17)=0,"OK (fără reduceri)","⚠ pune 0% la durata minimă")))</f>
        <v/>
      </c>
      <c r="G15" s="46" t="str">
        <f aca="false">IF(Sezoane!$A$17="","",IF(AND(D15="OK",OR(E15="ultimul sezon",E15=0)),"OK","⚠ verifică"))</f>
        <v/>
      </c>
      <c r="H15" s="2"/>
      <c r="I15" s="2"/>
    </row>
    <row r="16" customFormat="false" ht="15" hidden="false" customHeight="false" outlineLevel="0" collapsed="false">
      <c r="A16" s="46" t="str">
        <f aca="false">IF(Sezoane!$A$18="","",Sezoane!A18)</f>
        <v/>
      </c>
      <c r="B16" s="39" t="str">
        <f aca="false">IF(Sezoane!$A$18="","",Sezoane!C18)</f>
        <v/>
      </c>
      <c r="C16" s="39" t="str">
        <f aca="false">IF(Sezoane!$A$18="","",Sezoane!D18)</f>
        <v/>
      </c>
      <c r="D16" s="46" t="str">
        <f aca="false">IF(Sezoane!$A$18="","",IF(Sezoane!D18&lt;Sezoane!C18,"⚠ sfârșit înainte de început",IF(OR(Sezoane!A19="",19&gt;40),"OK",IF(Sezoane!C19&lt;=Sezoane!D18,"⚠ se suprapune / neordonat","OK"))))</f>
        <v/>
      </c>
      <c r="E16" s="46" t="str">
        <f aca="false">IF(Sezoane!$A$18="","",IF(Sezoane!A19="","ultimul sezon",Sezoane!C19-Sezoane!D18-1))</f>
        <v/>
      </c>
      <c r="F16" s="46" t="str">
        <f aca="false">IF(Sezoane!$A$18="","",IF(ISNUMBER(INDEX(Sezoane!G18:L18,1,MAX(1,Sezoane!F18-1))),"OK",IF(COUNT(Sezoane!G18:L18)=0,"OK (fără reduceri)","⚠ pune 0% la durata minimă")))</f>
        <v/>
      </c>
      <c r="G16" s="46" t="str">
        <f aca="false">IF(Sezoane!$A$18="","",IF(AND(D16="OK",OR(E16="ultimul sezon",E16=0)),"OK","⚠ verifică"))</f>
        <v/>
      </c>
      <c r="H16" s="2"/>
      <c r="I16" s="2"/>
    </row>
    <row r="17" customFormat="false" ht="15" hidden="false" customHeight="false" outlineLevel="0" collapsed="false">
      <c r="A17" s="46" t="str">
        <f aca="false">IF(Sezoane!$A$19="","",Sezoane!A19)</f>
        <v/>
      </c>
      <c r="B17" s="39" t="str">
        <f aca="false">IF(Sezoane!$A$19="","",Sezoane!C19)</f>
        <v/>
      </c>
      <c r="C17" s="39" t="str">
        <f aca="false">IF(Sezoane!$A$19="","",Sezoane!D19)</f>
        <v/>
      </c>
      <c r="D17" s="46" t="str">
        <f aca="false">IF(Sezoane!$A$19="","",IF(Sezoane!D19&lt;Sezoane!C19,"⚠ sfârșit înainte de început",IF(OR(Sezoane!A20="",20&gt;40),"OK",IF(Sezoane!C20&lt;=Sezoane!D19,"⚠ se suprapune / neordonat","OK"))))</f>
        <v/>
      </c>
      <c r="E17" s="46" t="str">
        <f aca="false">IF(Sezoane!$A$19="","",IF(Sezoane!A20="","ultimul sezon",Sezoane!C20-Sezoane!D19-1))</f>
        <v/>
      </c>
      <c r="F17" s="46" t="str">
        <f aca="false">IF(Sezoane!$A$19="","",IF(ISNUMBER(INDEX(Sezoane!G19:L19,1,MAX(1,Sezoane!F19-1))),"OK",IF(COUNT(Sezoane!G19:L19)=0,"OK (fără reduceri)","⚠ pune 0% la durata minimă")))</f>
        <v/>
      </c>
      <c r="G17" s="46" t="str">
        <f aca="false">IF(Sezoane!$A$19="","",IF(AND(D17="OK",OR(E17="ultimul sezon",E17=0)),"OK","⚠ verifică"))</f>
        <v/>
      </c>
      <c r="H17" s="2"/>
      <c r="I17" s="2"/>
    </row>
    <row r="18" customFormat="false" ht="15" hidden="false" customHeight="false" outlineLevel="0" collapsed="false">
      <c r="A18" s="46" t="str">
        <f aca="false">IF(Sezoane!$A$20="","",Sezoane!A20)</f>
        <v/>
      </c>
      <c r="B18" s="39" t="str">
        <f aca="false">IF(Sezoane!$A$20="","",Sezoane!C20)</f>
        <v/>
      </c>
      <c r="C18" s="39" t="str">
        <f aca="false">IF(Sezoane!$A$20="","",Sezoane!D20)</f>
        <v/>
      </c>
      <c r="D18" s="46" t="str">
        <f aca="false">IF(Sezoane!$A$20="","",IF(Sezoane!D20&lt;Sezoane!C20,"⚠ sfârșit înainte de început",IF(OR(Sezoane!A21="",21&gt;40),"OK",IF(Sezoane!C21&lt;=Sezoane!D20,"⚠ se suprapune / neordonat","OK"))))</f>
        <v/>
      </c>
      <c r="E18" s="46" t="str">
        <f aca="false">IF(Sezoane!$A$20="","",IF(Sezoane!A21="","ultimul sezon",Sezoane!C21-Sezoane!D20-1))</f>
        <v/>
      </c>
      <c r="F18" s="46" t="str">
        <f aca="false">IF(Sezoane!$A$20="","",IF(ISNUMBER(INDEX(Sezoane!G20:L20,1,MAX(1,Sezoane!F20-1))),"OK",IF(COUNT(Sezoane!G20:L20)=0,"OK (fără reduceri)","⚠ pune 0% la durata minimă")))</f>
        <v/>
      </c>
      <c r="G18" s="46" t="str">
        <f aca="false">IF(Sezoane!$A$20="","",IF(AND(D18="OK",OR(E18="ultimul sezon",E18=0)),"OK","⚠ verifică"))</f>
        <v/>
      </c>
      <c r="H18" s="2"/>
      <c r="I18" s="2"/>
    </row>
    <row r="19" customFormat="false" ht="15" hidden="false" customHeight="false" outlineLevel="0" collapsed="false">
      <c r="A19" s="46" t="str">
        <f aca="false">IF(Sezoane!$A$21="","",Sezoane!A21)</f>
        <v/>
      </c>
      <c r="B19" s="39" t="str">
        <f aca="false">IF(Sezoane!$A$21="","",Sezoane!C21)</f>
        <v/>
      </c>
      <c r="C19" s="39" t="str">
        <f aca="false">IF(Sezoane!$A$21="","",Sezoane!D21)</f>
        <v/>
      </c>
      <c r="D19" s="46" t="str">
        <f aca="false">IF(Sezoane!$A$21="","",IF(Sezoane!D21&lt;Sezoane!C21,"⚠ sfârșit înainte de început",IF(OR(Sezoane!A22="",22&gt;40),"OK",IF(Sezoane!C22&lt;=Sezoane!D21,"⚠ se suprapune / neordonat","OK"))))</f>
        <v/>
      </c>
      <c r="E19" s="46" t="str">
        <f aca="false">IF(Sezoane!$A$21="","",IF(Sezoane!A22="","ultimul sezon",Sezoane!C22-Sezoane!D21-1))</f>
        <v/>
      </c>
      <c r="F19" s="46" t="str">
        <f aca="false">IF(Sezoane!$A$21="","",IF(ISNUMBER(INDEX(Sezoane!G21:L21,1,MAX(1,Sezoane!F21-1))),"OK",IF(COUNT(Sezoane!G21:L21)=0,"OK (fără reduceri)","⚠ pune 0% la durata minimă")))</f>
        <v/>
      </c>
      <c r="G19" s="46" t="str">
        <f aca="false">IF(Sezoane!$A$21="","",IF(AND(D19="OK",OR(E19="ultimul sezon",E19=0)),"OK","⚠ verifică"))</f>
        <v/>
      </c>
      <c r="H19" s="2"/>
      <c r="I19" s="2"/>
    </row>
    <row r="20" customFormat="false" ht="15" hidden="false" customHeight="false" outlineLevel="0" collapsed="false">
      <c r="A20" s="46" t="str">
        <f aca="false">IF(Sezoane!$A$22="","",Sezoane!A22)</f>
        <v/>
      </c>
      <c r="B20" s="39" t="str">
        <f aca="false">IF(Sezoane!$A$22="","",Sezoane!C22)</f>
        <v/>
      </c>
      <c r="C20" s="39" t="str">
        <f aca="false">IF(Sezoane!$A$22="","",Sezoane!D22)</f>
        <v/>
      </c>
      <c r="D20" s="46" t="str">
        <f aca="false">IF(Sezoane!$A$22="","",IF(Sezoane!D22&lt;Sezoane!C22,"⚠ sfârșit înainte de început",IF(OR(Sezoane!A23="",23&gt;40),"OK",IF(Sezoane!C23&lt;=Sezoane!D22,"⚠ se suprapune / neordonat","OK"))))</f>
        <v/>
      </c>
      <c r="E20" s="46" t="str">
        <f aca="false">IF(Sezoane!$A$22="","",IF(Sezoane!A23="","ultimul sezon",Sezoane!C23-Sezoane!D22-1))</f>
        <v/>
      </c>
      <c r="F20" s="46" t="str">
        <f aca="false">IF(Sezoane!$A$22="","",IF(ISNUMBER(INDEX(Sezoane!G22:L22,1,MAX(1,Sezoane!F22-1))),"OK",IF(COUNT(Sezoane!G22:L22)=0,"OK (fără reduceri)","⚠ pune 0% la durata minimă")))</f>
        <v/>
      </c>
      <c r="G20" s="46" t="str">
        <f aca="false">IF(Sezoane!$A$22="","",IF(AND(D20="OK",OR(E20="ultimul sezon",E20=0)),"OK","⚠ verifică"))</f>
        <v/>
      </c>
      <c r="H20" s="2"/>
      <c r="I20" s="2"/>
    </row>
    <row r="21" customFormat="false" ht="15" hidden="false" customHeight="false" outlineLevel="0" collapsed="false">
      <c r="A21" s="46" t="str">
        <f aca="false">IF(Sezoane!$A$23="","",Sezoane!A23)</f>
        <v/>
      </c>
      <c r="B21" s="39" t="str">
        <f aca="false">IF(Sezoane!$A$23="","",Sezoane!C23)</f>
        <v/>
      </c>
      <c r="C21" s="39" t="str">
        <f aca="false">IF(Sezoane!$A$23="","",Sezoane!D23)</f>
        <v/>
      </c>
      <c r="D21" s="46" t="str">
        <f aca="false">IF(Sezoane!$A$23="","",IF(Sezoane!D23&lt;Sezoane!C23,"⚠ sfârșit înainte de început",IF(OR(Sezoane!A24="",24&gt;40),"OK",IF(Sezoane!C24&lt;=Sezoane!D23,"⚠ se suprapune / neordonat","OK"))))</f>
        <v/>
      </c>
      <c r="E21" s="46" t="str">
        <f aca="false">IF(Sezoane!$A$23="","",IF(Sezoane!A24="","ultimul sezon",Sezoane!C24-Sezoane!D23-1))</f>
        <v/>
      </c>
      <c r="F21" s="46" t="str">
        <f aca="false">IF(Sezoane!$A$23="","",IF(ISNUMBER(INDEX(Sezoane!G23:L23,1,MAX(1,Sezoane!F23-1))),"OK",IF(COUNT(Sezoane!G23:L23)=0,"OK (fără reduceri)","⚠ pune 0% la durata minimă")))</f>
        <v/>
      </c>
      <c r="G21" s="46" t="str">
        <f aca="false">IF(Sezoane!$A$23="","",IF(AND(D21="OK",OR(E21="ultimul sezon",E21=0)),"OK","⚠ verifică"))</f>
        <v/>
      </c>
      <c r="H21" s="2"/>
      <c r="I21" s="2"/>
    </row>
    <row r="22" customFormat="false" ht="15" hidden="false" customHeight="false" outlineLevel="0" collapsed="false">
      <c r="A22" s="46" t="str">
        <f aca="false">IF(Sezoane!$A$24="","",Sezoane!A24)</f>
        <v/>
      </c>
      <c r="B22" s="39" t="str">
        <f aca="false">IF(Sezoane!$A$24="","",Sezoane!C24)</f>
        <v/>
      </c>
      <c r="C22" s="39" t="str">
        <f aca="false">IF(Sezoane!$A$24="","",Sezoane!D24)</f>
        <v/>
      </c>
      <c r="D22" s="46" t="str">
        <f aca="false">IF(Sezoane!$A$24="","",IF(Sezoane!D24&lt;Sezoane!C24,"⚠ sfârșit înainte de început",IF(OR(Sezoane!A25="",25&gt;40),"OK",IF(Sezoane!C25&lt;=Sezoane!D24,"⚠ se suprapune / neordonat","OK"))))</f>
        <v/>
      </c>
      <c r="E22" s="46" t="str">
        <f aca="false">IF(Sezoane!$A$24="","",IF(Sezoane!A25="","ultimul sezon",Sezoane!C25-Sezoane!D24-1))</f>
        <v/>
      </c>
      <c r="F22" s="46" t="str">
        <f aca="false">IF(Sezoane!$A$24="","",IF(ISNUMBER(INDEX(Sezoane!G24:L24,1,MAX(1,Sezoane!F24-1))),"OK",IF(COUNT(Sezoane!G24:L24)=0,"OK (fără reduceri)","⚠ pune 0% la durata minimă")))</f>
        <v/>
      </c>
      <c r="G22" s="46" t="str">
        <f aca="false">IF(Sezoane!$A$24="","",IF(AND(D22="OK",OR(E22="ultimul sezon",E22=0)),"OK","⚠ verifică"))</f>
        <v/>
      </c>
      <c r="H22" s="2"/>
      <c r="I22" s="2"/>
    </row>
    <row r="23" customFormat="false" ht="15" hidden="false" customHeight="false" outlineLevel="0" collapsed="false">
      <c r="A23" s="46" t="str">
        <f aca="false">IF(Sezoane!$A$25="","",Sezoane!A25)</f>
        <v/>
      </c>
      <c r="B23" s="39" t="str">
        <f aca="false">IF(Sezoane!$A$25="","",Sezoane!C25)</f>
        <v/>
      </c>
      <c r="C23" s="39" t="str">
        <f aca="false">IF(Sezoane!$A$25="","",Sezoane!D25)</f>
        <v/>
      </c>
      <c r="D23" s="46" t="str">
        <f aca="false">IF(Sezoane!$A$25="","",IF(Sezoane!D25&lt;Sezoane!C25,"⚠ sfârșit înainte de început",IF(OR(Sezoane!A26="",26&gt;40),"OK",IF(Sezoane!C26&lt;=Sezoane!D25,"⚠ se suprapune / neordonat","OK"))))</f>
        <v/>
      </c>
      <c r="E23" s="46" t="str">
        <f aca="false">IF(Sezoane!$A$25="","",IF(Sezoane!A26="","ultimul sezon",Sezoane!C26-Sezoane!D25-1))</f>
        <v/>
      </c>
      <c r="F23" s="46" t="str">
        <f aca="false">IF(Sezoane!$A$25="","",IF(ISNUMBER(INDEX(Sezoane!G25:L25,1,MAX(1,Sezoane!F25-1))),"OK",IF(COUNT(Sezoane!G25:L25)=0,"OK (fără reduceri)","⚠ pune 0% la durata minimă")))</f>
        <v/>
      </c>
      <c r="G23" s="46" t="str">
        <f aca="false">IF(Sezoane!$A$25="","",IF(AND(D23="OK",OR(E23="ultimul sezon",E23=0)),"OK","⚠ verifică"))</f>
        <v/>
      </c>
      <c r="H23" s="2"/>
      <c r="I23" s="2"/>
    </row>
    <row r="24" customFormat="false" ht="15" hidden="false" customHeight="false" outlineLevel="0" collapsed="false">
      <c r="A24" s="46" t="str">
        <f aca="false">IF(Sezoane!$A$26="","",Sezoane!A26)</f>
        <v/>
      </c>
      <c r="B24" s="39" t="str">
        <f aca="false">IF(Sezoane!$A$26="","",Sezoane!C26)</f>
        <v/>
      </c>
      <c r="C24" s="39" t="str">
        <f aca="false">IF(Sezoane!$A$26="","",Sezoane!D26)</f>
        <v/>
      </c>
      <c r="D24" s="46" t="str">
        <f aca="false">IF(Sezoane!$A$26="","",IF(Sezoane!D26&lt;Sezoane!C26,"⚠ sfârșit înainte de început",IF(OR(Sezoane!A27="",27&gt;40),"OK",IF(Sezoane!C27&lt;=Sezoane!D26,"⚠ se suprapune / neordonat","OK"))))</f>
        <v/>
      </c>
      <c r="E24" s="46" t="str">
        <f aca="false">IF(Sezoane!$A$26="","",IF(Sezoane!A27="","ultimul sezon",Sezoane!C27-Sezoane!D26-1))</f>
        <v/>
      </c>
      <c r="F24" s="46" t="str">
        <f aca="false">IF(Sezoane!$A$26="","",IF(ISNUMBER(INDEX(Sezoane!G26:L26,1,MAX(1,Sezoane!F26-1))),"OK",IF(COUNT(Sezoane!G26:L26)=0,"OK (fără reduceri)","⚠ pune 0% la durata minimă")))</f>
        <v/>
      </c>
      <c r="G24" s="46" t="str">
        <f aca="false">IF(Sezoane!$A$26="","",IF(AND(D24="OK",OR(E24="ultimul sezon",E24=0)),"OK","⚠ verifică"))</f>
        <v/>
      </c>
      <c r="H24" s="2"/>
      <c r="I24" s="2"/>
    </row>
    <row r="25" customFormat="false" ht="15" hidden="false" customHeight="false" outlineLevel="0" collapsed="false">
      <c r="A25" s="46" t="str">
        <f aca="false">IF(Sezoane!$A$27="","",Sezoane!A27)</f>
        <v/>
      </c>
      <c r="B25" s="39" t="str">
        <f aca="false">IF(Sezoane!$A$27="","",Sezoane!C27)</f>
        <v/>
      </c>
      <c r="C25" s="39" t="str">
        <f aca="false">IF(Sezoane!$A$27="","",Sezoane!D27)</f>
        <v/>
      </c>
      <c r="D25" s="46" t="str">
        <f aca="false">IF(Sezoane!$A$27="","",IF(Sezoane!D27&lt;Sezoane!C27,"⚠ sfârșit înainte de început",IF(OR(Sezoane!A28="",28&gt;40),"OK",IF(Sezoane!C28&lt;=Sezoane!D27,"⚠ se suprapune / neordonat","OK"))))</f>
        <v/>
      </c>
      <c r="E25" s="46" t="str">
        <f aca="false">IF(Sezoane!$A$27="","",IF(Sezoane!A28="","ultimul sezon",Sezoane!C28-Sezoane!D27-1))</f>
        <v/>
      </c>
      <c r="F25" s="46" t="str">
        <f aca="false">IF(Sezoane!$A$27="","",IF(ISNUMBER(INDEX(Sezoane!G27:L27,1,MAX(1,Sezoane!F27-1))),"OK",IF(COUNT(Sezoane!G27:L27)=0,"OK (fără reduceri)","⚠ pune 0% la durata minimă")))</f>
        <v/>
      </c>
      <c r="G25" s="46" t="str">
        <f aca="false">IF(Sezoane!$A$27="","",IF(AND(D25="OK",OR(E25="ultimul sezon",E25=0)),"OK","⚠ verifică"))</f>
        <v/>
      </c>
      <c r="H25" s="2"/>
      <c r="I25" s="2"/>
    </row>
    <row r="26" customFormat="false" ht="15" hidden="false" customHeight="false" outlineLevel="0" collapsed="false">
      <c r="A26" s="46" t="str">
        <f aca="false">IF(Sezoane!$A$28="","",Sezoane!A28)</f>
        <v/>
      </c>
      <c r="B26" s="39" t="str">
        <f aca="false">IF(Sezoane!$A$28="","",Sezoane!C28)</f>
        <v/>
      </c>
      <c r="C26" s="39" t="str">
        <f aca="false">IF(Sezoane!$A$28="","",Sezoane!D28)</f>
        <v/>
      </c>
      <c r="D26" s="46" t="str">
        <f aca="false">IF(Sezoane!$A$28="","",IF(Sezoane!D28&lt;Sezoane!C28,"⚠ sfârșit înainte de început",IF(OR(Sezoane!A29="",29&gt;40),"OK",IF(Sezoane!C29&lt;=Sezoane!D28,"⚠ se suprapune / neordonat","OK"))))</f>
        <v/>
      </c>
      <c r="E26" s="46" t="str">
        <f aca="false">IF(Sezoane!$A$28="","",IF(Sezoane!A29="","ultimul sezon",Sezoane!C29-Sezoane!D28-1))</f>
        <v/>
      </c>
      <c r="F26" s="46" t="str">
        <f aca="false">IF(Sezoane!$A$28="","",IF(ISNUMBER(INDEX(Sezoane!G28:L28,1,MAX(1,Sezoane!F28-1))),"OK",IF(COUNT(Sezoane!G28:L28)=0,"OK (fără reduceri)","⚠ pune 0% la durata minimă")))</f>
        <v/>
      </c>
      <c r="G26" s="46" t="str">
        <f aca="false">IF(Sezoane!$A$28="","",IF(AND(D26="OK",OR(E26="ultimul sezon",E26=0)),"OK","⚠ verifică"))</f>
        <v/>
      </c>
      <c r="H26" s="2"/>
      <c r="I26" s="2"/>
    </row>
    <row r="27" customFormat="false" ht="15" hidden="false" customHeight="false" outlineLevel="0" collapsed="false">
      <c r="A27" s="46" t="str">
        <f aca="false">IF(Sezoane!$A$29="","",Sezoane!A29)</f>
        <v/>
      </c>
      <c r="B27" s="39" t="str">
        <f aca="false">IF(Sezoane!$A$29="","",Sezoane!C29)</f>
        <v/>
      </c>
      <c r="C27" s="39" t="str">
        <f aca="false">IF(Sezoane!$A$29="","",Sezoane!D29)</f>
        <v/>
      </c>
      <c r="D27" s="46" t="str">
        <f aca="false">IF(Sezoane!$A$29="","",IF(Sezoane!D29&lt;Sezoane!C29,"⚠ sfârșit înainte de început",IF(OR(Sezoane!A30="",30&gt;40),"OK",IF(Sezoane!C30&lt;=Sezoane!D29,"⚠ se suprapune / neordonat","OK"))))</f>
        <v/>
      </c>
      <c r="E27" s="46" t="str">
        <f aca="false">IF(Sezoane!$A$29="","",IF(Sezoane!A30="","ultimul sezon",Sezoane!C30-Sezoane!D29-1))</f>
        <v/>
      </c>
      <c r="F27" s="46" t="str">
        <f aca="false">IF(Sezoane!$A$29="","",IF(ISNUMBER(INDEX(Sezoane!G29:L29,1,MAX(1,Sezoane!F29-1))),"OK",IF(COUNT(Sezoane!G29:L29)=0,"OK (fără reduceri)","⚠ pune 0% la durata minimă")))</f>
        <v/>
      </c>
      <c r="G27" s="46" t="str">
        <f aca="false">IF(Sezoane!$A$29="","",IF(AND(D27="OK",OR(E27="ultimul sezon",E27=0)),"OK","⚠ verifică"))</f>
        <v/>
      </c>
      <c r="H27" s="2"/>
      <c r="I27" s="2"/>
    </row>
    <row r="28" customFormat="false" ht="15" hidden="false" customHeight="false" outlineLevel="0" collapsed="false">
      <c r="A28" s="46" t="str">
        <f aca="false">IF(Sezoane!$A$30="","",Sezoane!A30)</f>
        <v/>
      </c>
      <c r="B28" s="39" t="str">
        <f aca="false">IF(Sezoane!$A$30="","",Sezoane!C30)</f>
        <v/>
      </c>
      <c r="C28" s="39" t="str">
        <f aca="false">IF(Sezoane!$A$30="","",Sezoane!D30)</f>
        <v/>
      </c>
      <c r="D28" s="46" t="str">
        <f aca="false">IF(Sezoane!$A$30="","",IF(Sezoane!D30&lt;Sezoane!C30,"⚠ sfârșit înainte de început",IF(OR(Sezoane!A31="",31&gt;40),"OK",IF(Sezoane!C31&lt;=Sezoane!D30,"⚠ se suprapune / neordonat","OK"))))</f>
        <v/>
      </c>
      <c r="E28" s="46" t="str">
        <f aca="false">IF(Sezoane!$A$30="","",IF(Sezoane!A31="","ultimul sezon",Sezoane!C31-Sezoane!D30-1))</f>
        <v/>
      </c>
      <c r="F28" s="46" t="str">
        <f aca="false">IF(Sezoane!$A$30="","",IF(ISNUMBER(INDEX(Sezoane!G30:L30,1,MAX(1,Sezoane!F30-1))),"OK",IF(COUNT(Sezoane!G30:L30)=0,"OK (fără reduceri)","⚠ pune 0% la durata minimă")))</f>
        <v/>
      </c>
      <c r="G28" s="46" t="str">
        <f aca="false">IF(Sezoane!$A$30="","",IF(AND(D28="OK",OR(E28="ultimul sezon",E28=0)),"OK","⚠ verifică"))</f>
        <v/>
      </c>
      <c r="H28" s="2"/>
      <c r="I28" s="2"/>
    </row>
    <row r="29" customFormat="false" ht="15" hidden="false" customHeight="false" outlineLevel="0" collapsed="false">
      <c r="A29" s="46" t="str">
        <f aca="false">IF(Sezoane!$A$31="","",Sezoane!A31)</f>
        <v/>
      </c>
      <c r="B29" s="39" t="str">
        <f aca="false">IF(Sezoane!$A$31="","",Sezoane!C31)</f>
        <v/>
      </c>
      <c r="C29" s="39" t="str">
        <f aca="false">IF(Sezoane!$A$31="","",Sezoane!D31)</f>
        <v/>
      </c>
      <c r="D29" s="46" t="str">
        <f aca="false">IF(Sezoane!$A$31="","",IF(Sezoane!D31&lt;Sezoane!C31,"⚠ sfârșit înainte de început",IF(OR(Sezoane!A32="",32&gt;40),"OK",IF(Sezoane!C32&lt;=Sezoane!D31,"⚠ se suprapune / neordonat","OK"))))</f>
        <v/>
      </c>
      <c r="E29" s="46" t="str">
        <f aca="false">IF(Sezoane!$A$31="","",IF(Sezoane!A32="","ultimul sezon",Sezoane!C32-Sezoane!D31-1))</f>
        <v/>
      </c>
      <c r="F29" s="46" t="str">
        <f aca="false">IF(Sezoane!$A$31="","",IF(ISNUMBER(INDEX(Sezoane!G31:L31,1,MAX(1,Sezoane!F31-1))),"OK",IF(COUNT(Sezoane!G31:L31)=0,"OK (fără reduceri)","⚠ pune 0% la durata minimă")))</f>
        <v/>
      </c>
      <c r="G29" s="46" t="str">
        <f aca="false">IF(Sezoane!$A$31="","",IF(AND(D29="OK",OR(E29="ultimul sezon",E29=0)),"OK","⚠ verifică"))</f>
        <v/>
      </c>
      <c r="H29" s="2"/>
      <c r="I29" s="2"/>
    </row>
    <row r="30" customFormat="false" ht="15" hidden="false" customHeight="false" outlineLevel="0" collapsed="false">
      <c r="A30" s="46" t="str">
        <f aca="false">IF(Sezoane!$A$32="","",Sezoane!A32)</f>
        <v/>
      </c>
      <c r="B30" s="39" t="str">
        <f aca="false">IF(Sezoane!$A$32="","",Sezoane!C32)</f>
        <v/>
      </c>
      <c r="C30" s="39" t="str">
        <f aca="false">IF(Sezoane!$A$32="","",Sezoane!D32)</f>
        <v/>
      </c>
      <c r="D30" s="46" t="str">
        <f aca="false">IF(Sezoane!$A$32="","",IF(Sezoane!D32&lt;Sezoane!C32,"⚠ sfârșit înainte de început",IF(OR(Sezoane!A33="",33&gt;40),"OK",IF(Sezoane!C33&lt;=Sezoane!D32,"⚠ se suprapune / neordonat","OK"))))</f>
        <v/>
      </c>
      <c r="E30" s="46" t="str">
        <f aca="false">IF(Sezoane!$A$32="","",IF(Sezoane!A33="","ultimul sezon",Sezoane!C33-Sezoane!D32-1))</f>
        <v/>
      </c>
      <c r="F30" s="46" t="str">
        <f aca="false">IF(Sezoane!$A$32="","",IF(ISNUMBER(INDEX(Sezoane!G32:L32,1,MAX(1,Sezoane!F32-1))),"OK",IF(COUNT(Sezoane!G32:L32)=0,"OK (fără reduceri)","⚠ pune 0% la durata minimă")))</f>
        <v/>
      </c>
      <c r="G30" s="46" t="str">
        <f aca="false">IF(Sezoane!$A$32="","",IF(AND(D30="OK",OR(E30="ultimul sezon",E30=0)),"OK","⚠ verifică"))</f>
        <v/>
      </c>
      <c r="H30" s="2"/>
      <c r="I30" s="2"/>
    </row>
    <row r="31" customFormat="false" ht="15" hidden="false" customHeight="false" outlineLevel="0" collapsed="false">
      <c r="A31" s="46" t="str">
        <f aca="false">IF(Sezoane!$A$33="","",Sezoane!A33)</f>
        <v/>
      </c>
      <c r="B31" s="39" t="str">
        <f aca="false">IF(Sezoane!$A$33="","",Sezoane!C33)</f>
        <v/>
      </c>
      <c r="C31" s="39" t="str">
        <f aca="false">IF(Sezoane!$A$33="","",Sezoane!D33)</f>
        <v/>
      </c>
      <c r="D31" s="46" t="str">
        <f aca="false">IF(Sezoane!$A$33="","",IF(Sezoane!D33&lt;Sezoane!C33,"⚠ sfârșit înainte de început",IF(OR(Sezoane!A34="",34&gt;40),"OK",IF(Sezoane!C34&lt;=Sezoane!D33,"⚠ se suprapune / neordonat","OK"))))</f>
        <v/>
      </c>
      <c r="E31" s="46" t="str">
        <f aca="false">IF(Sezoane!$A$33="","",IF(Sezoane!A34="","ultimul sezon",Sezoane!C34-Sezoane!D33-1))</f>
        <v/>
      </c>
      <c r="F31" s="46" t="str">
        <f aca="false">IF(Sezoane!$A$33="","",IF(ISNUMBER(INDEX(Sezoane!G33:L33,1,MAX(1,Sezoane!F33-1))),"OK",IF(COUNT(Sezoane!G33:L33)=0,"OK (fără reduceri)","⚠ pune 0% la durata minimă")))</f>
        <v/>
      </c>
      <c r="G31" s="46" t="str">
        <f aca="false">IF(Sezoane!$A$33="","",IF(AND(D31="OK",OR(E31="ultimul sezon",E31=0)),"OK","⚠ verifică"))</f>
        <v/>
      </c>
      <c r="H31" s="2"/>
      <c r="I31" s="2"/>
    </row>
    <row r="32" customFormat="false" ht="15" hidden="false" customHeight="false" outlineLevel="0" collapsed="false">
      <c r="A32" s="46" t="str">
        <f aca="false">IF(Sezoane!$A$34="","",Sezoane!A34)</f>
        <v/>
      </c>
      <c r="B32" s="39" t="str">
        <f aca="false">IF(Sezoane!$A$34="","",Sezoane!C34)</f>
        <v/>
      </c>
      <c r="C32" s="39" t="str">
        <f aca="false">IF(Sezoane!$A$34="","",Sezoane!D34)</f>
        <v/>
      </c>
      <c r="D32" s="46" t="str">
        <f aca="false">IF(Sezoane!$A$34="","",IF(Sezoane!D34&lt;Sezoane!C34,"⚠ sfârșit înainte de început",IF(OR(Sezoane!A35="",35&gt;40),"OK",IF(Sezoane!C35&lt;=Sezoane!D34,"⚠ se suprapune / neordonat","OK"))))</f>
        <v/>
      </c>
      <c r="E32" s="46" t="str">
        <f aca="false">IF(Sezoane!$A$34="","",IF(Sezoane!A35="","ultimul sezon",Sezoane!C35-Sezoane!D34-1))</f>
        <v/>
      </c>
      <c r="F32" s="46" t="str">
        <f aca="false">IF(Sezoane!$A$34="","",IF(ISNUMBER(INDEX(Sezoane!G34:L34,1,MAX(1,Sezoane!F34-1))),"OK",IF(COUNT(Sezoane!G34:L34)=0,"OK (fără reduceri)","⚠ pune 0% la durata minimă")))</f>
        <v/>
      </c>
      <c r="G32" s="46" t="str">
        <f aca="false">IF(Sezoane!$A$34="","",IF(AND(D32="OK",OR(E32="ultimul sezon",E32=0)),"OK","⚠ verifică"))</f>
        <v/>
      </c>
      <c r="H32" s="2"/>
      <c r="I32" s="2"/>
    </row>
    <row r="33" customFormat="false" ht="15" hidden="false" customHeight="false" outlineLevel="0" collapsed="false">
      <c r="A33" s="46" t="str">
        <f aca="false">IF(Sezoane!$A$35="","",Sezoane!A35)</f>
        <v/>
      </c>
      <c r="B33" s="39" t="str">
        <f aca="false">IF(Sezoane!$A$35="","",Sezoane!C35)</f>
        <v/>
      </c>
      <c r="C33" s="39" t="str">
        <f aca="false">IF(Sezoane!$A$35="","",Sezoane!D35)</f>
        <v/>
      </c>
      <c r="D33" s="46" t="str">
        <f aca="false">IF(Sezoane!$A$35="","",IF(Sezoane!D35&lt;Sezoane!C35,"⚠ sfârșit înainte de început",IF(OR(Sezoane!A36="",36&gt;40),"OK",IF(Sezoane!C36&lt;=Sezoane!D35,"⚠ se suprapune / neordonat","OK"))))</f>
        <v/>
      </c>
      <c r="E33" s="46" t="str">
        <f aca="false">IF(Sezoane!$A$35="","",IF(Sezoane!A36="","ultimul sezon",Sezoane!C36-Sezoane!D35-1))</f>
        <v/>
      </c>
      <c r="F33" s="46" t="str">
        <f aca="false">IF(Sezoane!$A$35="","",IF(ISNUMBER(INDEX(Sezoane!G35:L35,1,MAX(1,Sezoane!F35-1))),"OK",IF(COUNT(Sezoane!G35:L35)=0,"OK (fără reduceri)","⚠ pune 0% la durata minimă")))</f>
        <v/>
      </c>
      <c r="G33" s="46" t="str">
        <f aca="false">IF(Sezoane!$A$35="","",IF(AND(D33="OK",OR(E33="ultimul sezon",E33=0)),"OK","⚠ verifică"))</f>
        <v/>
      </c>
      <c r="H33" s="2"/>
      <c r="I33" s="2"/>
    </row>
    <row r="34" customFormat="false" ht="15" hidden="false" customHeight="false" outlineLevel="0" collapsed="false">
      <c r="A34" s="46" t="str">
        <f aca="false">IF(Sezoane!$A$36="","",Sezoane!A36)</f>
        <v/>
      </c>
      <c r="B34" s="39" t="str">
        <f aca="false">IF(Sezoane!$A$36="","",Sezoane!C36)</f>
        <v/>
      </c>
      <c r="C34" s="39" t="str">
        <f aca="false">IF(Sezoane!$A$36="","",Sezoane!D36)</f>
        <v/>
      </c>
      <c r="D34" s="46" t="str">
        <f aca="false">IF(Sezoane!$A$36="","",IF(Sezoane!D36&lt;Sezoane!C36,"⚠ sfârșit înainte de început",IF(OR(Sezoane!A37="",37&gt;40),"OK",IF(Sezoane!C37&lt;=Sezoane!D36,"⚠ se suprapune / neordonat","OK"))))</f>
        <v/>
      </c>
      <c r="E34" s="46" t="str">
        <f aca="false">IF(Sezoane!$A$36="","",IF(Sezoane!A37="","ultimul sezon",Sezoane!C37-Sezoane!D36-1))</f>
        <v/>
      </c>
      <c r="F34" s="46" t="str">
        <f aca="false">IF(Sezoane!$A$36="","",IF(ISNUMBER(INDEX(Sezoane!G36:L36,1,MAX(1,Sezoane!F36-1))),"OK",IF(COUNT(Sezoane!G36:L36)=0,"OK (fără reduceri)","⚠ pune 0% la durata minimă")))</f>
        <v/>
      </c>
      <c r="G34" s="46" t="str">
        <f aca="false">IF(Sezoane!$A$36="","",IF(AND(D34="OK",OR(E34="ultimul sezon",E34=0)),"OK","⚠ verifică"))</f>
        <v/>
      </c>
      <c r="H34" s="2"/>
      <c r="I34" s="2"/>
    </row>
    <row r="35" customFormat="false" ht="15" hidden="false" customHeight="false" outlineLevel="0" collapsed="false">
      <c r="A35" s="46" t="str">
        <f aca="false">IF(Sezoane!$A$37="","",Sezoane!A37)</f>
        <v/>
      </c>
      <c r="B35" s="39" t="str">
        <f aca="false">IF(Sezoane!$A$37="","",Sezoane!C37)</f>
        <v/>
      </c>
      <c r="C35" s="39" t="str">
        <f aca="false">IF(Sezoane!$A$37="","",Sezoane!D37)</f>
        <v/>
      </c>
      <c r="D35" s="46" t="str">
        <f aca="false">IF(Sezoane!$A$37="","",IF(Sezoane!D37&lt;Sezoane!C37,"⚠ sfârșit înainte de început",IF(OR(Sezoane!A38="",38&gt;40),"OK",IF(Sezoane!C38&lt;=Sezoane!D37,"⚠ se suprapune / neordonat","OK"))))</f>
        <v/>
      </c>
      <c r="E35" s="46" t="str">
        <f aca="false">IF(Sezoane!$A$37="","",IF(Sezoane!A38="","ultimul sezon",Sezoane!C38-Sezoane!D37-1))</f>
        <v/>
      </c>
      <c r="F35" s="46" t="str">
        <f aca="false">IF(Sezoane!$A$37="","",IF(ISNUMBER(INDEX(Sezoane!G37:L37,1,MAX(1,Sezoane!F37-1))),"OK",IF(COUNT(Sezoane!G37:L37)=0,"OK (fără reduceri)","⚠ pune 0% la durata minimă")))</f>
        <v/>
      </c>
      <c r="G35" s="46" t="str">
        <f aca="false">IF(Sezoane!$A$37="","",IF(AND(D35="OK",OR(E35="ultimul sezon",E35=0)),"OK","⚠ verifică"))</f>
        <v/>
      </c>
      <c r="H35" s="2"/>
      <c r="I35" s="2"/>
    </row>
    <row r="36" customFormat="false" ht="15" hidden="false" customHeight="false" outlineLevel="0" collapsed="false">
      <c r="A36" s="46" t="str">
        <f aca="false">IF(Sezoane!$A$38="","",Sezoane!A38)</f>
        <v/>
      </c>
      <c r="B36" s="39" t="str">
        <f aca="false">IF(Sezoane!$A$38="","",Sezoane!C38)</f>
        <v/>
      </c>
      <c r="C36" s="39" t="str">
        <f aca="false">IF(Sezoane!$A$38="","",Sezoane!D38)</f>
        <v/>
      </c>
      <c r="D36" s="46" t="str">
        <f aca="false">IF(Sezoane!$A$38="","",IF(Sezoane!D38&lt;Sezoane!C38,"⚠ sfârșit înainte de început",IF(OR(Sezoane!A39="",39&gt;40),"OK",IF(Sezoane!C39&lt;=Sezoane!D38,"⚠ se suprapune / neordonat","OK"))))</f>
        <v/>
      </c>
      <c r="E36" s="46" t="str">
        <f aca="false">IF(Sezoane!$A$38="","",IF(Sezoane!A39="","ultimul sezon",Sezoane!C39-Sezoane!D38-1))</f>
        <v/>
      </c>
      <c r="F36" s="46" t="str">
        <f aca="false">IF(Sezoane!$A$38="","",IF(ISNUMBER(INDEX(Sezoane!G38:L38,1,MAX(1,Sezoane!F38-1))),"OK",IF(COUNT(Sezoane!G38:L38)=0,"OK (fără reduceri)","⚠ pune 0% la durata minimă")))</f>
        <v/>
      </c>
      <c r="G36" s="46" t="str">
        <f aca="false">IF(Sezoane!$A$38="","",IF(AND(D36="OK",OR(E36="ultimul sezon",E36=0)),"OK","⚠ verifică"))</f>
        <v/>
      </c>
      <c r="H36" s="2"/>
      <c r="I36" s="2"/>
    </row>
    <row r="37" customFormat="false" ht="15" hidden="false" customHeight="false" outlineLevel="0" collapsed="false">
      <c r="A37" s="46" t="str">
        <f aca="false">IF(Sezoane!$A$39="","",Sezoane!A39)</f>
        <v/>
      </c>
      <c r="B37" s="39" t="str">
        <f aca="false">IF(Sezoane!$A$39="","",Sezoane!C39)</f>
        <v/>
      </c>
      <c r="C37" s="39" t="str">
        <f aca="false">IF(Sezoane!$A$39="","",Sezoane!D39)</f>
        <v/>
      </c>
      <c r="D37" s="46" t="str">
        <f aca="false">IF(Sezoane!$A$39="","",IF(Sezoane!D39&lt;Sezoane!C39,"⚠ sfârșit înainte de început",IF(OR(Sezoane!A40="",40&gt;40),"OK",IF(Sezoane!C40&lt;=Sezoane!D39,"⚠ se suprapune / neordonat","OK"))))</f>
        <v/>
      </c>
      <c r="E37" s="46" t="str">
        <f aca="false">IF(Sezoane!$A$39="","",IF(Sezoane!A40="","ultimul sezon",Sezoane!C40-Sezoane!D39-1))</f>
        <v/>
      </c>
      <c r="F37" s="46" t="str">
        <f aca="false">IF(Sezoane!$A$39="","",IF(ISNUMBER(INDEX(Sezoane!G39:L39,1,MAX(1,Sezoane!F39-1))),"OK",IF(COUNT(Sezoane!G39:L39)=0,"OK (fără reduceri)","⚠ pune 0% la durata minimă")))</f>
        <v/>
      </c>
      <c r="G37" s="46" t="str">
        <f aca="false">IF(Sezoane!$A$39="","",IF(AND(D37="OK",OR(E37="ultimul sezon",E37=0)),"OK","⚠ verifică"))</f>
        <v/>
      </c>
      <c r="H37" s="2"/>
      <c r="I37" s="2"/>
    </row>
    <row r="38" customFormat="false" ht="15" hidden="false" customHeight="false" outlineLevel="0" collapsed="false">
      <c r="A38" s="46" t="str">
        <f aca="false">IF(Sezoane!$A$40="","",Sezoane!A40)</f>
        <v/>
      </c>
      <c r="B38" s="39" t="str">
        <f aca="false">IF(Sezoane!$A$40="","",Sezoane!C40)</f>
        <v/>
      </c>
      <c r="C38" s="39" t="str">
        <f aca="false">IF(Sezoane!$A$40="","",Sezoane!D40)</f>
        <v/>
      </c>
      <c r="D38" s="46" t="str">
        <f aca="false">IF(Sezoane!$A$40="","",IF(Sezoane!D40&lt;Sezoane!C40,"⚠ sfârșit înainte de început",IF(OR(Sezoane!A41="",41&gt;40),"OK",IF(Sezoane!C41&lt;=Sezoane!D40,"⚠ se suprapune / neordonat","OK"))))</f>
        <v/>
      </c>
      <c r="E38" s="46" t="str">
        <f aca="false">IF(Sezoane!$A$40="","",IF(Sezoane!A41="","ultimul sezon",Sezoane!C41-Sezoane!D40-1))</f>
        <v/>
      </c>
      <c r="F38" s="46" t="str">
        <f aca="false">IF(Sezoane!$A$40="","",IF(ISNUMBER(INDEX(Sezoane!G40:L40,1,MAX(1,Sezoane!F40-1))),"OK",IF(COUNT(Sezoane!G40:L40)=0,"OK (fără reduceri)","⚠ pune 0% la durata minimă")))</f>
        <v/>
      </c>
      <c r="G38" s="46" t="str">
        <f aca="false">IF(Sezoane!$A$40="","",IF(AND(D38="OK",OR(E38="ultimul sezon",E38=0)),"OK","⚠ verifică"))</f>
        <v/>
      </c>
      <c r="H38" s="2"/>
      <c r="I38" s="2"/>
    </row>
  </sheetData>
  <conditionalFormatting sqref="A4:G38">
    <cfRule type="expression" priority="2" aboveAverage="0" equalAverage="0" bottom="0" percent="0" rank="0" text="" dxfId="0">
      <formula>LEFT($G4,1)="⚠"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1" t="s">
        <v>222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223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</row>
    <row r="5" customFormat="false" ht="33.75" hidden="false" customHeight="true" outlineLevel="0" collapsed="false">
      <c r="A5" s="10" t="s">
        <v>45</v>
      </c>
      <c r="B5" s="10" t="s">
        <v>224</v>
      </c>
      <c r="C5" s="10" t="s">
        <v>225</v>
      </c>
      <c r="D5" s="10" t="s">
        <v>226</v>
      </c>
      <c r="E5" s="10" t="s">
        <v>227</v>
      </c>
      <c r="F5" s="10" t="s">
        <v>228</v>
      </c>
    </row>
    <row r="6" customFormat="false" ht="15" hidden="false" customHeight="false" outlineLevel="0" collapsed="false">
      <c r="A6" s="38" t="s">
        <v>60</v>
      </c>
      <c r="B6" s="38" t="s">
        <v>229</v>
      </c>
      <c r="C6" s="48" t="n">
        <v>1130</v>
      </c>
      <c r="D6" s="48" t="n">
        <v>920</v>
      </c>
      <c r="E6" s="48" t="n">
        <v>980</v>
      </c>
      <c r="F6" s="38" t="s">
        <v>230</v>
      </c>
    </row>
    <row r="7" customFormat="false" ht="15" hidden="false" customHeight="false" outlineLevel="0" collapsed="false">
      <c r="A7" s="38" t="s">
        <v>63</v>
      </c>
      <c r="B7" s="38" t="s">
        <v>231</v>
      </c>
      <c r="C7" s="48" t="n">
        <v>1580</v>
      </c>
      <c r="D7" s="48" t="n">
        <v>1420</v>
      </c>
      <c r="E7" s="48" t="n">
        <v>1360</v>
      </c>
      <c r="F7" s="38" t="s">
        <v>232</v>
      </c>
    </row>
    <row r="8" customFormat="false" ht="15" hidden="false" customHeight="false" outlineLevel="0" collapsed="false">
      <c r="A8" s="38" t="s">
        <v>65</v>
      </c>
      <c r="B8" s="38" t="s">
        <v>233</v>
      </c>
      <c r="C8" s="48" t="n">
        <v>1500</v>
      </c>
      <c r="D8" s="48" t="n">
        <v>1700</v>
      </c>
      <c r="E8" s="48" t="n">
        <v>1700</v>
      </c>
      <c r="F8" s="38"/>
    </row>
    <row r="9" customFormat="false" ht="15" hidden="false" customHeight="false" outlineLevel="0" collapsed="false">
      <c r="A9" s="38" t="s">
        <v>68</v>
      </c>
      <c r="B9" s="38" t="s">
        <v>234</v>
      </c>
      <c r="C9" s="48" t="n">
        <v>1800</v>
      </c>
      <c r="D9" s="48" t="n">
        <v>2000</v>
      </c>
      <c r="E9" s="48" t="n">
        <v>2000</v>
      </c>
      <c r="F9" s="38"/>
    </row>
    <row r="10" customFormat="false" ht="15" hidden="false" customHeight="false" outlineLevel="0" collapsed="false">
      <c r="A10" s="38" t="s">
        <v>69</v>
      </c>
      <c r="B10" s="38" t="s">
        <v>235</v>
      </c>
      <c r="C10" s="48" t="n">
        <v>1350</v>
      </c>
      <c r="D10" s="48" t="n">
        <v>1450</v>
      </c>
      <c r="E10" s="48" t="n">
        <v>1450</v>
      </c>
      <c r="F10" s="38"/>
    </row>
    <row r="11" customFormat="false" ht="15" hidden="false" customHeight="false" outlineLevel="0" collapsed="false">
      <c r="A11" s="38" t="s">
        <v>70</v>
      </c>
      <c r="B11" s="38" t="s">
        <v>236</v>
      </c>
      <c r="C11" s="48" t="n">
        <v>1450</v>
      </c>
      <c r="D11" s="48" t="n">
        <v>1500</v>
      </c>
      <c r="E11" s="48" t="n">
        <v>1500</v>
      </c>
      <c r="F11" s="38" t="s">
        <v>237</v>
      </c>
    </row>
    <row r="12" customFormat="false" ht="15" hidden="false" customHeight="false" outlineLevel="0" collapsed="false">
      <c r="A12" s="38" t="s">
        <v>238</v>
      </c>
      <c r="B12" s="38" t="s">
        <v>239</v>
      </c>
      <c r="C12" s="48" t="n">
        <v>900</v>
      </c>
      <c r="D12" s="48" t="n">
        <v>900</v>
      </c>
      <c r="E12" s="48" t="n">
        <v>1380</v>
      </c>
      <c r="F12" s="38" t="s">
        <v>240</v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</row>
    <row r="15" customFormat="false" ht="15" hidden="false" customHeight="false" outlineLevel="0" collapsed="false">
      <c r="A15" s="4" t="s">
        <v>241</v>
      </c>
      <c r="B15" s="2"/>
      <c r="C15" s="2"/>
      <c r="D15" s="2"/>
      <c r="E15" s="2"/>
      <c r="F15" s="2"/>
    </row>
    <row r="16" customFormat="false" ht="30" hidden="false" customHeight="true" outlineLevel="0" collapsed="false">
      <c r="A16" s="49" t="s">
        <v>242</v>
      </c>
      <c r="B16" s="49"/>
      <c r="C16" s="49"/>
      <c r="D16" s="49"/>
      <c r="E16" s="49"/>
      <c r="F16" s="49"/>
    </row>
    <row r="17" customFormat="false" ht="30" hidden="false" customHeight="true" outlineLevel="0" collapsed="false">
      <c r="A17" s="49" t="s">
        <v>243</v>
      </c>
      <c r="B17" s="49"/>
      <c r="C17" s="49"/>
      <c r="D17" s="49"/>
      <c r="E17" s="49"/>
      <c r="F17" s="49"/>
    </row>
    <row r="18" customFormat="false" ht="30" hidden="false" customHeight="true" outlineLevel="0" collapsed="false">
      <c r="A18" s="49" t="s">
        <v>244</v>
      </c>
      <c r="B18" s="49"/>
      <c r="C18" s="49"/>
      <c r="D18" s="49"/>
      <c r="E18" s="49"/>
      <c r="F18" s="49"/>
    </row>
    <row r="19" customFormat="false" ht="30" hidden="false" customHeight="true" outlineLevel="0" collapsed="false">
      <c r="A19" s="49" t="s">
        <v>245</v>
      </c>
      <c r="B19" s="49"/>
      <c r="C19" s="49"/>
      <c r="D19" s="49"/>
      <c r="E19" s="49"/>
      <c r="F19" s="49"/>
    </row>
    <row r="20" customFormat="false" ht="30" hidden="false" customHeight="true" outlineLevel="0" collapsed="false">
      <c r="A20" s="49" t="s">
        <v>246</v>
      </c>
      <c r="B20" s="49"/>
      <c r="C20" s="49"/>
      <c r="D20" s="49"/>
      <c r="E20" s="49"/>
      <c r="F20" s="49"/>
    </row>
    <row r="21" customFormat="false" ht="30" hidden="false" customHeight="true" outlineLevel="0" collapsed="false">
      <c r="A21" s="49" t="s">
        <v>247</v>
      </c>
      <c r="B21" s="49"/>
      <c r="C21" s="49"/>
      <c r="D21" s="49"/>
      <c r="E21" s="49"/>
      <c r="F21" s="49"/>
    </row>
  </sheetData>
  <mergeCells count="6">
    <mergeCell ref="A16:F16"/>
    <mergeCell ref="A17:F17"/>
    <mergeCell ref="A18:F18"/>
    <mergeCell ref="A19:F19"/>
    <mergeCell ref="A20:F20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M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13" min="13" style="0" width="60"/>
  </cols>
  <sheetData>
    <row r="1" customFormat="false" ht="15" hidden="false" customHeight="false" outlineLevel="0" collapsed="false">
      <c r="A1" s="19" t="s">
        <v>248</v>
      </c>
      <c r="B1" s="19" t="s">
        <v>249</v>
      </c>
      <c r="C1" s="19" t="s">
        <v>250</v>
      </c>
      <c r="D1" s="19" t="s">
        <v>251</v>
      </c>
      <c r="E1" s="19" t="s">
        <v>252</v>
      </c>
      <c r="F1" s="19" t="s">
        <v>253</v>
      </c>
      <c r="G1" s="19" t="s">
        <v>254</v>
      </c>
      <c r="H1" s="19" t="s">
        <v>255</v>
      </c>
      <c r="I1" s="19" t="s">
        <v>256</v>
      </c>
      <c r="J1" s="19" t="s">
        <v>257</v>
      </c>
      <c r="K1" s="19" t="s">
        <v>258</v>
      </c>
      <c r="L1" s="2"/>
      <c r="M1" s="50" t="s">
        <v>259</v>
      </c>
    </row>
    <row r="2" customFormat="false" ht="15" hidden="false" customHeight="false" outlineLevel="0" collapsed="false">
      <c r="A2" s="51" t="str">
        <f aca="false">IF(Sezoane!$A$6="","",Sezoane!A6)</f>
        <v>vara-toamna-2026</v>
      </c>
      <c r="B2" s="51" t="str">
        <f aca="false">IF(Sezoane!$A$6="","",Sezoane!B6)</f>
        <v>Sezon vară</v>
      </c>
      <c r="C2" s="52" t="n">
        <f aca="false">IF(Sezoane!$A$6="","",Sezoane!C6)</f>
        <v>46204</v>
      </c>
      <c r="D2" s="52" t="n">
        <f aca="false">IF(Sezoane!$A$6="","",Sezoane!D6)</f>
        <v>46356</v>
      </c>
      <c r="E2" s="53" t="n">
        <f aca="false">IF(Sezoane!$A$6="","",Sezoane!E6)</f>
        <v>900</v>
      </c>
      <c r="F2" s="54" t="n">
        <f aca="false">IF(OR(Sezoane!$A$6="",2&lt;Sezoane!$F6),"",IF(2=Sezoane!$F6,N(Sezoane!G6),IF(N(Sezoane!G6)&gt;0,Sezoane!G6,"")))</f>
        <v>0.1</v>
      </c>
      <c r="G2" s="54" t="n">
        <f aca="false">IF(OR(Sezoane!$A$6="",3&lt;Sezoane!$F6),"",IF(3=Sezoane!$F6,N(Sezoane!H6),IF(N(Sezoane!H6)&gt;0,Sezoane!H6,"")))</f>
        <v>0.15</v>
      </c>
      <c r="H2" s="54" t="n">
        <f aca="false">IF(OR(Sezoane!$A$6="",4&lt;Sezoane!$F6),"",IF(4=Sezoane!$F6,N(Sezoane!I6),IF(N(Sezoane!I6)&gt;0,Sezoane!I6,"")))</f>
        <v>0.2</v>
      </c>
      <c r="I2" s="54" t="n">
        <f aca="false">IF(OR(Sezoane!$A$6="",5&lt;Sezoane!$F6),"",IF(5=Sezoane!$F6,N(Sezoane!J6),IF(N(Sezoane!J6)&gt;0,Sezoane!J6,"")))</f>
        <v>0.25</v>
      </c>
      <c r="J2" s="54" t="n">
        <f aca="false">IF(OR(Sezoane!$A$6="",6&lt;Sezoane!$F6),"",IF(6=Sezoane!$F6,N(Sezoane!K6),IF(N(Sezoane!K6)&gt;0,Sezoane!K6,"")))</f>
        <v>0.3</v>
      </c>
      <c r="K2" s="54" t="n">
        <f aca="false">IF(OR(Sezoane!$A$6="",7&lt;Sezoane!$F6),"",IF(7=Sezoane!$F6,N(Sezoane!L6),IF(N(Sezoane!L6)&gt;0,Sezoane!L6,"")))</f>
        <v>0.33</v>
      </c>
      <c r="L2" s="2"/>
      <c r="M2" s="2"/>
    </row>
    <row r="3" customFormat="false" ht="15" hidden="false" customHeight="false" outlineLevel="0" collapsed="false">
      <c r="A3" s="51" t="str">
        <f aca="false">IF(Sezoane!$A$7="","",Sezoane!A7)</f>
        <v>iarna-2026</v>
      </c>
      <c r="B3" s="51" t="str">
        <f aca="false">IF(Sezoane!$A$7="","",Sezoane!B7)</f>
        <v>Sezon iarnă</v>
      </c>
      <c r="C3" s="52" t="n">
        <f aca="false">IF(Sezoane!$A$7="","",Sezoane!C7)</f>
        <v>46357</v>
      </c>
      <c r="D3" s="52" t="n">
        <f aca="false">IF(Sezoane!$A$7="","",Sezoane!D7)</f>
        <v>46376</v>
      </c>
      <c r="E3" s="53" t="n">
        <f aca="false">IF(Sezoane!$A$7="","",Sezoane!E7)</f>
        <v>1250</v>
      </c>
      <c r="F3" s="54" t="n">
        <f aca="false">IF(OR(Sezoane!$A$7="",2&lt;Sezoane!$F7),"",IF(2=Sezoane!$F7,N(Sezoane!G7),IF(N(Sezoane!G7)&gt;0,Sezoane!G7,"")))</f>
        <v>0.1</v>
      </c>
      <c r="G3" s="54" t="n">
        <f aca="false">IF(OR(Sezoane!$A$7="",3&lt;Sezoane!$F7),"",IF(3=Sezoane!$F7,N(Sezoane!H7),IF(N(Sezoane!H7)&gt;0,Sezoane!H7,"")))</f>
        <v>0.15</v>
      </c>
      <c r="H3" s="54" t="n">
        <f aca="false">IF(OR(Sezoane!$A$7="",4&lt;Sezoane!$F7),"",IF(4=Sezoane!$F7,N(Sezoane!I7),IF(N(Sezoane!I7)&gt;0,Sezoane!I7,"")))</f>
        <v>0.2</v>
      </c>
      <c r="I3" s="54" t="n">
        <f aca="false">IF(OR(Sezoane!$A$7="",5&lt;Sezoane!$F7),"",IF(5=Sezoane!$F7,N(Sezoane!J7),IF(N(Sezoane!J7)&gt;0,Sezoane!J7,"")))</f>
        <v>0.25</v>
      </c>
      <c r="J3" s="54" t="n">
        <f aca="false">IF(OR(Sezoane!$A$7="",6&lt;Sezoane!$F7),"",IF(6=Sezoane!$F7,N(Sezoane!K7),IF(N(Sezoane!K7)&gt;0,Sezoane!K7,"")))</f>
        <v>0.3</v>
      </c>
      <c r="K3" s="54" t="n">
        <f aca="false">IF(OR(Sezoane!$A$7="",7&lt;Sezoane!$F7),"",IF(7=Sezoane!$F7,N(Sezoane!L7),IF(N(Sezoane!L7)&gt;0,Sezoane!L7,"")))</f>
        <v>0.33</v>
      </c>
      <c r="L3" s="2"/>
      <c r="M3" s="2"/>
    </row>
    <row r="4" customFormat="false" ht="15" hidden="false" customHeight="false" outlineLevel="0" collapsed="false">
      <c r="A4" s="51" t="str">
        <f aca="false">IF(Sezoane!$A$8="","",Sezoane!A8)</f>
        <v>Craciun-2026</v>
      </c>
      <c r="B4" s="51" t="str">
        <f aca="false">IF(Sezoane!$A$8="","",Sezoane!B8)</f>
        <v>Sezon iarnă</v>
      </c>
      <c r="C4" s="52" t="n">
        <f aca="false">IF(Sezoane!$A$8="","",Sezoane!C8)</f>
        <v>46377</v>
      </c>
      <c r="D4" s="52" t="n">
        <f aca="false">IF(Sezoane!$A$8="","",Sezoane!D8)</f>
        <v>46383</v>
      </c>
      <c r="E4" s="53" t="n">
        <f aca="false">IF(Sezoane!$A$8="","",Sezoane!E8)</f>
        <v>1500</v>
      </c>
      <c r="F4" s="54" t="str">
        <f aca="false">IF(OR(Sezoane!$A$8="",2&lt;Sezoane!$F8),"",IF(2=Sezoane!$F8,N(Sezoane!G8),IF(N(Sezoane!G8)&gt;0,Sezoane!G8,"")))</f>
        <v/>
      </c>
      <c r="G4" s="54" t="n">
        <f aca="false">IF(OR(Sezoane!$A$8="",3&lt;Sezoane!$F8),"",IF(3=Sezoane!$F8,N(Sezoane!H8),IF(N(Sezoane!H8)&gt;0,Sezoane!H8,"")))</f>
        <v>0</v>
      </c>
      <c r="H4" s="54" t="str">
        <f aca="false">IF(OR(Sezoane!$A$8="",4&lt;Sezoane!$F8),"",IF(4=Sezoane!$F8,N(Sezoane!I8),IF(N(Sezoane!I8)&gt;0,Sezoane!I8,"")))</f>
        <v/>
      </c>
      <c r="I4" s="54" t="str">
        <f aca="false">IF(OR(Sezoane!$A$8="",5&lt;Sezoane!$F8),"",IF(5=Sezoane!$F8,N(Sezoane!J8),IF(N(Sezoane!J8)&gt;0,Sezoane!J8,"")))</f>
        <v/>
      </c>
      <c r="J4" s="54" t="str">
        <f aca="false">IF(OR(Sezoane!$A$8="",6&lt;Sezoane!$F8),"",IF(6=Sezoane!$F8,N(Sezoane!K8),IF(N(Sezoane!K8)&gt;0,Sezoane!K8,"")))</f>
        <v/>
      </c>
      <c r="K4" s="54" t="str">
        <f aca="false">IF(OR(Sezoane!$A$8="",7&lt;Sezoane!$F8),"",IF(7=Sezoane!$F8,N(Sezoane!L8),IF(N(Sezoane!L8)&gt;0,Sezoane!L8,"")))</f>
        <v/>
      </c>
      <c r="L4" s="2"/>
      <c r="M4" s="2"/>
    </row>
    <row r="5" customFormat="false" ht="15" hidden="false" customHeight="false" outlineLevel="0" collapsed="false">
      <c r="A5" s="51" t="str">
        <f aca="false">IF(Sezoane!$A$9="","",Sezoane!A9)</f>
        <v>Revelion-2026-2027</v>
      </c>
      <c r="B5" s="51" t="str">
        <f aca="false">IF(Sezoane!$A$9="","",Sezoane!B9)</f>
        <v>Sezon iarnă</v>
      </c>
      <c r="C5" s="52" t="n">
        <f aca="false">IF(Sezoane!$A$9="","",Sezoane!C9)</f>
        <v>46384</v>
      </c>
      <c r="D5" s="52" t="n">
        <f aca="false">IF(Sezoane!$A$9="","",Sezoane!D9)</f>
        <v>46391</v>
      </c>
      <c r="E5" s="53" t="n">
        <f aca="false">IF(Sezoane!$A$9="","",Sezoane!E9)</f>
        <v>1800</v>
      </c>
      <c r="F5" s="54" t="str">
        <f aca="false">IF(OR(Sezoane!$A$9="",2&lt;Sezoane!$F9),"",IF(2=Sezoane!$F9,N(Sezoane!G9),IF(N(Sezoane!G9)&gt;0,Sezoane!G9,"")))</f>
        <v/>
      </c>
      <c r="G5" s="54" t="str">
        <f aca="false">IF(OR(Sezoane!$A$9="",3&lt;Sezoane!$F9),"",IF(3=Sezoane!$F9,N(Sezoane!H9),IF(N(Sezoane!H9)&gt;0,Sezoane!H9,"")))</f>
        <v/>
      </c>
      <c r="H5" s="54" t="n">
        <f aca="false">IF(OR(Sezoane!$A$9="",4&lt;Sezoane!$F9),"",IF(4=Sezoane!$F9,N(Sezoane!I9),IF(N(Sezoane!I9)&gt;0,Sezoane!I9,"")))</f>
        <v>0</v>
      </c>
      <c r="I5" s="54" t="str">
        <f aca="false">IF(OR(Sezoane!$A$9="",5&lt;Sezoane!$F9),"",IF(5=Sezoane!$F9,N(Sezoane!J9),IF(N(Sezoane!J9)&gt;0,Sezoane!J9,"")))</f>
        <v/>
      </c>
      <c r="J5" s="54" t="str">
        <f aca="false">IF(OR(Sezoane!$A$9="",6&lt;Sezoane!$F9),"",IF(6=Sezoane!$F9,N(Sezoane!K9),IF(N(Sezoane!K9)&gt;0,Sezoane!K9,"")))</f>
        <v/>
      </c>
      <c r="K5" s="54" t="str">
        <f aca="false">IF(OR(Sezoane!$A$9="",7&lt;Sezoane!$F9),"",IF(7=Sezoane!$F9,N(Sezoane!L9),IF(N(Sezoane!L9)&gt;0,Sezoane!L9,"")))</f>
        <v/>
      </c>
      <c r="L5" s="2"/>
      <c r="M5" s="2"/>
    </row>
    <row r="6" customFormat="false" ht="15" hidden="false" customHeight="false" outlineLevel="0" collapsed="false">
      <c r="A6" s="51" t="str">
        <f aca="false">IF(Sezoane!$A$10="","",Sezoane!A10)</f>
        <v>iarna-2027</v>
      </c>
      <c r="B6" s="51" t="str">
        <f aca="false">IF(Sezoane!$A$10="","",Sezoane!B10)</f>
        <v>Sezon iarnă</v>
      </c>
      <c r="C6" s="52" t="n">
        <f aca="false">IF(Sezoane!$A$10="","",Sezoane!C10)</f>
        <v>46392</v>
      </c>
      <c r="D6" s="52" t="n">
        <f aca="false">IF(Sezoane!$A$10="","",Sezoane!D10)</f>
        <v>46432</v>
      </c>
      <c r="E6" s="53" t="n">
        <f aca="false">IF(Sezoane!$A$10="","",Sezoane!E10)</f>
        <v>1350</v>
      </c>
      <c r="F6" s="54" t="n">
        <f aca="false">IF(OR(Sezoane!$A$10="",2&lt;Sezoane!$F10),"",IF(2=Sezoane!$F10,N(Sezoane!G10),IF(N(Sezoane!G10)&gt;0,Sezoane!G10,"")))</f>
        <v>0.1</v>
      </c>
      <c r="G6" s="54" t="n">
        <f aca="false">IF(OR(Sezoane!$A$10="",3&lt;Sezoane!$F10),"",IF(3=Sezoane!$F10,N(Sezoane!H10),IF(N(Sezoane!H10)&gt;0,Sezoane!H10,"")))</f>
        <v>0.15</v>
      </c>
      <c r="H6" s="54" t="n">
        <f aca="false">IF(OR(Sezoane!$A$10="",4&lt;Sezoane!$F10),"",IF(4=Sezoane!$F10,N(Sezoane!I10),IF(N(Sezoane!I10)&gt;0,Sezoane!I10,"")))</f>
        <v>0.2</v>
      </c>
      <c r="I6" s="54" t="n">
        <f aca="false">IF(OR(Sezoane!$A$10="",5&lt;Sezoane!$F10),"",IF(5=Sezoane!$F10,N(Sezoane!J10),IF(N(Sezoane!J10)&gt;0,Sezoane!J10,"")))</f>
        <v>0.25</v>
      </c>
      <c r="J6" s="54" t="n">
        <f aca="false">IF(OR(Sezoane!$A$10="",6&lt;Sezoane!$F10),"",IF(6=Sezoane!$F10,N(Sezoane!K10),IF(N(Sezoane!K10)&gt;0,Sezoane!K10,"")))</f>
        <v>0.3</v>
      </c>
      <c r="K6" s="54" t="n">
        <f aca="false">IF(OR(Sezoane!$A$10="",7&lt;Sezoane!$F10),"",IF(7=Sezoane!$F10,N(Sezoane!L10),IF(N(Sezoane!L10)&gt;0,Sezoane!L10,"")))</f>
        <v>0.33</v>
      </c>
      <c r="L6" s="2"/>
      <c r="M6" s="2"/>
    </row>
    <row r="7" customFormat="false" ht="15" hidden="false" customHeight="false" outlineLevel="0" collapsed="false">
      <c r="A7" s="51" t="str">
        <f aca="false">IF(Sezoane!$A$11="","",Sezoane!A11)</f>
        <v>Vacanta-schi-2027</v>
      </c>
      <c r="B7" s="51" t="str">
        <f aca="false">IF(Sezoane!$A$11="","",Sezoane!B11)</f>
        <v>Sezon iarnă</v>
      </c>
      <c r="C7" s="52" t="n">
        <f aca="false">IF(Sezoane!$A$11="","",Sezoane!C11)</f>
        <v>46433</v>
      </c>
      <c r="D7" s="52" t="n">
        <f aca="false">IF(Sezoane!$A$11="","",Sezoane!D11)</f>
        <v>46453</v>
      </c>
      <c r="E7" s="53" t="n">
        <f aca="false">IF(Sezoane!$A$11="","",Sezoane!E11)</f>
        <v>1450</v>
      </c>
      <c r="F7" s="54" t="n">
        <f aca="false">IF(OR(Sezoane!$A$11="",2&lt;Sezoane!$F11),"",IF(2=Sezoane!$F11,N(Sezoane!G11),IF(N(Sezoane!G11)&gt;0,Sezoane!G11,"")))</f>
        <v>0.1</v>
      </c>
      <c r="G7" s="54" t="n">
        <f aca="false">IF(OR(Sezoane!$A$11="",3&lt;Sezoane!$F11),"",IF(3=Sezoane!$F11,N(Sezoane!H11),IF(N(Sezoane!H11)&gt;0,Sezoane!H11,"")))</f>
        <v>0.15</v>
      </c>
      <c r="H7" s="54" t="n">
        <f aca="false">IF(OR(Sezoane!$A$11="",4&lt;Sezoane!$F11),"",IF(4=Sezoane!$F11,N(Sezoane!I11),IF(N(Sezoane!I11)&gt;0,Sezoane!I11,"")))</f>
        <v>0.2</v>
      </c>
      <c r="I7" s="54" t="n">
        <f aca="false">IF(OR(Sezoane!$A$11="",5&lt;Sezoane!$F11),"",IF(5=Sezoane!$F11,N(Sezoane!J11),IF(N(Sezoane!J11)&gt;0,Sezoane!J11,"")))</f>
        <v>0.25</v>
      </c>
      <c r="J7" s="54" t="n">
        <f aca="false">IF(OR(Sezoane!$A$11="",6&lt;Sezoane!$F11),"",IF(6=Sezoane!$F11,N(Sezoane!K11),IF(N(Sezoane!K11)&gt;0,Sezoane!K11,"")))</f>
        <v>0.3</v>
      </c>
      <c r="K7" s="54" t="n">
        <f aca="false">IF(OR(Sezoane!$A$11="",7&lt;Sezoane!$F11),"",IF(7=Sezoane!$F11,N(Sezoane!L11),IF(N(Sezoane!L11)&gt;0,Sezoane!L11,"")))</f>
        <v>0.33</v>
      </c>
      <c r="L7" s="2"/>
      <c r="M7" s="2"/>
    </row>
    <row r="8" customFormat="false" ht="15" hidden="false" customHeight="false" outlineLevel="0" collapsed="false">
      <c r="A8" s="51" t="str">
        <f aca="false">IF(Sezoane!$A$12="","",Sezoane!A12)</f>
        <v/>
      </c>
      <c r="B8" s="51" t="str">
        <f aca="false">IF(Sezoane!$A$12="","",Sezoane!B12)</f>
        <v/>
      </c>
      <c r="C8" s="52" t="str">
        <f aca="false">IF(Sezoane!$A$12="","",Sezoane!C12)</f>
        <v/>
      </c>
      <c r="D8" s="52" t="str">
        <f aca="false">IF(Sezoane!$A$12="","",Sezoane!D12)</f>
        <v/>
      </c>
      <c r="E8" s="51" t="str">
        <f aca="false">IF(Sezoane!$A$12="","",Sezoane!E12)</f>
        <v/>
      </c>
      <c r="F8" s="54" t="str">
        <f aca="false">IF(OR(Sezoane!$A$12="",2&lt;Sezoane!$F12),"",IF(2=Sezoane!$F12,N(Sezoane!G12),IF(N(Sezoane!G12)&gt;0,Sezoane!G12,"")))</f>
        <v/>
      </c>
      <c r="G8" s="54" t="str">
        <f aca="false">IF(OR(Sezoane!$A$12="",3&lt;Sezoane!$F12),"",IF(3=Sezoane!$F12,N(Sezoane!H12),IF(N(Sezoane!H12)&gt;0,Sezoane!H12,"")))</f>
        <v/>
      </c>
      <c r="H8" s="54" t="str">
        <f aca="false">IF(OR(Sezoane!$A$12="",4&lt;Sezoane!$F12),"",IF(4=Sezoane!$F12,N(Sezoane!I12),IF(N(Sezoane!I12)&gt;0,Sezoane!I12,"")))</f>
        <v/>
      </c>
      <c r="I8" s="54" t="str">
        <f aca="false">IF(OR(Sezoane!$A$12="",5&lt;Sezoane!$F12),"",IF(5=Sezoane!$F12,N(Sezoane!J12),IF(N(Sezoane!J12)&gt;0,Sezoane!J12,"")))</f>
        <v/>
      </c>
      <c r="J8" s="54" t="str">
        <f aca="false">IF(OR(Sezoane!$A$12="",6&lt;Sezoane!$F12),"",IF(6=Sezoane!$F12,N(Sezoane!K12),IF(N(Sezoane!K12)&gt;0,Sezoane!K12,"")))</f>
        <v/>
      </c>
      <c r="K8" s="54" t="str">
        <f aca="false">IF(OR(Sezoane!$A$12="",7&lt;Sezoane!$F12),"",IF(7=Sezoane!$F12,N(Sezoane!L12),IF(N(Sezoane!L12)&gt;0,Sezoane!L12,"")))</f>
        <v/>
      </c>
      <c r="L8" s="2"/>
      <c r="M8" s="2"/>
    </row>
    <row r="9" customFormat="false" ht="15" hidden="false" customHeight="false" outlineLevel="0" collapsed="false">
      <c r="A9" s="51" t="str">
        <f aca="false">IF(Sezoane!$A$13="","",Sezoane!A13)</f>
        <v/>
      </c>
      <c r="B9" s="51" t="str">
        <f aca="false">IF(Sezoane!$A$13="","",Sezoane!B13)</f>
        <v/>
      </c>
      <c r="C9" s="52" t="str">
        <f aca="false">IF(Sezoane!$A$13="","",Sezoane!C13)</f>
        <v/>
      </c>
      <c r="D9" s="52" t="str">
        <f aca="false">IF(Sezoane!$A$13="","",Sezoane!D13)</f>
        <v/>
      </c>
      <c r="E9" s="51" t="str">
        <f aca="false">IF(Sezoane!$A$13="","",Sezoane!E13)</f>
        <v/>
      </c>
      <c r="F9" s="54" t="str">
        <f aca="false">IF(OR(Sezoane!$A$13="",2&lt;Sezoane!$F13),"",IF(2=Sezoane!$F13,N(Sezoane!G13),IF(N(Sezoane!G13)&gt;0,Sezoane!G13,"")))</f>
        <v/>
      </c>
      <c r="G9" s="54" t="str">
        <f aca="false">IF(OR(Sezoane!$A$13="",3&lt;Sezoane!$F13),"",IF(3=Sezoane!$F13,N(Sezoane!H13),IF(N(Sezoane!H13)&gt;0,Sezoane!H13,"")))</f>
        <v/>
      </c>
      <c r="H9" s="54" t="str">
        <f aca="false">IF(OR(Sezoane!$A$13="",4&lt;Sezoane!$F13),"",IF(4=Sezoane!$F13,N(Sezoane!I13),IF(N(Sezoane!I13)&gt;0,Sezoane!I13,"")))</f>
        <v/>
      </c>
      <c r="I9" s="54" t="str">
        <f aca="false">IF(OR(Sezoane!$A$13="",5&lt;Sezoane!$F13),"",IF(5=Sezoane!$F13,N(Sezoane!J13),IF(N(Sezoane!J13)&gt;0,Sezoane!J13,"")))</f>
        <v/>
      </c>
      <c r="J9" s="54" t="str">
        <f aca="false">IF(OR(Sezoane!$A$13="",6&lt;Sezoane!$F13),"",IF(6=Sezoane!$F13,N(Sezoane!K13),IF(N(Sezoane!K13)&gt;0,Sezoane!K13,"")))</f>
        <v/>
      </c>
      <c r="K9" s="54" t="str">
        <f aca="false">IF(OR(Sezoane!$A$13="",7&lt;Sezoane!$F13),"",IF(7=Sezoane!$F13,N(Sezoane!L13),IF(N(Sezoane!L13)&gt;0,Sezoane!L13,"")))</f>
        <v/>
      </c>
      <c r="L9" s="2"/>
      <c r="M9" s="2"/>
    </row>
    <row r="10" customFormat="false" ht="15" hidden="false" customHeight="false" outlineLevel="0" collapsed="false">
      <c r="A10" s="51" t="str">
        <f aca="false">IF(Sezoane!$A$14="","",Sezoane!A14)</f>
        <v/>
      </c>
      <c r="B10" s="51" t="str">
        <f aca="false">IF(Sezoane!$A$14="","",Sezoane!B14)</f>
        <v/>
      </c>
      <c r="C10" s="52" t="str">
        <f aca="false">IF(Sezoane!$A$14="","",Sezoane!C14)</f>
        <v/>
      </c>
      <c r="D10" s="52" t="str">
        <f aca="false">IF(Sezoane!$A$14="","",Sezoane!D14)</f>
        <v/>
      </c>
      <c r="E10" s="51" t="str">
        <f aca="false">IF(Sezoane!$A$14="","",Sezoane!E14)</f>
        <v/>
      </c>
      <c r="F10" s="54" t="str">
        <f aca="false">IF(OR(Sezoane!$A$14="",2&lt;Sezoane!$F14),"",IF(2=Sezoane!$F14,N(Sezoane!G14),IF(N(Sezoane!G14)&gt;0,Sezoane!G14,"")))</f>
        <v/>
      </c>
      <c r="G10" s="54" t="str">
        <f aca="false">IF(OR(Sezoane!$A$14="",3&lt;Sezoane!$F14),"",IF(3=Sezoane!$F14,N(Sezoane!H14),IF(N(Sezoane!H14)&gt;0,Sezoane!H14,"")))</f>
        <v/>
      </c>
      <c r="H10" s="54" t="str">
        <f aca="false">IF(OR(Sezoane!$A$14="",4&lt;Sezoane!$F14),"",IF(4=Sezoane!$F14,N(Sezoane!I14),IF(N(Sezoane!I14)&gt;0,Sezoane!I14,"")))</f>
        <v/>
      </c>
      <c r="I10" s="54" t="str">
        <f aca="false">IF(OR(Sezoane!$A$14="",5&lt;Sezoane!$F14),"",IF(5=Sezoane!$F14,N(Sezoane!J14),IF(N(Sezoane!J14)&gt;0,Sezoane!J14,"")))</f>
        <v/>
      </c>
      <c r="J10" s="54" t="str">
        <f aca="false">IF(OR(Sezoane!$A$14="",6&lt;Sezoane!$F14),"",IF(6=Sezoane!$F14,N(Sezoane!K14),IF(N(Sezoane!K14)&gt;0,Sezoane!K14,"")))</f>
        <v/>
      </c>
      <c r="K10" s="54" t="str">
        <f aca="false">IF(OR(Sezoane!$A$14="",7&lt;Sezoane!$F14),"",IF(7=Sezoane!$F14,N(Sezoane!L14),IF(N(Sezoane!L14)&gt;0,Sezoane!L14,"")))</f>
        <v/>
      </c>
      <c r="L10" s="2"/>
      <c r="M10" s="2"/>
    </row>
    <row r="11" customFormat="false" ht="15" hidden="false" customHeight="false" outlineLevel="0" collapsed="false">
      <c r="A11" s="51" t="str">
        <f aca="false">IF(Sezoane!$A$15="","",Sezoane!A15)</f>
        <v/>
      </c>
      <c r="B11" s="51" t="str">
        <f aca="false">IF(Sezoane!$A$15="","",Sezoane!B15)</f>
        <v/>
      </c>
      <c r="C11" s="52" t="str">
        <f aca="false">IF(Sezoane!$A$15="","",Sezoane!C15)</f>
        <v/>
      </c>
      <c r="D11" s="52" t="str">
        <f aca="false">IF(Sezoane!$A$15="","",Sezoane!D15)</f>
        <v/>
      </c>
      <c r="E11" s="51" t="str">
        <f aca="false">IF(Sezoane!$A$15="","",Sezoane!E15)</f>
        <v/>
      </c>
      <c r="F11" s="54" t="str">
        <f aca="false">IF(OR(Sezoane!$A$15="",2&lt;Sezoane!$F15),"",IF(2=Sezoane!$F15,N(Sezoane!G15),IF(N(Sezoane!G15)&gt;0,Sezoane!G15,"")))</f>
        <v/>
      </c>
      <c r="G11" s="54" t="str">
        <f aca="false">IF(OR(Sezoane!$A$15="",3&lt;Sezoane!$F15),"",IF(3=Sezoane!$F15,N(Sezoane!H15),IF(N(Sezoane!H15)&gt;0,Sezoane!H15,"")))</f>
        <v/>
      </c>
      <c r="H11" s="54" t="str">
        <f aca="false">IF(OR(Sezoane!$A$15="",4&lt;Sezoane!$F15),"",IF(4=Sezoane!$F15,N(Sezoane!I15),IF(N(Sezoane!I15)&gt;0,Sezoane!I15,"")))</f>
        <v/>
      </c>
      <c r="I11" s="54" t="str">
        <f aca="false">IF(OR(Sezoane!$A$15="",5&lt;Sezoane!$F15),"",IF(5=Sezoane!$F15,N(Sezoane!J15),IF(N(Sezoane!J15)&gt;0,Sezoane!J15,"")))</f>
        <v/>
      </c>
      <c r="J11" s="54" t="str">
        <f aca="false">IF(OR(Sezoane!$A$15="",6&lt;Sezoane!$F15),"",IF(6=Sezoane!$F15,N(Sezoane!K15),IF(N(Sezoane!K15)&gt;0,Sezoane!K15,"")))</f>
        <v/>
      </c>
      <c r="K11" s="54" t="str">
        <f aca="false">IF(OR(Sezoane!$A$15="",7&lt;Sezoane!$F15),"",IF(7=Sezoane!$F15,N(Sezoane!L15),IF(N(Sezoane!L15)&gt;0,Sezoane!L15,"")))</f>
        <v/>
      </c>
      <c r="L11" s="2"/>
      <c r="M11" s="2"/>
    </row>
    <row r="12" customFormat="false" ht="15" hidden="false" customHeight="false" outlineLevel="0" collapsed="false">
      <c r="A12" s="51" t="str">
        <f aca="false">IF(Sezoane!$A$16="","",Sezoane!A16)</f>
        <v/>
      </c>
      <c r="B12" s="51" t="str">
        <f aca="false">IF(Sezoane!$A$16="","",Sezoane!B16)</f>
        <v/>
      </c>
      <c r="C12" s="52" t="str">
        <f aca="false">IF(Sezoane!$A$16="","",Sezoane!C16)</f>
        <v/>
      </c>
      <c r="D12" s="52" t="str">
        <f aca="false">IF(Sezoane!$A$16="","",Sezoane!D16)</f>
        <v/>
      </c>
      <c r="E12" s="51" t="str">
        <f aca="false">IF(Sezoane!$A$16="","",Sezoane!E16)</f>
        <v/>
      </c>
      <c r="F12" s="54" t="str">
        <f aca="false">IF(OR(Sezoane!$A$16="",2&lt;Sezoane!$F16),"",IF(2=Sezoane!$F16,N(Sezoane!G16),IF(N(Sezoane!G16)&gt;0,Sezoane!G16,"")))</f>
        <v/>
      </c>
      <c r="G12" s="54" t="str">
        <f aca="false">IF(OR(Sezoane!$A$16="",3&lt;Sezoane!$F16),"",IF(3=Sezoane!$F16,N(Sezoane!H16),IF(N(Sezoane!H16)&gt;0,Sezoane!H16,"")))</f>
        <v/>
      </c>
      <c r="H12" s="54" t="str">
        <f aca="false">IF(OR(Sezoane!$A$16="",4&lt;Sezoane!$F16),"",IF(4=Sezoane!$F16,N(Sezoane!I16),IF(N(Sezoane!I16)&gt;0,Sezoane!I16,"")))</f>
        <v/>
      </c>
      <c r="I12" s="54" t="str">
        <f aca="false">IF(OR(Sezoane!$A$16="",5&lt;Sezoane!$F16),"",IF(5=Sezoane!$F16,N(Sezoane!J16),IF(N(Sezoane!J16)&gt;0,Sezoane!J16,"")))</f>
        <v/>
      </c>
      <c r="J12" s="54" t="str">
        <f aca="false">IF(OR(Sezoane!$A$16="",6&lt;Sezoane!$F16),"",IF(6=Sezoane!$F16,N(Sezoane!K16),IF(N(Sezoane!K16)&gt;0,Sezoane!K16,"")))</f>
        <v/>
      </c>
      <c r="K12" s="54" t="str">
        <f aca="false">IF(OR(Sezoane!$A$16="",7&lt;Sezoane!$F16),"",IF(7=Sezoane!$F16,N(Sezoane!L16),IF(N(Sezoane!L16)&gt;0,Sezoane!L16,"")))</f>
        <v/>
      </c>
      <c r="L12" s="2"/>
      <c r="M12" s="2"/>
    </row>
    <row r="13" customFormat="false" ht="15" hidden="false" customHeight="false" outlineLevel="0" collapsed="false">
      <c r="A13" s="51" t="str">
        <f aca="false">IF(Sezoane!$A$17="","",Sezoane!A17)</f>
        <v/>
      </c>
      <c r="B13" s="51" t="str">
        <f aca="false">IF(Sezoane!$A$17="","",Sezoane!B17)</f>
        <v/>
      </c>
      <c r="C13" s="52" t="str">
        <f aca="false">IF(Sezoane!$A$17="","",Sezoane!C17)</f>
        <v/>
      </c>
      <c r="D13" s="52" t="str">
        <f aca="false">IF(Sezoane!$A$17="","",Sezoane!D17)</f>
        <v/>
      </c>
      <c r="E13" s="51" t="str">
        <f aca="false">IF(Sezoane!$A$17="","",Sezoane!E17)</f>
        <v/>
      </c>
      <c r="F13" s="54" t="str">
        <f aca="false">IF(OR(Sezoane!$A$17="",2&lt;Sezoane!$F17),"",IF(2=Sezoane!$F17,N(Sezoane!G17),IF(N(Sezoane!G17)&gt;0,Sezoane!G17,"")))</f>
        <v/>
      </c>
      <c r="G13" s="54" t="str">
        <f aca="false">IF(OR(Sezoane!$A$17="",3&lt;Sezoane!$F17),"",IF(3=Sezoane!$F17,N(Sezoane!H17),IF(N(Sezoane!H17)&gt;0,Sezoane!H17,"")))</f>
        <v/>
      </c>
      <c r="H13" s="54" t="str">
        <f aca="false">IF(OR(Sezoane!$A$17="",4&lt;Sezoane!$F17),"",IF(4=Sezoane!$F17,N(Sezoane!I17),IF(N(Sezoane!I17)&gt;0,Sezoane!I17,"")))</f>
        <v/>
      </c>
      <c r="I13" s="54" t="str">
        <f aca="false">IF(OR(Sezoane!$A$17="",5&lt;Sezoane!$F17),"",IF(5=Sezoane!$F17,N(Sezoane!J17),IF(N(Sezoane!J17)&gt;0,Sezoane!J17,"")))</f>
        <v/>
      </c>
      <c r="J13" s="54" t="str">
        <f aca="false">IF(OR(Sezoane!$A$17="",6&lt;Sezoane!$F17),"",IF(6=Sezoane!$F17,N(Sezoane!K17),IF(N(Sezoane!K17)&gt;0,Sezoane!K17,"")))</f>
        <v/>
      </c>
      <c r="K13" s="54" t="str">
        <f aca="false">IF(OR(Sezoane!$A$17="",7&lt;Sezoane!$F17),"",IF(7=Sezoane!$F17,N(Sezoane!L17),IF(N(Sezoane!L17)&gt;0,Sezoane!L17,"")))</f>
        <v/>
      </c>
      <c r="L13" s="2"/>
      <c r="M13" s="2"/>
    </row>
    <row r="14" customFormat="false" ht="15" hidden="false" customHeight="false" outlineLevel="0" collapsed="false">
      <c r="A14" s="51" t="str">
        <f aca="false">IF(Sezoane!$A$18="","",Sezoane!A18)</f>
        <v/>
      </c>
      <c r="B14" s="51" t="str">
        <f aca="false">IF(Sezoane!$A$18="","",Sezoane!B18)</f>
        <v/>
      </c>
      <c r="C14" s="52" t="str">
        <f aca="false">IF(Sezoane!$A$18="","",Sezoane!C18)</f>
        <v/>
      </c>
      <c r="D14" s="52" t="str">
        <f aca="false">IF(Sezoane!$A$18="","",Sezoane!D18)</f>
        <v/>
      </c>
      <c r="E14" s="51" t="str">
        <f aca="false">IF(Sezoane!$A$18="","",Sezoane!E18)</f>
        <v/>
      </c>
      <c r="F14" s="54" t="str">
        <f aca="false">IF(OR(Sezoane!$A$18="",2&lt;Sezoane!$F18),"",IF(2=Sezoane!$F18,N(Sezoane!G18),IF(N(Sezoane!G18)&gt;0,Sezoane!G18,"")))</f>
        <v/>
      </c>
      <c r="G14" s="54" t="str">
        <f aca="false">IF(OR(Sezoane!$A$18="",3&lt;Sezoane!$F18),"",IF(3=Sezoane!$F18,N(Sezoane!H18),IF(N(Sezoane!H18)&gt;0,Sezoane!H18,"")))</f>
        <v/>
      </c>
      <c r="H14" s="54" t="str">
        <f aca="false">IF(OR(Sezoane!$A$18="",4&lt;Sezoane!$F18),"",IF(4=Sezoane!$F18,N(Sezoane!I18),IF(N(Sezoane!I18)&gt;0,Sezoane!I18,"")))</f>
        <v/>
      </c>
      <c r="I14" s="54" t="str">
        <f aca="false">IF(OR(Sezoane!$A$18="",5&lt;Sezoane!$F18),"",IF(5=Sezoane!$F18,N(Sezoane!J18),IF(N(Sezoane!J18)&gt;0,Sezoane!J18,"")))</f>
        <v/>
      </c>
      <c r="J14" s="54" t="str">
        <f aca="false">IF(OR(Sezoane!$A$18="",6&lt;Sezoane!$F18),"",IF(6=Sezoane!$F18,N(Sezoane!K18),IF(N(Sezoane!K18)&gt;0,Sezoane!K18,"")))</f>
        <v/>
      </c>
      <c r="K14" s="54" t="str">
        <f aca="false">IF(OR(Sezoane!$A$18="",7&lt;Sezoane!$F18),"",IF(7=Sezoane!$F18,N(Sezoane!L18),IF(N(Sezoane!L18)&gt;0,Sezoane!L18,"")))</f>
        <v/>
      </c>
      <c r="L14" s="2"/>
      <c r="M14" s="2"/>
    </row>
    <row r="15" customFormat="false" ht="15" hidden="false" customHeight="false" outlineLevel="0" collapsed="false">
      <c r="A15" s="51" t="str">
        <f aca="false">IF(Sezoane!$A$19="","",Sezoane!A19)</f>
        <v/>
      </c>
      <c r="B15" s="51" t="str">
        <f aca="false">IF(Sezoane!$A$19="","",Sezoane!B19)</f>
        <v/>
      </c>
      <c r="C15" s="52" t="str">
        <f aca="false">IF(Sezoane!$A$19="","",Sezoane!C19)</f>
        <v/>
      </c>
      <c r="D15" s="52" t="str">
        <f aca="false">IF(Sezoane!$A$19="","",Sezoane!D19)</f>
        <v/>
      </c>
      <c r="E15" s="51" t="str">
        <f aca="false">IF(Sezoane!$A$19="","",Sezoane!E19)</f>
        <v/>
      </c>
      <c r="F15" s="54" t="str">
        <f aca="false">IF(OR(Sezoane!$A$19="",2&lt;Sezoane!$F19),"",IF(2=Sezoane!$F19,N(Sezoane!G19),IF(N(Sezoane!G19)&gt;0,Sezoane!G19,"")))</f>
        <v/>
      </c>
      <c r="G15" s="54" t="str">
        <f aca="false">IF(OR(Sezoane!$A$19="",3&lt;Sezoane!$F19),"",IF(3=Sezoane!$F19,N(Sezoane!H19),IF(N(Sezoane!H19)&gt;0,Sezoane!H19,"")))</f>
        <v/>
      </c>
      <c r="H15" s="54" t="str">
        <f aca="false">IF(OR(Sezoane!$A$19="",4&lt;Sezoane!$F19),"",IF(4=Sezoane!$F19,N(Sezoane!I19),IF(N(Sezoane!I19)&gt;0,Sezoane!I19,"")))</f>
        <v/>
      </c>
      <c r="I15" s="54" t="str">
        <f aca="false">IF(OR(Sezoane!$A$19="",5&lt;Sezoane!$F19),"",IF(5=Sezoane!$F19,N(Sezoane!J19),IF(N(Sezoane!J19)&gt;0,Sezoane!J19,"")))</f>
        <v/>
      </c>
      <c r="J15" s="54" t="str">
        <f aca="false">IF(OR(Sezoane!$A$19="",6&lt;Sezoane!$F19),"",IF(6=Sezoane!$F19,N(Sezoane!K19),IF(N(Sezoane!K19)&gt;0,Sezoane!K19,"")))</f>
        <v/>
      </c>
      <c r="K15" s="54" t="str">
        <f aca="false">IF(OR(Sezoane!$A$19="",7&lt;Sezoane!$F19),"",IF(7=Sezoane!$F19,N(Sezoane!L19),IF(N(Sezoane!L19)&gt;0,Sezoane!L19,"")))</f>
        <v/>
      </c>
      <c r="L15" s="2"/>
      <c r="M15" s="2"/>
    </row>
    <row r="16" customFormat="false" ht="15" hidden="false" customHeight="false" outlineLevel="0" collapsed="false">
      <c r="A16" s="51" t="str">
        <f aca="false">IF(Sezoane!$A$20="","",Sezoane!A20)</f>
        <v/>
      </c>
      <c r="B16" s="51" t="str">
        <f aca="false">IF(Sezoane!$A$20="","",Sezoane!B20)</f>
        <v/>
      </c>
      <c r="C16" s="52" t="str">
        <f aca="false">IF(Sezoane!$A$20="","",Sezoane!C20)</f>
        <v/>
      </c>
      <c r="D16" s="52" t="str">
        <f aca="false">IF(Sezoane!$A$20="","",Sezoane!D20)</f>
        <v/>
      </c>
      <c r="E16" s="51" t="str">
        <f aca="false">IF(Sezoane!$A$20="","",Sezoane!E20)</f>
        <v/>
      </c>
      <c r="F16" s="54" t="str">
        <f aca="false">IF(OR(Sezoane!$A$20="",2&lt;Sezoane!$F20),"",IF(2=Sezoane!$F20,N(Sezoane!G20),IF(N(Sezoane!G20)&gt;0,Sezoane!G20,"")))</f>
        <v/>
      </c>
      <c r="G16" s="54" t="str">
        <f aca="false">IF(OR(Sezoane!$A$20="",3&lt;Sezoane!$F20),"",IF(3=Sezoane!$F20,N(Sezoane!H20),IF(N(Sezoane!H20)&gt;0,Sezoane!H20,"")))</f>
        <v/>
      </c>
      <c r="H16" s="54" t="str">
        <f aca="false">IF(OR(Sezoane!$A$20="",4&lt;Sezoane!$F20),"",IF(4=Sezoane!$F20,N(Sezoane!I20),IF(N(Sezoane!I20)&gt;0,Sezoane!I20,"")))</f>
        <v/>
      </c>
      <c r="I16" s="54" t="str">
        <f aca="false">IF(OR(Sezoane!$A$20="",5&lt;Sezoane!$F20),"",IF(5=Sezoane!$F20,N(Sezoane!J20),IF(N(Sezoane!J20)&gt;0,Sezoane!J20,"")))</f>
        <v/>
      </c>
      <c r="J16" s="54" t="str">
        <f aca="false">IF(OR(Sezoane!$A$20="",6&lt;Sezoane!$F20),"",IF(6=Sezoane!$F20,N(Sezoane!K20),IF(N(Sezoane!K20)&gt;0,Sezoane!K20,"")))</f>
        <v/>
      </c>
      <c r="K16" s="54" t="str">
        <f aca="false">IF(OR(Sezoane!$A$20="",7&lt;Sezoane!$F20),"",IF(7=Sezoane!$F20,N(Sezoane!L20),IF(N(Sezoane!L20)&gt;0,Sezoane!L20,"")))</f>
        <v/>
      </c>
      <c r="L16" s="2"/>
      <c r="M16" s="2"/>
    </row>
    <row r="17" customFormat="false" ht="15" hidden="false" customHeight="false" outlineLevel="0" collapsed="false">
      <c r="A17" s="51" t="str">
        <f aca="false">IF(Sezoane!$A$21="","",Sezoane!A21)</f>
        <v/>
      </c>
      <c r="B17" s="51" t="str">
        <f aca="false">IF(Sezoane!$A$21="","",Sezoane!B21)</f>
        <v/>
      </c>
      <c r="C17" s="52" t="str">
        <f aca="false">IF(Sezoane!$A$21="","",Sezoane!C21)</f>
        <v/>
      </c>
      <c r="D17" s="52" t="str">
        <f aca="false">IF(Sezoane!$A$21="","",Sezoane!D21)</f>
        <v/>
      </c>
      <c r="E17" s="51" t="str">
        <f aca="false">IF(Sezoane!$A$21="","",Sezoane!E21)</f>
        <v/>
      </c>
      <c r="F17" s="54" t="str">
        <f aca="false">IF(OR(Sezoane!$A$21="",2&lt;Sezoane!$F21),"",IF(2=Sezoane!$F21,N(Sezoane!G21),IF(N(Sezoane!G21)&gt;0,Sezoane!G21,"")))</f>
        <v/>
      </c>
      <c r="G17" s="54" t="str">
        <f aca="false">IF(OR(Sezoane!$A$21="",3&lt;Sezoane!$F21),"",IF(3=Sezoane!$F21,N(Sezoane!H21),IF(N(Sezoane!H21)&gt;0,Sezoane!H21,"")))</f>
        <v/>
      </c>
      <c r="H17" s="54" t="str">
        <f aca="false">IF(OR(Sezoane!$A$21="",4&lt;Sezoane!$F21),"",IF(4=Sezoane!$F21,N(Sezoane!I21),IF(N(Sezoane!I21)&gt;0,Sezoane!I21,"")))</f>
        <v/>
      </c>
      <c r="I17" s="54" t="str">
        <f aca="false">IF(OR(Sezoane!$A$21="",5&lt;Sezoane!$F21),"",IF(5=Sezoane!$F21,N(Sezoane!J21),IF(N(Sezoane!J21)&gt;0,Sezoane!J21,"")))</f>
        <v/>
      </c>
      <c r="J17" s="54" t="str">
        <f aca="false">IF(OR(Sezoane!$A$21="",6&lt;Sezoane!$F21),"",IF(6=Sezoane!$F21,N(Sezoane!K21),IF(N(Sezoane!K21)&gt;0,Sezoane!K21,"")))</f>
        <v/>
      </c>
      <c r="K17" s="54" t="str">
        <f aca="false">IF(OR(Sezoane!$A$21="",7&lt;Sezoane!$F21),"",IF(7=Sezoane!$F21,N(Sezoane!L21),IF(N(Sezoane!L21)&gt;0,Sezoane!L21,"")))</f>
        <v/>
      </c>
      <c r="L17" s="2"/>
      <c r="M17" s="2"/>
    </row>
    <row r="18" customFormat="false" ht="15" hidden="false" customHeight="false" outlineLevel="0" collapsed="false">
      <c r="A18" s="51" t="str">
        <f aca="false">IF(Sezoane!$A$22="","",Sezoane!A22)</f>
        <v/>
      </c>
      <c r="B18" s="51" t="str">
        <f aca="false">IF(Sezoane!$A$22="","",Sezoane!B22)</f>
        <v/>
      </c>
      <c r="C18" s="52" t="str">
        <f aca="false">IF(Sezoane!$A$22="","",Sezoane!C22)</f>
        <v/>
      </c>
      <c r="D18" s="52" t="str">
        <f aca="false">IF(Sezoane!$A$22="","",Sezoane!D22)</f>
        <v/>
      </c>
      <c r="E18" s="51" t="str">
        <f aca="false">IF(Sezoane!$A$22="","",Sezoane!E22)</f>
        <v/>
      </c>
      <c r="F18" s="54" t="str">
        <f aca="false">IF(OR(Sezoane!$A$22="",2&lt;Sezoane!$F22),"",IF(2=Sezoane!$F22,N(Sezoane!G22),IF(N(Sezoane!G22)&gt;0,Sezoane!G22,"")))</f>
        <v/>
      </c>
      <c r="G18" s="54" t="str">
        <f aca="false">IF(OR(Sezoane!$A$22="",3&lt;Sezoane!$F22),"",IF(3=Sezoane!$F22,N(Sezoane!H22),IF(N(Sezoane!H22)&gt;0,Sezoane!H22,"")))</f>
        <v/>
      </c>
      <c r="H18" s="54" t="str">
        <f aca="false">IF(OR(Sezoane!$A$22="",4&lt;Sezoane!$F22),"",IF(4=Sezoane!$F22,N(Sezoane!I22),IF(N(Sezoane!I22)&gt;0,Sezoane!I22,"")))</f>
        <v/>
      </c>
      <c r="I18" s="54" t="str">
        <f aca="false">IF(OR(Sezoane!$A$22="",5&lt;Sezoane!$F22),"",IF(5=Sezoane!$F22,N(Sezoane!J22),IF(N(Sezoane!J22)&gt;0,Sezoane!J22,"")))</f>
        <v/>
      </c>
      <c r="J18" s="54" t="str">
        <f aca="false">IF(OR(Sezoane!$A$22="",6&lt;Sezoane!$F22),"",IF(6=Sezoane!$F22,N(Sezoane!K22),IF(N(Sezoane!K22)&gt;0,Sezoane!K22,"")))</f>
        <v/>
      </c>
      <c r="K18" s="54" t="str">
        <f aca="false">IF(OR(Sezoane!$A$22="",7&lt;Sezoane!$F22),"",IF(7=Sezoane!$F22,N(Sezoane!L22),IF(N(Sezoane!L22)&gt;0,Sezoane!L22,"")))</f>
        <v/>
      </c>
      <c r="L18" s="2"/>
      <c r="M18" s="2"/>
    </row>
    <row r="19" customFormat="false" ht="15" hidden="false" customHeight="false" outlineLevel="0" collapsed="false">
      <c r="A19" s="51" t="str">
        <f aca="false">IF(Sezoane!$A$23="","",Sezoane!A23)</f>
        <v/>
      </c>
      <c r="B19" s="51" t="str">
        <f aca="false">IF(Sezoane!$A$23="","",Sezoane!B23)</f>
        <v/>
      </c>
      <c r="C19" s="52" t="str">
        <f aca="false">IF(Sezoane!$A$23="","",Sezoane!C23)</f>
        <v/>
      </c>
      <c r="D19" s="52" t="str">
        <f aca="false">IF(Sezoane!$A$23="","",Sezoane!D23)</f>
        <v/>
      </c>
      <c r="E19" s="51" t="str">
        <f aca="false">IF(Sezoane!$A$23="","",Sezoane!E23)</f>
        <v/>
      </c>
      <c r="F19" s="54" t="str">
        <f aca="false">IF(OR(Sezoane!$A$23="",2&lt;Sezoane!$F23),"",IF(2=Sezoane!$F23,N(Sezoane!G23),IF(N(Sezoane!G23)&gt;0,Sezoane!G23,"")))</f>
        <v/>
      </c>
      <c r="G19" s="54" t="str">
        <f aca="false">IF(OR(Sezoane!$A$23="",3&lt;Sezoane!$F23),"",IF(3=Sezoane!$F23,N(Sezoane!H23),IF(N(Sezoane!H23)&gt;0,Sezoane!H23,"")))</f>
        <v/>
      </c>
      <c r="H19" s="54" t="str">
        <f aca="false">IF(OR(Sezoane!$A$23="",4&lt;Sezoane!$F23),"",IF(4=Sezoane!$F23,N(Sezoane!I23),IF(N(Sezoane!I23)&gt;0,Sezoane!I23,"")))</f>
        <v/>
      </c>
      <c r="I19" s="54" t="str">
        <f aca="false">IF(OR(Sezoane!$A$23="",5&lt;Sezoane!$F23),"",IF(5=Sezoane!$F23,N(Sezoane!J23),IF(N(Sezoane!J23)&gt;0,Sezoane!J23,"")))</f>
        <v/>
      </c>
      <c r="J19" s="54" t="str">
        <f aca="false">IF(OR(Sezoane!$A$23="",6&lt;Sezoane!$F23),"",IF(6=Sezoane!$F23,N(Sezoane!K23),IF(N(Sezoane!K23)&gt;0,Sezoane!K23,"")))</f>
        <v/>
      </c>
      <c r="K19" s="54" t="str">
        <f aca="false">IF(OR(Sezoane!$A$23="",7&lt;Sezoane!$F23),"",IF(7=Sezoane!$F23,N(Sezoane!L23),IF(N(Sezoane!L23)&gt;0,Sezoane!L23,"")))</f>
        <v/>
      </c>
      <c r="L19" s="2"/>
      <c r="M19" s="2"/>
    </row>
    <row r="20" customFormat="false" ht="15" hidden="false" customHeight="false" outlineLevel="0" collapsed="false">
      <c r="A20" s="51" t="str">
        <f aca="false">IF(Sezoane!$A$24="","",Sezoane!A24)</f>
        <v/>
      </c>
      <c r="B20" s="51" t="str">
        <f aca="false">IF(Sezoane!$A$24="","",Sezoane!B24)</f>
        <v/>
      </c>
      <c r="C20" s="52" t="str">
        <f aca="false">IF(Sezoane!$A$24="","",Sezoane!C24)</f>
        <v/>
      </c>
      <c r="D20" s="52" t="str">
        <f aca="false">IF(Sezoane!$A$24="","",Sezoane!D24)</f>
        <v/>
      </c>
      <c r="E20" s="51" t="str">
        <f aca="false">IF(Sezoane!$A$24="","",Sezoane!E24)</f>
        <v/>
      </c>
      <c r="F20" s="54" t="str">
        <f aca="false">IF(OR(Sezoane!$A$24="",2&lt;Sezoane!$F24),"",IF(2=Sezoane!$F24,N(Sezoane!G24),IF(N(Sezoane!G24)&gt;0,Sezoane!G24,"")))</f>
        <v/>
      </c>
      <c r="G20" s="54" t="str">
        <f aca="false">IF(OR(Sezoane!$A$24="",3&lt;Sezoane!$F24),"",IF(3=Sezoane!$F24,N(Sezoane!H24),IF(N(Sezoane!H24)&gt;0,Sezoane!H24,"")))</f>
        <v/>
      </c>
      <c r="H20" s="54" t="str">
        <f aca="false">IF(OR(Sezoane!$A$24="",4&lt;Sezoane!$F24),"",IF(4=Sezoane!$F24,N(Sezoane!I24),IF(N(Sezoane!I24)&gt;0,Sezoane!I24,"")))</f>
        <v/>
      </c>
      <c r="I20" s="54" t="str">
        <f aca="false">IF(OR(Sezoane!$A$24="",5&lt;Sezoane!$F24),"",IF(5=Sezoane!$F24,N(Sezoane!J24),IF(N(Sezoane!J24)&gt;0,Sezoane!J24,"")))</f>
        <v/>
      </c>
      <c r="J20" s="54" t="str">
        <f aca="false">IF(OR(Sezoane!$A$24="",6&lt;Sezoane!$F24),"",IF(6=Sezoane!$F24,N(Sezoane!K24),IF(N(Sezoane!K24)&gt;0,Sezoane!K24,"")))</f>
        <v/>
      </c>
      <c r="K20" s="54" t="str">
        <f aca="false">IF(OR(Sezoane!$A$24="",7&lt;Sezoane!$F24),"",IF(7=Sezoane!$F24,N(Sezoane!L24),IF(N(Sezoane!L24)&gt;0,Sezoane!L24,"")))</f>
        <v/>
      </c>
      <c r="L20" s="2"/>
      <c r="M20" s="2"/>
    </row>
    <row r="21" customFormat="false" ht="15" hidden="false" customHeight="false" outlineLevel="0" collapsed="false">
      <c r="A21" s="51" t="str">
        <f aca="false">IF(Sezoane!$A$25="","",Sezoane!A25)</f>
        <v/>
      </c>
      <c r="B21" s="51" t="str">
        <f aca="false">IF(Sezoane!$A$25="","",Sezoane!B25)</f>
        <v/>
      </c>
      <c r="C21" s="52" t="str">
        <f aca="false">IF(Sezoane!$A$25="","",Sezoane!C25)</f>
        <v/>
      </c>
      <c r="D21" s="52" t="str">
        <f aca="false">IF(Sezoane!$A$25="","",Sezoane!D25)</f>
        <v/>
      </c>
      <c r="E21" s="51" t="str">
        <f aca="false">IF(Sezoane!$A$25="","",Sezoane!E25)</f>
        <v/>
      </c>
      <c r="F21" s="54" t="str">
        <f aca="false">IF(OR(Sezoane!$A$25="",2&lt;Sezoane!$F25),"",IF(2=Sezoane!$F25,N(Sezoane!G25),IF(N(Sezoane!G25)&gt;0,Sezoane!G25,"")))</f>
        <v/>
      </c>
      <c r="G21" s="54" t="str">
        <f aca="false">IF(OR(Sezoane!$A$25="",3&lt;Sezoane!$F25),"",IF(3=Sezoane!$F25,N(Sezoane!H25),IF(N(Sezoane!H25)&gt;0,Sezoane!H25,"")))</f>
        <v/>
      </c>
      <c r="H21" s="54" t="str">
        <f aca="false">IF(OR(Sezoane!$A$25="",4&lt;Sezoane!$F25),"",IF(4=Sezoane!$F25,N(Sezoane!I25),IF(N(Sezoane!I25)&gt;0,Sezoane!I25,"")))</f>
        <v/>
      </c>
      <c r="I21" s="54" t="str">
        <f aca="false">IF(OR(Sezoane!$A$25="",5&lt;Sezoane!$F25),"",IF(5=Sezoane!$F25,N(Sezoane!J25),IF(N(Sezoane!J25)&gt;0,Sezoane!J25,"")))</f>
        <v/>
      </c>
      <c r="J21" s="54" t="str">
        <f aca="false">IF(OR(Sezoane!$A$25="",6&lt;Sezoane!$F25),"",IF(6=Sezoane!$F25,N(Sezoane!K25),IF(N(Sezoane!K25)&gt;0,Sezoane!K25,"")))</f>
        <v/>
      </c>
      <c r="K21" s="54" t="str">
        <f aca="false">IF(OR(Sezoane!$A$25="",7&lt;Sezoane!$F25),"",IF(7=Sezoane!$F25,N(Sezoane!L25),IF(N(Sezoane!L25)&gt;0,Sezoane!L25,"")))</f>
        <v/>
      </c>
      <c r="L21" s="2"/>
      <c r="M21" s="2"/>
    </row>
    <row r="22" customFormat="false" ht="15" hidden="false" customHeight="false" outlineLevel="0" collapsed="false">
      <c r="A22" s="51" t="str">
        <f aca="false">IF(Sezoane!$A$26="","",Sezoane!A26)</f>
        <v/>
      </c>
      <c r="B22" s="51" t="str">
        <f aca="false">IF(Sezoane!$A$26="","",Sezoane!B26)</f>
        <v/>
      </c>
      <c r="C22" s="52" t="str">
        <f aca="false">IF(Sezoane!$A$26="","",Sezoane!C26)</f>
        <v/>
      </c>
      <c r="D22" s="52" t="str">
        <f aca="false">IF(Sezoane!$A$26="","",Sezoane!D26)</f>
        <v/>
      </c>
      <c r="E22" s="51" t="str">
        <f aca="false">IF(Sezoane!$A$26="","",Sezoane!E26)</f>
        <v/>
      </c>
      <c r="F22" s="54" t="str">
        <f aca="false">IF(OR(Sezoane!$A$26="",2&lt;Sezoane!$F26),"",IF(2=Sezoane!$F26,N(Sezoane!G26),IF(N(Sezoane!G26)&gt;0,Sezoane!G26,"")))</f>
        <v/>
      </c>
      <c r="G22" s="54" t="str">
        <f aca="false">IF(OR(Sezoane!$A$26="",3&lt;Sezoane!$F26),"",IF(3=Sezoane!$F26,N(Sezoane!H26),IF(N(Sezoane!H26)&gt;0,Sezoane!H26,"")))</f>
        <v/>
      </c>
      <c r="H22" s="54" t="str">
        <f aca="false">IF(OR(Sezoane!$A$26="",4&lt;Sezoane!$F26),"",IF(4=Sezoane!$F26,N(Sezoane!I26),IF(N(Sezoane!I26)&gt;0,Sezoane!I26,"")))</f>
        <v/>
      </c>
      <c r="I22" s="54" t="str">
        <f aca="false">IF(OR(Sezoane!$A$26="",5&lt;Sezoane!$F26),"",IF(5=Sezoane!$F26,N(Sezoane!J26),IF(N(Sezoane!J26)&gt;0,Sezoane!J26,"")))</f>
        <v/>
      </c>
      <c r="J22" s="54" t="str">
        <f aca="false">IF(OR(Sezoane!$A$26="",6&lt;Sezoane!$F26),"",IF(6=Sezoane!$F26,N(Sezoane!K26),IF(N(Sezoane!K26)&gt;0,Sezoane!K26,"")))</f>
        <v/>
      </c>
      <c r="K22" s="54" t="str">
        <f aca="false">IF(OR(Sezoane!$A$26="",7&lt;Sezoane!$F26),"",IF(7=Sezoane!$F26,N(Sezoane!L26),IF(N(Sezoane!L26)&gt;0,Sezoane!L26,"")))</f>
        <v/>
      </c>
      <c r="L22" s="2"/>
      <c r="M22" s="2"/>
    </row>
    <row r="23" customFormat="false" ht="15" hidden="false" customHeight="false" outlineLevel="0" collapsed="false">
      <c r="A23" s="51" t="str">
        <f aca="false">IF(Sezoane!$A$27="","",Sezoane!A27)</f>
        <v/>
      </c>
      <c r="B23" s="51" t="str">
        <f aca="false">IF(Sezoane!$A$27="","",Sezoane!B27)</f>
        <v/>
      </c>
      <c r="C23" s="52" t="str">
        <f aca="false">IF(Sezoane!$A$27="","",Sezoane!C27)</f>
        <v/>
      </c>
      <c r="D23" s="52" t="str">
        <f aca="false">IF(Sezoane!$A$27="","",Sezoane!D27)</f>
        <v/>
      </c>
      <c r="E23" s="51" t="str">
        <f aca="false">IF(Sezoane!$A$27="","",Sezoane!E27)</f>
        <v/>
      </c>
      <c r="F23" s="54" t="str">
        <f aca="false">IF(OR(Sezoane!$A$27="",2&lt;Sezoane!$F27),"",IF(2=Sezoane!$F27,N(Sezoane!G27),IF(N(Sezoane!G27)&gt;0,Sezoane!G27,"")))</f>
        <v/>
      </c>
      <c r="G23" s="54" t="str">
        <f aca="false">IF(OR(Sezoane!$A$27="",3&lt;Sezoane!$F27),"",IF(3=Sezoane!$F27,N(Sezoane!H27),IF(N(Sezoane!H27)&gt;0,Sezoane!H27,"")))</f>
        <v/>
      </c>
      <c r="H23" s="54" t="str">
        <f aca="false">IF(OR(Sezoane!$A$27="",4&lt;Sezoane!$F27),"",IF(4=Sezoane!$F27,N(Sezoane!I27),IF(N(Sezoane!I27)&gt;0,Sezoane!I27,"")))</f>
        <v/>
      </c>
      <c r="I23" s="54" t="str">
        <f aca="false">IF(OR(Sezoane!$A$27="",5&lt;Sezoane!$F27),"",IF(5=Sezoane!$F27,N(Sezoane!J27),IF(N(Sezoane!J27)&gt;0,Sezoane!J27,"")))</f>
        <v/>
      </c>
      <c r="J23" s="54" t="str">
        <f aca="false">IF(OR(Sezoane!$A$27="",6&lt;Sezoane!$F27),"",IF(6=Sezoane!$F27,N(Sezoane!K27),IF(N(Sezoane!K27)&gt;0,Sezoane!K27,"")))</f>
        <v/>
      </c>
      <c r="K23" s="54" t="str">
        <f aca="false">IF(OR(Sezoane!$A$27="",7&lt;Sezoane!$F27),"",IF(7=Sezoane!$F27,N(Sezoane!L27),IF(N(Sezoane!L27)&gt;0,Sezoane!L27,"")))</f>
        <v/>
      </c>
      <c r="L23" s="2"/>
      <c r="M23" s="2"/>
    </row>
    <row r="24" customFormat="false" ht="15" hidden="false" customHeight="false" outlineLevel="0" collapsed="false">
      <c r="A24" s="51" t="str">
        <f aca="false">IF(Sezoane!$A$28="","",Sezoane!A28)</f>
        <v/>
      </c>
      <c r="B24" s="51" t="str">
        <f aca="false">IF(Sezoane!$A$28="","",Sezoane!B28)</f>
        <v/>
      </c>
      <c r="C24" s="52" t="str">
        <f aca="false">IF(Sezoane!$A$28="","",Sezoane!C28)</f>
        <v/>
      </c>
      <c r="D24" s="52" t="str">
        <f aca="false">IF(Sezoane!$A$28="","",Sezoane!D28)</f>
        <v/>
      </c>
      <c r="E24" s="51" t="str">
        <f aca="false">IF(Sezoane!$A$28="","",Sezoane!E28)</f>
        <v/>
      </c>
      <c r="F24" s="54" t="str">
        <f aca="false">IF(OR(Sezoane!$A$28="",2&lt;Sezoane!$F28),"",IF(2=Sezoane!$F28,N(Sezoane!G28),IF(N(Sezoane!G28)&gt;0,Sezoane!G28,"")))</f>
        <v/>
      </c>
      <c r="G24" s="54" t="str">
        <f aca="false">IF(OR(Sezoane!$A$28="",3&lt;Sezoane!$F28),"",IF(3=Sezoane!$F28,N(Sezoane!H28),IF(N(Sezoane!H28)&gt;0,Sezoane!H28,"")))</f>
        <v/>
      </c>
      <c r="H24" s="54" t="str">
        <f aca="false">IF(OR(Sezoane!$A$28="",4&lt;Sezoane!$F28),"",IF(4=Sezoane!$F28,N(Sezoane!I28),IF(N(Sezoane!I28)&gt;0,Sezoane!I28,"")))</f>
        <v/>
      </c>
      <c r="I24" s="54" t="str">
        <f aca="false">IF(OR(Sezoane!$A$28="",5&lt;Sezoane!$F28),"",IF(5=Sezoane!$F28,N(Sezoane!J28),IF(N(Sezoane!J28)&gt;0,Sezoane!J28,"")))</f>
        <v/>
      </c>
      <c r="J24" s="54" t="str">
        <f aca="false">IF(OR(Sezoane!$A$28="",6&lt;Sezoane!$F28),"",IF(6=Sezoane!$F28,N(Sezoane!K28),IF(N(Sezoane!K28)&gt;0,Sezoane!K28,"")))</f>
        <v/>
      </c>
      <c r="K24" s="54" t="str">
        <f aca="false">IF(OR(Sezoane!$A$28="",7&lt;Sezoane!$F28),"",IF(7=Sezoane!$F28,N(Sezoane!L28),IF(N(Sezoane!L28)&gt;0,Sezoane!L28,"")))</f>
        <v/>
      </c>
      <c r="L24" s="2"/>
      <c r="M24" s="2"/>
    </row>
    <row r="25" customFormat="false" ht="15" hidden="false" customHeight="false" outlineLevel="0" collapsed="false">
      <c r="A25" s="51" t="str">
        <f aca="false">IF(Sezoane!$A$29="","",Sezoane!A29)</f>
        <v/>
      </c>
      <c r="B25" s="51" t="str">
        <f aca="false">IF(Sezoane!$A$29="","",Sezoane!B29)</f>
        <v/>
      </c>
      <c r="C25" s="52" t="str">
        <f aca="false">IF(Sezoane!$A$29="","",Sezoane!C29)</f>
        <v/>
      </c>
      <c r="D25" s="52" t="str">
        <f aca="false">IF(Sezoane!$A$29="","",Sezoane!D29)</f>
        <v/>
      </c>
      <c r="E25" s="51" t="str">
        <f aca="false">IF(Sezoane!$A$29="","",Sezoane!E29)</f>
        <v/>
      </c>
      <c r="F25" s="54" t="str">
        <f aca="false">IF(OR(Sezoane!$A$29="",2&lt;Sezoane!$F29),"",IF(2=Sezoane!$F29,N(Sezoane!G29),IF(N(Sezoane!G29)&gt;0,Sezoane!G29,"")))</f>
        <v/>
      </c>
      <c r="G25" s="54" t="str">
        <f aca="false">IF(OR(Sezoane!$A$29="",3&lt;Sezoane!$F29),"",IF(3=Sezoane!$F29,N(Sezoane!H29),IF(N(Sezoane!H29)&gt;0,Sezoane!H29,"")))</f>
        <v/>
      </c>
      <c r="H25" s="54" t="str">
        <f aca="false">IF(OR(Sezoane!$A$29="",4&lt;Sezoane!$F29),"",IF(4=Sezoane!$F29,N(Sezoane!I29),IF(N(Sezoane!I29)&gt;0,Sezoane!I29,"")))</f>
        <v/>
      </c>
      <c r="I25" s="54" t="str">
        <f aca="false">IF(OR(Sezoane!$A$29="",5&lt;Sezoane!$F29),"",IF(5=Sezoane!$F29,N(Sezoane!J29),IF(N(Sezoane!J29)&gt;0,Sezoane!J29,"")))</f>
        <v/>
      </c>
      <c r="J25" s="54" t="str">
        <f aca="false">IF(OR(Sezoane!$A$29="",6&lt;Sezoane!$F29),"",IF(6=Sezoane!$F29,N(Sezoane!K29),IF(N(Sezoane!K29)&gt;0,Sezoane!K29,"")))</f>
        <v/>
      </c>
      <c r="K25" s="54" t="str">
        <f aca="false">IF(OR(Sezoane!$A$29="",7&lt;Sezoane!$F29),"",IF(7=Sezoane!$F29,N(Sezoane!L29),IF(N(Sezoane!L29)&gt;0,Sezoane!L29,"")))</f>
        <v/>
      </c>
      <c r="L25" s="2"/>
      <c r="M25" s="2"/>
    </row>
    <row r="26" customFormat="false" ht="15" hidden="false" customHeight="false" outlineLevel="0" collapsed="false">
      <c r="A26" s="51" t="str">
        <f aca="false">IF(Sezoane!$A$30="","",Sezoane!A30)</f>
        <v/>
      </c>
      <c r="B26" s="51" t="str">
        <f aca="false">IF(Sezoane!$A$30="","",Sezoane!B30)</f>
        <v/>
      </c>
      <c r="C26" s="52" t="str">
        <f aca="false">IF(Sezoane!$A$30="","",Sezoane!C30)</f>
        <v/>
      </c>
      <c r="D26" s="52" t="str">
        <f aca="false">IF(Sezoane!$A$30="","",Sezoane!D30)</f>
        <v/>
      </c>
      <c r="E26" s="51" t="str">
        <f aca="false">IF(Sezoane!$A$30="","",Sezoane!E30)</f>
        <v/>
      </c>
      <c r="F26" s="54" t="str">
        <f aca="false">IF(OR(Sezoane!$A$30="",2&lt;Sezoane!$F30),"",IF(2=Sezoane!$F30,N(Sezoane!G30),IF(N(Sezoane!G30)&gt;0,Sezoane!G30,"")))</f>
        <v/>
      </c>
      <c r="G26" s="54" t="str">
        <f aca="false">IF(OR(Sezoane!$A$30="",3&lt;Sezoane!$F30),"",IF(3=Sezoane!$F30,N(Sezoane!H30),IF(N(Sezoane!H30)&gt;0,Sezoane!H30,"")))</f>
        <v/>
      </c>
      <c r="H26" s="54" t="str">
        <f aca="false">IF(OR(Sezoane!$A$30="",4&lt;Sezoane!$F30),"",IF(4=Sezoane!$F30,N(Sezoane!I30),IF(N(Sezoane!I30)&gt;0,Sezoane!I30,"")))</f>
        <v/>
      </c>
      <c r="I26" s="54" t="str">
        <f aca="false">IF(OR(Sezoane!$A$30="",5&lt;Sezoane!$F30),"",IF(5=Sezoane!$F30,N(Sezoane!J30),IF(N(Sezoane!J30)&gt;0,Sezoane!J30,"")))</f>
        <v/>
      </c>
      <c r="J26" s="54" t="str">
        <f aca="false">IF(OR(Sezoane!$A$30="",6&lt;Sezoane!$F30),"",IF(6=Sezoane!$F30,N(Sezoane!K30),IF(N(Sezoane!K30)&gt;0,Sezoane!K30,"")))</f>
        <v/>
      </c>
      <c r="K26" s="54" t="str">
        <f aca="false">IF(OR(Sezoane!$A$30="",7&lt;Sezoane!$F30),"",IF(7=Sezoane!$F30,N(Sezoane!L30),IF(N(Sezoane!L30)&gt;0,Sezoane!L30,"")))</f>
        <v/>
      </c>
      <c r="L26" s="2"/>
      <c r="M26" s="2"/>
    </row>
    <row r="27" customFormat="false" ht="15" hidden="false" customHeight="false" outlineLevel="0" collapsed="false">
      <c r="A27" s="51" t="str">
        <f aca="false">IF(Sezoane!$A$31="","",Sezoane!A31)</f>
        <v/>
      </c>
      <c r="B27" s="51" t="str">
        <f aca="false">IF(Sezoane!$A$31="","",Sezoane!B31)</f>
        <v/>
      </c>
      <c r="C27" s="52" t="str">
        <f aca="false">IF(Sezoane!$A$31="","",Sezoane!C31)</f>
        <v/>
      </c>
      <c r="D27" s="52" t="str">
        <f aca="false">IF(Sezoane!$A$31="","",Sezoane!D31)</f>
        <v/>
      </c>
      <c r="E27" s="51" t="str">
        <f aca="false">IF(Sezoane!$A$31="","",Sezoane!E31)</f>
        <v/>
      </c>
      <c r="F27" s="54" t="str">
        <f aca="false">IF(OR(Sezoane!$A$31="",2&lt;Sezoane!$F31),"",IF(2=Sezoane!$F31,N(Sezoane!G31),IF(N(Sezoane!G31)&gt;0,Sezoane!G31,"")))</f>
        <v/>
      </c>
      <c r="G27" s="54" t="str">
        <f aca="false">IF(OR(Sezoane!$A$31="",3&lt;Sezoane!$F31),"",IF(3=Sezoane!$F31,N(Sezoane!H31),IF(N(Sezoane!H31)&gt;0,Sezoane!H31,"")))</f>
        <v/>
      </c>
      <c r="H27" s="54" t="str">
        <f aca="false">IF(OR(Sezoane!$A$31="",4&lt;Sezoane!$F31),"",IF(4=Sezoane!$F31,N(Sezoane!I31),IF(N(Sezoane!I31)&gt;0,Sezoane!I31,"")))</f>
        <v/>
      </c>
      <c r="I27" s="54" t="str">
        <f aca="false">IF(OR(Sezoane!$A$31="",5&lt;Sezoane!$F31),"",IF(5=Sezoane!$F31,N(Sezoane!J31),IF(N(Sezoane!J31)&gt;0,Sezoane!J31,"")))</f>
        <v/>
      </c>
      <c r="J27" s="54" t="str">
        <f aca="false">IF(OR(Sezoane!$A$31="",6&lt;Sezoane!$F31),"",IF(6=Sezoane!$F31,N(Sezoane!K31),IF(N(Sezoane!K31)&gt;0,Sezoane!K31,"")))</f>
        <v/>
      </c>
      <c r="K27" s="54" t="str">
        <f aca="false">IF(OR(Sezoane!$A$31="",7&lt;Sezoane!$F31),"",IF(7=Sezoane!$F31,N(Sezoane!L31),IF(N(Sezoane!L31)&gt;0,Sezoane!L31,"")))</f>
        <v/>
      </c>
      <c r="L27" s="2"/>
      <c r="M27" s="2"/>
    </row>
    <row r="28" customFormat="false" ht="15" hidden="false" customHeight="false" outlineLevel="0" collapsed="false">
      <c r="A28" s="51" t="str">
        <f aca="false">IF(Sezoane!$A$32="","",Sezoane!A32)</f>
        <v/>
      </c>
      <c r="B28" s="51" t="str">
        <f aca="false">IF(Sezoane!$A$32="","",Sezoane!B32)</f>
        <v/>
      </c>
      <c r="C28" s="52" t="str">
        <f aca="false">IF(Sezoane!$A$32="","",Sezoane!C32)</f>
        <v/>
      </c>
      <c r="D28" s="52" t="str">
        <f aca="false">IF(Sezoane!$A$32="","",Sezoane!D32)</f>
        <v/>
      </c>
      <c r="E28" s="51" t="str">
        <f aca="false">IF(Sezoane!$A$32="","",Sezoane!E32)</f>
        <v/>
      </c>
      <c r="F28" s="54" t="str">
        <f aca="false">IF(OR(Sezoane!$A$32="",2&lt;Sezoane!$F32),"",IF(2=Sezoane!$F32,N(Sezoane!G32),IF(N(Sezoane!G32)&gt;0,Sezoane!G32,"")))</f>
        <v/>
      </c>
      <c r="G28" s="54" t="str">
        <f aca="false">IF(OR(Sezoane!$A$32="",3&lt;Sezoane!$F32),"",IF(3=Sezoane!$F32,N(Sezoane!H32),IF(N(Sezoane!H32)&gt;0,Sezoane!H32,"")))</f>
        <v/>
      </c>
      <c r="H28" s="54" t="str">
        <f aca="false">IF(OR(Sezoane!$A$32="",4&lt;Sezoane!$F32),"",IF(4=Sezoane!$F32,N(Sezoane!I32),IF(N(Sezoane!I32)&gt;0,Sezoane!I32,"")))</f>
        <v/>
      </c>
      <c r="I28" s="54" t="str">
        <f aca="false">IF(OR(Sezoane!$A$32="",5&lt;Sezoane!$F32),"",IF(5=Sezoane!$F32,N(Sezoane!J32),IF(N(Sezoane!J32)&gt;0,Sezoane!J32,"")))</f>
        <v/>
      </c>
      <c r="J28" s="54" t="str">
        <f aca="false">IF(OR(Sezoane!$A$32="",6&lt;Sezoane!$F32),"",IF(6=Sezoane!$F32,N(Sezoane!K32),IF(N(Sezoane!K32)&gt;0,Sezoane!K32,"")))</f>
        <v/>
      </c>
      <c r="K28" s="54" t="str">
        <f aca="false">IF(OR(Sezoane!$A$32="",7&lt;Sezoane!$F32),"",IF(7=Sezoane!$F32,N(Sezoane!L32),IF(N(Sezoane!L32)&gt;0,Sezoane!L32,"")))</f>
        <v/>
      </c>
      <c r="L28" s="2"/>
      <c r="M28" s="2"/>
    </row>
    <row r="29" customFormat="false" ht="15" hidden="false" customHeight="false" outlineLevel="0" collapsed="false">
      <c r="A29" s="51" t="str">
        <f aca="false">IF(Sezoane!$A$33="","",Sezoane!A33)</f>
        <v/>
      </c>
      <c r="B29" s="51" t="str">
        <f aca="false">IF(Sezoane!$A$33="","",Sezoane!B33)</f>
        <v/>
      </c>
      <c r="C29" s="52" t="str">
        <f aca="false">IF(Sezoane!$A$33="","",Sezoane!C33)</f>
        <v/>
      </c>
      <c r="D29" s="52" t="str">
        <f aca="false">IF(Sezoane!$A$33="","",Sezoane!D33)</f>
        <v/>
      </c>
      <c r="E29" s="51" t="str">
        <f aca="false">IF(Sezoane!$A$33="","",Sezoane!E33)</f>
        <v/>
      </c>
      <c r="F29" s="54" t="str">
        <f aca="false">IF(OR(Sezoane!$A$33="",2&lt;Sezoane!$F33),"",IF(2=Sezoane!$F33,N(Sezoane!G33),IF(N(Sezoane!G33)&gt;0,Sezoane!G33,"")))</f>
        <v/>
      </c>
      <c r="G29" s="54" t="str">
        <f aca="false">IF(OR(Sezoane!$A$33="",3&lt;Sezoane!$F33),"",IF(3=Sezoane!$F33,N(Sezoane!H33),IF(N(Sezoane!H33)&gt;0,Sezoane!H33,"")))</f>
        <v/>
      </c>
      <c r="H29" s="54" t="str">
        <f aca="false">IF(OR(Sezoane!$A$33="",4&lt;Sezoane!$F33),"",IF(4=Sezoane!$F33,N(Sezoane!I33),IF(N(Sezoane!I33)&gt;0,Sezoane!I33,"")))</f>
        <v/>
      </c>
      <c r="I29" s="54" t="str">
        <f aca="false">IF(OR(Sezoane!$A$33="",5&lt;Sezoane!$F33),"",IF(5=Sezoane!$F33,N(Sezoane!J33),IF(N(Sezoane!J33)&gt;0,Sezoane!J33,"")))</f>
        <v/>
      </c>
      <c r="J29" s="54" t="str">
        <f aca="false">IF(OR(Sezoane!$A$33="",6&lt;Sezoane!$F33),"",IF(6=Sezoane!$F33,N(Sezoane!K33),IF(N(Sezoane!K33)&gt;0,Sezoane!K33,"")))</f>
        <v/>
      </c>
      <c r="K29" s="54" t="str">
        <f aca="false">IF(OR(Sezoane!$A$33="",7&lt;Sezoane!$F33),"",IF(7=Sezoane!$F33,N(Sezoane!L33),IF(N(Sezoane!L33)&gt;0,Sezoane!L33,"")))</f>
        <v/>
      </c>
      <c r="L29" s="2"/>
      <c r="M29" s="2"/>
    </row>
    <row r="30" customFormat="false" ht="15" hidden="false" customHeight="false" outlineLevel="0" collapsed="false">
      <c r="A30" s="51" t="str">
        <f aca="false">IF(Sezoane!$A$34="","",Sezoane!A34)</f>
        <v/>
      </c>
      <c r="B30" s="51" t="str">
        <f aca="false">IF(Sezoane!$A$34="","",Sezoane!B34)</f>
        <v/>
      </c>
      <c r="C30" s="52" t="str">
        <f aca="false">IF(Sezoane!$A$34="","",Sezoane!C34)</f>
        <v/>
      </c>
      <c r="D30" s="52" t="str">
        <f aca="false">IF(Sezoane!$A$34="","",Sezoane!D34)</f>
        <v/>
      </c>
      <c r="E30" s="51" t="str">
        <f aca="false">IF(Sezoane!$A$34="","",Sezoane!E34)</f>
        <v/>
      </c>
      <c r="F30" s="54" t="str">
        <f aca="false">IF(OR(Sezoane!$A$34="",2&lt;Sezoane!$F34),"",IF(2=Sezoane!$F34,N(Sezoane!G34),IF(N(Sezoane!G34)&gt;0,Sezoane!G34,"")))</f>
        <v/>
      </c>
      <c r="G30" s="54" t="str">
        <f aca="false">IF(OR(Sezoane!$A$34="",3&lt;Sezoane!$F34),"",IF(3=Sezoane!$F34,N(Sezoane!H34),IF(N(Sezoane!H34)&gt;0,Sezoane!H34,"")))</f>
        <v/>
      </c>
      <c r="H30" s="54" t="str">
        <f aca="false">IF(OR(Sezoane!$A$34="",4&lt;Sezoane!$F34),"",IF(4=Sezoane!$F34,N(Sezoane!I34),IF(N(Sezoane!I34)&gt;0,Sezoane!I34,"")))</f>
        <v/>
      </c>
      <c r="I30" s="54" t="str">
        <f aca="false">IF(OR(Sezoane!$A$34="",5&lt;Sezoane!$F34),"",IF(5=Sezoane!$F34,N(Sezoane!J34),IF(N(Sezoane!J34)&gt;0,Sezoane!J34,"")))</f>
        <v/>
      </c>
      <c r="J30" s="54" t="str">
        <f aca="false">IF(OR(Sezoane!$A$34="",6&lt;Sezoane!$F34),"",IF(6=Sezoane!$F34,N(Sezoane!K34),IF(N(Sezoane!K34)&gt;0,Sezoane!K34,"")))</f>
        <v/>
      </c>
      <c r="K30" s="54" t="str">
        <f aca="false">IF(OR(Sezoane!$A$34="",7&lt;Sezoane!$F34),"",IF(7=Sezoane!$F34,N(Sezoane!L34),IF(N(Sezoane!L34)&gt;0,Sezoane!L34,"")))</f>
        <v/>
      </c>
      <c r="L30" s="2"/>
      <c r="M30" s="2"/>
    </row>
    <row r="31" customFormat="false" ht="15" hidden="false" customHeight="false" outlineLevel="0" collapsed="false">
      <c r="A31" s="51" t="str">
        <f aca="false">IF(Sezoane!$A$35="","",Sezoane!A35)</f>
        <v/>
      </c>
      <c r="B31" s="51" t="str">
        <f aca="false">IF(Sezoane!$A$35="","",Sezoane!B35)</f>
        <v/>
      </c>
      <c r="C31" s="52" t="str">
        <f aca="false">IF(Sezoane!$A$35="","",Sezoane!C35)</f>
        <v/>
      </c>
      <c r="D31" s="52" t="str">
        <f aca="false">IF(Sezoane!$A$35="","",Sezoane!D35)</f>
        <v/>
      </c>
      <c r="E31" s="51" t="str">
        <f aca="false">IF(Sezoane!$A$35="","",Sezoane!E35)</f>
        <v/>
      </c>
      <c r="F31" s="54" t="str">
        <f aca="false">IF(OR(Sezoane!$A$35="",2&lt;Sezoane!$F35),"",IF(2=Sezoane!$F35,N(Sezoane!G35),IF(N(Sezoane!G35)&gt;0,Sezoane!G35,"")))</f>
        <v/>
      </c>
      <c r="G31" s="54" t="str">
        <f aca="false">IF(OR(Sezoane!$A$35="",3&lt;Sezoane!$F35),"",IF(3=Sezoane!$F35,N(Sezoane!H35),IF(N(Sezoane!H35)&gt;0,Sezoane!H35,"")))</f>
        <v/>
      </c>
      <c r="H31" s="54" t="str">
        <f aca="false">IF(OR(Sezoane!$A$35="",4&lt;Sezoane!$F35),"",IF(4=Sezoane!$F35,N(Sezoane!I35),IF(N(Sezoane!I35)&gt;0,Sezoane!I35,"")))</f>
        <v/>
      </c>
      <c r="I31" s="54" t="str">
        <f aca="false">IF(OR(Sezoane!$A$35="",5&lt;Sezoane!$F35),"",IF(5=Sezoane!$F35,N(Sezoane!J35),IF(N(Sezoane!J35)&gt;0,Sezoane!J35,"")))</f>
        <v/>
      </c>
      <c r="J31" s="54" t="str">
        <f aca="false">IF(OR(Sezoane!$A$35="",6&lt;Sezoane!$F35),"",IF(6=Sezoane!$F35,N(Sezoane!K35),IF(N(Sezoane!K35)&gt;0,Sezoane!K35,"")))</f>
        <v/>
      </c>
      <c r="K31" s="54" t="str">
        <f aca="false">IF(OR(Sezoane!$A$35="",7&lt;Sezoane!$F35),"",IF(7=Sezoane!$F35,N(Sezoane!L35),IF(N(Sezoane!L35)&gt;0,Sezoane!L35,"")))</f>
        <v/>
      </c>
      <c r="L31" s="2"/>
      <c r="M31" s="2"/>
    </row>
    <row r="32" customFormat="false" ht="15" hidden="false" customHeight="false" outlineLevel="0" collapsed="false">
      <c r="A32" s="51" t="str">
        <f aca="false">IF(Sezoane!$A$36="","",Sezoane!A36)</f>
        <v/>
      </c>
      <c r="B32" s="51" t="str">
        <f aca="false">IF(Sezoane!$A$36="","",Sezoane!B36)</f>
        <v/>
      </c>
      <c r="C32" s="52" t="str">
        <f aca="false">IF(Sezoane!$A$36="","",Sezoane!C36)</f>
        <v/>
      </c>
      <c r="D32" s="52" t="str">
        <f aca="false">IF(Sezoane!$A$36="","",Sezoane!D36)</f>
        <v/>
      </c>
      <c r="E32" s="51" t="str">
        <f aca="false">IF(Sezoane!$A$36="","",Sezoane!E36)</f>
        <v/>
      </c>
      <c r="F32" s="54" t="str">
        <f aca="false">IF(OR(Sezoane!$A$36="",2&lt;Sezoane!$F36),"",IF(2=Sezoane!$F36,N(Sezoane!G36),IF(N(Sezoane!G36)&gt;0,Sezoane!G36,"")))</f>
        <v/>
      </c>
      <c r="G32" s="54" t="str">
        <f aca="false">IF(OR(Sezoane!$A$36="",3&lt;Sezoane!$F36),"",IF(3=Sezoane!$F36,N(Sezoane!H36),IF(N(Sezoane!H36)&gt;0,Sezoane!H36,"")))</f>
        <v/>
      </c>
      <c r="H32" s="54" t="str">
        <f aca="false">IF(OR(Sezoane!$A$36="",4&lt;Sezoane!$F36),"",IF(4=Sezoane!$F36,N(Sezoane!I36),IF(N(Sezoane!I36)&gt;0,Sezoane!I36,"")))</f>
        <v/>
      </c>
      <c r="I32" s="54" t="str">
        <f aca="false">IF(OR(Sezoane!$A$36="",5&lt;Sezoane!$F36),"",IF(5=Sezoane!$F36,N(Sezoane!J36),IF(N(Sezoane!J36)&gt;0,Sezoane!J36,"")))</f>
        <v/>
      </c>
      <c r="J32" s="54" t="str">
        <f aca="false">IF(OR(Sezoane!$A$36="",6&lt;Sezoane!$F36),"",IF(6=Sezoane!$F36,N(Sezoane!K36),IF(N(Sezoane!K36)&gt;0,Sezoane!K36,"")))</f>
        <v/>
      </c>
      <c r="K32" s="54" t="str">
        <f aca="false">IF(OR(Sezoane!$A$36="",7&lt;Sezoane!$F36),"",IF(7=Sezoane!$F36,N(Sezoane!L36),IF(N(Sezoane!L36)&gt;0,Sezoane!L36,"")))</f>
        <v/>
      </c>
      <c r="L32" s="2"/>
      <c r="M32" s="2"/>
    </row>
    <row r="33" customFormat="false" ht="15" hidden="false" customHeight="false" outlineLevel="0" collapsed="false">
      <c r="A33" s="51" t="str">
        <f aca="false">IF(Sezoane!$A$37="","",Sezoane!A37)</f>
        <v/>
      </c>
      <c r="B33" s="51" t="str">
        <f aca="false">IF(Sezoane!$A$37="","",Sezoane!B37)</f>
        <v/>
      </c>
      <c r="C33" s="52" t="str">
        <f aca="false">IF(Sezoane!$A$37="","",Sezoane!C37)</f>
        <v/>
      </c>
      <c r="D33" s="52" t="str">
        <f aca="false">IF(Sezoane!$A$37="","",Sezoane!D37)</f>
        <v/>
      </c>
      <c r="E33" s="51" t="str">
        <f aca="false">IF(Sezoane!$A$37="","",Sezoane!E37)</f>
        <v/>
      </c>
      <c r="F33" s="54" t="str">
        <f aca="false">IF(OR(Sezoane!$A$37="",2&lt;Sezoane!$F37),"",IF(2=Sezoane!$F37,N(Sezoane!G37),IF(N(Sezoane!G37)&gt;0,Sezoane!G37,"")))</f>
        <v/>
      </c>
      <c r="G33" s="54" t="str">
        <f aca="false">IF(OR(Sezoane!$A$37="",3&lt;Sezoane!$F37),"",IF(3=Sezoane!$F37,N(Sezoane!H37),IF(N(Sezoane!H37)&gt;0,Sezoane!H37,"")))</f>
        <v/>
      </c>
      <c r="H33" s="54" t="str">
        <f aca="false">IF(OR(Sezoane!$A$37="",4&lt;Sezoane!$F37),"",IF(4=Sezoane!$F37,N(Sezoane!I37),IF(N(Sezoane!I37)&gt;0,Sezoane!I37,"")))</f>
        <v/>
      </c>
      <c r="I33" s="54" t="str">
        <f aca="false">IF(OR(Sezoane!$A$37="",5&lt;Sezoane!$F37),"",IF(5=Sezoane!$F37,N(Sezoane!J37),IF(N(Sezoane!J37)&gt;0,Sezoane!J37,"")))</f>
        <v/>
      </c>
      <c r="J33" s="54" t="str">
        <f aca="false">IF(OR(Sezoane!$A$37="",6&lt;Sezoane!$F37),"",IF(6=Sezoane!$F37,N(Sezoane!K37),IF(N(Sezoane!K37)&gt;0,Sezoane!K37,"")))</f>
        <v/>
      </c>
      <c r="K33" s="54" t="str">
        <f aca="false">IF(OR(Sezoane!$A$37="",7&lt;Sezoane!$F37),"",IF(7=Sezoane!$F37,N(Sezoane!L37),IF(N(Sezoane!L37)&gt;0,Sezoane!L37,"")))</f>
        <v/>
      </c>
      <c r="L33" s="2"/>
      <c r="M33" s="2"/>
    </row>
    <row r="34" customFormat="false" ht="15" hidden="false" customHeight="false" outlineLevel="0" collapsed="false">
      <c r="A34" s="51" t="str">
        <f aca="false">IF(Sezoane!$A$38="","",Sezoane!A38)</f>
        <v/>
      </c>
      <c r="B34" s="51" t="str">
        <f aca="false">IF(Sezoane!$A$38="","",Sezoane!B38)</f>
        <v/>
      </c>
      <c r="C34" s="52" t="str">
        <f aca="false">IF(Sezoane!$A$38="","",Sezoane!C38)</f>
        <v/>
      </c>
      <c r="D34" s="52" t="str">
        <f aca="false">IF(Sezoane!$A$38="","",Sezoane!D38)</f>
        <v/>
      </c>
      <c r="E34" s="51" t="str">
        <f aca="false">IF(Sezoane!$A$38="","",Sezoane!E38)</f>
        <v/>
      </c>
      <c r="F34" s="54" t="str">
        <f aca="false">IF(OR(Sezoane!$A$38="",2&lt;Sezoane!$F38),"",IF(2=Sezoane!$F38,N(Sezoane!G38),IF(N(Sezoane!G38)&gt;0,Sezoane!G38,"")))</f>
        <v/>
      </c>
      <c r="G34" s="54" t="str">
        <f aca="false">IF(OR(Sezoane!$A$38="",3&lt;Sezoane!$F38),"",IF(3=Sezoane!$F38,N(Sezoane!H38),IF(N(Sezoane!H38)&gt;0,Sezoane!H38,"")))</f>
        <v/>
      </c>
      <c r="H34" s="54" t="str">
        <f aca="false">IF(OR(Sezoane!$A$38="",4&lt;Sezoane!$F38),"",IF(4=Sezoane!$F38,N(Sezoane!I38),IF(N(Sezoane!I38)&gt;0,Sezoane!I38,"")))</f>
        <v/>
      </c>
      <c r="I34" s="54" t="str">
        <f aca="false">IF(OR(Sezoane!$A$38="",5&lt;Sezoane!$F38),"",IF(5=Sezoane!$F38,N(Sezoane!J38),IF(N(Sezoane!J38)&gt;0,Sezoane!J38,"")))</f>
        <v/>
      </c>
      <c r="J34" s="54" t="str">
        <f aca="false">IF(OR(Sezoane!$A$38="",6&lt;Sezoane!$F38),"",IF(6=Sezoane!$F38,N(Sezoane!K38),IF(N(Sezoane!K38)&gt;0,Sezoane!K38,"")))</f>
        <v/>
      </c>
      <c r="K34" s="54" t="str">
        <f aca="false">IF(OR(Sezoane!$A$38="",7&lt;Sezoane!$F38),"",IF(7=Sezoane!$F38,N(Sezoane!L38),IF(N(Sezoane!L38)&gt;0,Sezoane!L38,"")))</f>
        <v/>
      </c>
      <c r="L34" s="2"/>
      <c r="M34" s="2"/>
    </row>
    <row r="35" customFormat="false" ht="15" hidden="false" customHeight="false" outlineLevel="0" collapsed="false">
      <c r="A35" s="51" t="str">
        <f aca="false">IF(Sezoane!$A$39="","",Sezoane!A39)</f>
        <v/>
      </c>
      <c r="B35" s="51" t="str">
        <f aca="false">IF(Sezoane!$A$39="","",Sezoane!B39)</f>
        <v/>
      </c>
      <c r="C35" s="52" t="str">
        <f aca="false">IF(Sezoane!$A$39="","",Sezoane!C39)</f>
        <v/>
      </c>
      <c r="D35" s="52" t="str">
        <f aca="false">IF(Sezoane!$A$39="","",Sezoane!D39)</f>
        <v/>
      </c>
      <c r="E35" s="51" t="str">
        <f aca="false">IF(Sezoane!$A$39="","",Sezoane!E39)</f>
        <v/>
      </c>
      <c r="F35" s="54" t="str">
        <f aca="false">IF(OR(Sezoane!$A$39="",2&lt;Sezoane!$F39),"",IF(2=Sezoane!$F39,N(Sezoane!G39),IF(N(Sezoane!G39)&gt;0,Sezoane!G39,"")))</f>
        <v/>
      </c>
      <c r="G35" s="54" t="str">
        <f aca="false">IF(OR(Sezoane!$A$39="",3&lt;Sezoane!$F39),"",IF(3=Sezoane!$F39,N(Sezoane!H39),IF(N(Sezoane!H39)&gt;0,Sezoane!H39,"")))</f>
        <v/>
      </c>
      <c r="H35" s="54" t="str">
        <f aca="false">IF(OR(Sezoane!$A$39="",4&lt;Sezoane!$F39),"",IF(4=Sezoane!$F39,N(Sezoane!I39),IF(N(Sezoane!I39)&gt;0,Sezoane!I39,"")))</f>
        <v/>
      </c>
      <c r="I35" s="54" t="str">
        <f aca="false">IF(OR(Sezoane!$A$39="",5&lt;Sezoane!$F39),"",IF(5=Sezoane!$F39,N(Sezoane!J39),IF(N(Sezoane!J39)&gt;0,Sezoane!J39,"")))</f>
        <v/>
      </c>
      <c r="J35" s="54" t="str">
        <f aca="false">IF(OR(Sezoane!$A$39="",6&lt;Sezoane!$F39),"",IF(6=Sezoane!$F39,N(Sezoane!K39),IF(N(Sezoane!K39)&gt;0,Sezoane!K39,"")))</f>
        <v/>
      </c>
      <c r="K35" s="54" t="str">
        <f aca="false">IF(OR(Sezoane!$A$39="",7&lt;Sezoane!$F39),"",IF(7=Sezoane!$F39,N(Sezoane!L39),IF(N(Sezoane!L39)&gt;0,Sezoane!L39,"")))</f>
        <v/>
      </c>
      <c r="L35" s="2"/>
      <c r="M35" s="2"/>
    </row>
    <row r="36" customFormat="false" ht="15" hidden="false" customHeight="false" outlineLevel="0" collapsed="false">
      <c r="A36" s="51" t="str">
        <f aca="false">IF(Sezoane!$A$40="","",Sezoane!A40)</f>
        <v/>
      </c>
      <c r="B36" s="51" t="str">
        <f aca="false">IF(Sezoane!$A$40="","",Sezoane!B40)</f>
        <v/>
      </c>
      <c r="C36" s="52" t="str">
        <f aca="false">IF(Sezoane!$A$40="","",Sezoane!C40)</f>
        <v/>
      </c>
      <c r="D36" s="52" t="str">
        <f aca="false">IF(Sezoane!$A$40="","",Sezoane!D40)</f>
        <v/>
      </c>
      <c r="E36" s="51" t="str">
        <f aca="false">IF(Sezoane!$A$40="","",Sezoane!E40)</f>
        <v/>
      </c>
      <c r="F36" s="54" t="str">
        <f aca="false">IF(OR(Sezoane!$A$40="",2&lt;Sezoane!$F40),"",IF(2=Sezoane!$F40,N(Sezoane!G40),IF(N(Sezoane!G40)&gt;0,Sezoane!G40,"")))</f>
        <v/>
      </c>
      <c r="G36" s="54" t="str">
        <f aca="false">IF(OR(Sezoane!$A$40="",3&lt;Sezoane!$F40),"",IF(3=Sezoane!$F40,N(Sezoane!H40),IF(N(Sezoane!H40)&gt;0,Sezoane!H40,"")))</f>
        <v/>
      </c>
      <c r="H36" s="54" t="str">
        <f aca="false">IF(OR(Sezoane!$A$40="",4&lt;Sezoane!$F40),"",IF(4=Sezoane!$F40,N(Sezoane!I40),IF(N(Sezoane!I40)&gt;0,Sezoane!I40,"")))</f>
        <v/>
      </c>
      <c r="I36" s="54" t="str">
        <f aca="false">IF(OR(Sezoane!$A$40="",5&lt;Sezoane!$F40),"",IF(5=Sezoane!$F40,N(Sezoane!J40),IF(N(Sezoane!J40)&gt;0,Sezoane!J40,"")))</f>
        <v/>
      </c>
      <c r="J36" s="54" t="str">
        <f aca="false">IF(OR(Sezoane!$A$40="",6&lt;Sezoane!$F40),"",IF(6=Sezoane!$F40,N(Sezoane!K40),IF(N(Sezoane!K40)&gt;0,Sezoane!K40,"")))</f>
        <v/>
      </c>
      <c r="K36" s="54" t="str">
        <f aca="false">IF(OR(Sezoane!$A$40="",7&lt;Sezoane!$F40),"",IF(7=Sezoane!$F40,N(Sezoane!L40),IF(N(Sezoane!L40)&gt;0,Sezoane!L40,"")))</f>
        <v/>
      </c>
      <c r="L36" s="2"/>
      <c r="M3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2026-10-21T14:22:21Z</dcterms:created>
  <dc:creator>openpyxl</dc:creator>
  <dc:description/>
  <dc:language>en-US</dc:language>
  <cp:lastModifiedBy/>
  <dcterms:modified xsi:type="dcterms:W3CDTF">2026-10-21T14:22:21Z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